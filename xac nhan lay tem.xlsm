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fileSharing userName="DGA" algorithmName="SHA-512" hashValue="VqMSduF35c2aYSbd75twFdDYCemXuHGgajek0HNLxs7khUmn/04hYnwhyIYqZzB97YojmHVJtwJ390H5x3Ny2Q==" saltValue="Wh0Rw1f4HlEGgyT52ge/mg==" spinCount="100000"/>
  <workbookPr backupFile="1"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SynologyNAS\DANGROUPASIA\data-sharework\share\SALES\EMG SALES\LABEL\de xuat in tem\"/>
    </mc:Choice>
  </mc:AlternateContent>
  <xr:revisionPtr revIDLastSave="0" documentId="13_ncr:10001_{229A9079-D134-4742-8B65-7DDB083517ED}" xr6:coauthVersionLast="47" xr6:coauthVersionMax="47" xr10:uidLastSave="{00000000-0000-0000-0000-000000000000}"/>
  <bookViews>
    <workbookView xWindow="-120" yWindow="-120" windowWidth="29040" windowHeight="15840" firstSheet="132" activeTab="141" xr2:uid="{060B3F58-64A0-404D-A035-01428E0BB7CC}"/>
  </bookViews>
  <sheets>
    <sheet name="Muc Luc" sheetId="26" r:id="rId1"/>
    <sheet name="1" sheetId="13" r:id="rId2"/>
    <sheet name="1 (2)" sheetId="14" r:id="rId3"/>
    <sheet name="1 (3)" sheetId="15" r:id="rId4"/>
    <sheet name="1 (4)" sheetId="16" r:id="rId5"/>
    <sheet name="1 (5)" sheetId="17" r:id="rId6"/>
    <sheet name="1 (6)" sheetId="20" r:id="rId7"/>
    <sheet name="1 (7)" sheetId="21" r:id="rId8"/>
    <sheet name="1 (8)" sheetId="23" r:id="rId9"/>
    <sheet name="1 (9)" sheetId="18" r:id="rId10"/>
    <sheet name="1 (10)" sheetId="24" r:id="rId11"/>
    <sheet name="1 (11)" sheetId="25" r:id="rId12"/>
    <sheet name="1 (12)" sheetId="22" r:id="rId13"/>
    <sheet name="13 (1)" sheetId="27" r:id="rId14"/>
    <sheet name="13 (2)" sheetId="28" r:id="rId15"/>
    <sheet name="13 (3)" sheetId="29" r:id="rId16"/>
    <sheet name="13 (4)" sheetId="30" r:id="rId17"/>
    <sheet name="13 (5)" sheetId="31" r:id="rId18"/>
    <sheet name="13 (6)" sheetId="32" r:id="rId19"/>
    <sheet name="13 (7)" sheetId="33" r:id="rId20"/>
    <sheet name="13 (8)" sheetId="34" r:id="rId21"/>
    <sheet name="13 (9)" sheetId="36" r:id="rId22"/>
    <sheet name="13 (10)" sheetId="37" r:id="rId23"/>
    <sheet name="13 (11)" sheetId="38" r:id="rId24"/>
    <sheet name="13 (12)" sheetId="39" r:id="rId25"/>
    <sheet name="13 (13)" sheetId="40" r:id="rId26"/>
    <sheet name="13 (14)" sheetId="41" r:id="rId27"/>
    <sheet name="13 (15)" sheetId="42" r:id="rId28"/>
    <sheet name="13 (16)" sheetId="43" r:id="rId29"/>
    <sheet name="13 (17)" sheetId="44" r:id="rId30"/>
    <sheet name="13 (18)" sheetId="45" r:id="rId31"/>
    <sheet name="13 (19)" sheetId="46" r:id="rId32"/>
    <sheet name="13 (20)" sheetId="47" r:id="rId33"/>
    <sheet name="13 (21)" sheetId="48" r:id="rId34"/>
    <sheet name="13 (22)" sheetId="49" r:id="rId35"/>
    <sheet name="13 (23)" sheetId="50" r:id="rId36"/>
    <sheet name="13 (24)" sheetId="51" r:id="rId37"/>
    <sheet name="13 (25)" sheetId="52" r:id="rId38"/>
    <sheet name="13 (26)" sheetId="53" r:id="rId39"/>
    <sheet name="13 (27)" sheetId="54" r:id="rId40"/>
    <sheet name="13 (28)" sheetId="55" r:id="rId41"/>
    <sheet name="13 (29)" sheetId="56" r:id="rId42"/>
    <sheet name="13 (30)" sheetId="57" r:id="rId43"/>
    <sheet name="13 (31)" sheetId="58" r:id="rId44"/>
    <sheet name="13 (32)" sheetId="59" r:id="rId45"/>
    <sheet name="13 (33)" sheetId="60" r:id="rId46"/>
    <sheet name="13 (34)" sheetId="61" r:id="rId47"/>
    <sheet name="13 (35)" sheetId="62" r:id="rId48"/>
    <sheet name="13 (36)" sheetId="63" r:id="rId49"/>
    <sheet name="13 (37)" sheetId="64" r:id="rId50"/>
    <sheet name="13 (38)" sheetId="65" r:id="rId51"/>
    <sheet name="13 (39)" sheetId="66" r:id="rId52"/>
    <sheet name="13 (40)" sheetId="67" r:id="rId53"/>
    <sheet name="13 (58)" sheetId="90" r:id="rId54"/>
    <sheet name="13 (41)" sheetId="68" r:id="rId55"/>
    <sheet name="13 (42)" sheetId="69" r:id="rId56"/>
    <sheet name="13 (43)" sheetId="70" r:id="rId57"/>
    <sheet name="13 (44)" sheetId="71" r:id="rId58"/>
    <sheet name="13 (45)" sheetId="72" r:id="rId59"/>
    <sheet name="13 (46)" sheetId="73" r:id="rId60"/>
    <sheet name="13 (47)" sheetId="74" r:id="rId61"/>
    <sheet name="13 (48)" sheetId="75" r:id="rId62"/>
    <sheet name="13 (49)" sheetId="76" r:id="rId63"/>
    <sheet name="13 (50)" sheetId="77" r:id="rId64"/>
    <sheet name="13 (59)" sheetId="86" r:id="rId65"/>
    <sheet name="13 (51)" sheetId="78" r:id="rId66"/>
    <sheet name="13 (52)" sheetId="79" r:id="rId67"/>
    <sheet name="13 (61)" sheetId="88" r:id="rId68"/>
    <sheet name="13 (53)" sheetId="80" r:id="rId69"/>
    <sheet name="13 (54)" sheetId="81" r:id="rId70"/>
    <sheet name="13 (55)" sheetId="82" r:id="rId71"/>
    <sheet name="13 (57)" sheetId="84" r:id="rId72"/>
    <sheet name="13 (56)" sheetId="83" r:id="rId73"/>
    <sheet name="13 (63)" sheetId="91" r:id="rId74"/>
    <sheet name="13 (60)" sheetId="87" r:id="rId75"/>
    <sheet name="13 (62)" sheetId="89" r:id="rId76"/>
    <sheet name="13 (64)" sheetId="92" r:id="rId77"/>
    <sheet name="13 (65)" sheetId="93" r:id="rId78"/>
    <sheet name="13 (66)" sheetId="94" r:id="rId79"/>
    <sheet name="13 (67)" sheetId="95" r:id="rId80"/>
    <sheet name="13 (68)" sheetId="96" r:id="rId81"/>
    <sheet name="13 (69)" sheetId="97" r:id="rId82"/>
    <sheet name="13 (70)" sheetId="98" r:id="rId83"/>
    <sheet name="13 (71)" sheetId="99" r:id="rId84"/>
    <sheet name="13 (72)" sheetId="100" r:id="rId85"/>
    <sheet name="13 (73)" sheetId="101" r:id="rId86"/>
    <sheet name="13 (74)" sheetId="102" r:id="rId87"/>
    <sheet name="13 (75)" sheetId="103" r:id="rId88"/>
    <sheet name="13 (76)" sheetId="104" r:id="rId89"/>
    <sheet name="13 (84)" sheetId="112" r:id="rId90"/>
    <sheet name="13 (77)" sheetId="105" r:id="rId91"/>
    <sheet name="13 (78)" sheetId="106" r:id="rId92"/>
    <sheet name="13 (79)" sheetId="107" r:id="rId93"/>
    <sheet name="13 (80)" sheetId="108" r:id="rId94"/>
    <sheet name="13 (81)" sheetId="109" r:id="rId95"/>
    <sheet name="13 (82)" sheetId="110" r:id="rId96"/>
    <sheet name="13 (83)" sheetId="111" r:id="rId97"/>
    <sheet name="13 (85)" sheetId="114" r:id="rId98"/>
    <sheet name="13 (86)" sheetId="115" r:id="rId99"/>
    <sheet name="13 (88)" sheetId="117" r:id="rId100"/>
    <sheet name="13 (94)" sheetId="123" r:id="rId101"/>
    <sheet name="13 (87)" sheetId="116" r:id="rId102"/>
    <sheet name="13 (89)" sheetId="118" r:id="rId103"/>
    <sheet name="13 (105)" sheetId="134" r:id="rId104"/>
    <sheet name="13 (90)" sheetId="119" r:id="rId105"/>
    <sheet name="13 (99)" sheetId="128" r:id="rId106"/>
    <sheet name="13 (100)" sheetId="129" r:id="rId107"/>
    <sheet name="13 (101)" sheetId="130" r:id="rId108"/>
    <sheet name="13 (103)" sheetId="132" r:id="rId109"/>
    <sheet name="13 (95)" sheetId="124" r:id="rId110"/>
    <sheet name="13 (91)" sheetId="120" r:id="rId111"/>
    <sheet name="13 (104)" sheetId="133" r:id="rId112"/>
    <sheet name="13 (102)" sheetId="131" r:id="rId113"/>
    <sheet name="13 (108)" sheetId="137" r:id="rId114"/>
    <sheet name="13 (106)" sheetId="135" r:id="rId115"/>
    <sheet name="13 (107)" sheetId="136" r:id="rId116"/>
    <sheet name="13 (97)" sheetId="126" r:id="rId117"/>
    <sheet name="13 (98)" sheetId="127" r:id="rId118"/>
    <sheet name="13 (109)" sheetId="138" r:id="rId119"/>
    <sheet name="13 (110)" sheetId="139" r:id="rId120"/>
    <sheet name="13 (92)" sheetId="121" r:id="rId121"/>
    <sheet name="13 (93)" sheetId="122" r:id="rId122"/>
    <sheet name="13 (111)" sheetId="140" r:id="rId123"/>
    <sheet name="13 (115)" sheetId="144" r:id="rId124"/>
    <sheet name="13 (116)" sheetId="145" r:id="rId125"/>
    <sheet name="13 (117)" sheetId="146" r:id="rId126"/>
    <sheet name="13 (118)" sheetId="147" r:id="rId127"/>
    <sheet name="13 (119)" sheetId="148" r:id="rId128"/>
    <sheet name="13 (120)" sheetId="149" r:id="rId129"/>
    <sheet name="13 (122)" sheetId="151" r:id="rId130"/>
    <sheet name="13 (124)" sheetId="153" r:id="rId131"/>
    <sheet name="13 (121)" sheetId="150" r:id="rId132"/>
    <sheet name="13 (123)" sheetId="152" r:id="rId133"/>
    <sheet name="13 (112)" sheetId="141" r:id="rId134"/>
    <sheet name="13 (113)" sheetId="142" r:id="rId135"/>
    <sheet name="13 (114)" sheetId="143" r:id="rId136"/>
    <sheet name="13 (96)" sheetId="125" r:id="rId137"/>
    <sheet name="13 (125)" sheetId="154" r:id="rId138"/>
    <sheet name="13 (126)" sheetId="155" r:id="rId139"/>
    <sheet name="13 (131)" sheetId="160" r:id="rId140"/>
    <sheet name="13 (133)" sheetId="162" r:id="rId141"/>
    <sheet name="13 (134)" sheetId="163" r:id="rId142"/>
    <sheet name="13 (127)" sheetId="156" r:id="rId143"/>
    <sheet name="13 (132)" sheetId="161" r:id="rId144"/>
    <sheet name="13 (130)" sheetId="159" r:id="rId145"/>
    <sheet name="13 (128)" sheetId="157" r:id="rId146"/>
    <sheet name="13 (129)" sheetId="158" r:id="rId147"/>
  </sheets>
  <functionGroups builtInGroupCount="19"/>
  <definedNames>
    <definedName name="_xlnm._FilterDatabase" localSheetId="0" hidden="1">'Muc Luc'!$A$2:$D$141</definedName>
    <definedName name="_xleta.IF" hidden="1" xlm="1">#NAME?</definedName>
    <definedName name="_xlnm.Print_Area" localSheetId="1">'1'!$A$1:$K$31</definedName>
    <definedName name="_xlnm.Print_Area" localSheetId="10">'1 (10)'!$A$1:$K$17</definedName>
    <definedName name="_xlnm.Print_Area" localSheetId="11">'1 (11)'!$A$1:$K$17</definedName>
    <definedName name="_xlnm.Print_Area" localSheetId="12">'1 (12)'!$A$1:$K$20</definedName>
    <definedName name="_xlnm.Print_Area" localSheetId="2">'1 (2)'!$A$1:$K$17</definedName>
    <definedName name="_xlnm.Print_Area" localSheetId="3">'1 (3)'!$A$1:$K$18</definedName>
    <definedName name="_xlnm.Print_Area" localSheetId="4">'1 (4)'!$A$1:$K$18</definedName>
    <definedName name="_xlnm.Print_Area" localSheetId="5">'1 (5)'!$A$1:$K$20</definedName>
    <definedName name="_xlnm.Print_Area" localSheetId="6">'1 (6)'!$A$1:$K$17</definedName>
    <definedName name="_xlnm.Print_Area" localSheetId="7">'1 (7)'!$A$1:$K$18</definedName>
    <definedName name="_xlnm.Print_Area" localSheetId="8">'1 (8)'!$A$1:$K$17</definedName>
    <definedName name="_xlnm.Print_Area" localSheetId="9">'1 (9)'!$A$1:$K$22</definedName>
    <definedName name="_xlnm.Print_Area" localSheetId="13">'13 (1)'!$A$1:$K$18</definedName>
    <definedName name="_xlnm.Print_Area" localSheetId="22">'13 (10)'!$A$1:$K$17</definedName>
    <definedName name="_xlnm.Print_Area" localSheetId="106">'13 (100)'!$A$1:$K$17</definedName>
    <definedName name="_xlnm.Print_Area" localSheetId="107">'13 (101)'!$A$1:$K$17</definedName>
    <definedName name="_xlnm.Print_Area" localSheetId="112">'13 (102)'!$A$1:$K$20</definedName>
    <definedName name="_xlnm.Print_Area" localSheetId="108">'13 (103)'!$A$1:$K$17</definedName>
    <definedName name="_xlnm.Print_Area" localSheetId="111">'13 (104)'!$A$1:$K$18</definedName>
    <definedName name="_xlnm.Print_Area" localSheetId="103">'13 (105)'!$A$1:$K$18</definedName>
    <definedName name="_xlnm.Print_Area" localSheetId="114">'13 (106)'!$A$1:$K$21</definedName>
    <definedName name="_xlnm.Print_Area" localSheetId="115">'13 (107)'!$A$1:$K$21</definedName>
    <definedName name="_xlnm.Print_Area" localSheetId="113">'13 (108)'!$A$1:$K$20</definedName>
    <definedName name="_xlnm.Print_Area" localSheetId="118">'13 (109)'!$A$1:$K$17</definedName>
    <definedName name="_xlnm.Print_Area" localSheetId="23">'13 (11)'!$A$1:$K$18</definedName>
    <definedName name="_xlnm.Print_Area" localSheetId="119">'13 (110)'!$A$1:$K$17</definedName>
    <definedName name="_xlnm.Print_Area" localSheetId="122">'13 (111)'!$A$1:$K$22</definedName>
    <definedName name="_xlnm.Print_Area" localSheetId="133">'13 (112)'!$A$1:$K$20</definedName>
    <definedName name="_xlnm.Print_Area" localSheetId="134">'13 (113)'!$A$1:$K$20</definedName>
    <definedName name="_xlnm.Print_Area" localSheetId="135">'13 (114)'!$A$1:$K$18</definedName>
    <definedName name="_xlnm.Print_Area" localSheetId="123">'13 (115)'!$A$1:$K$21</definedName>
    <definedName name="_xlnm.Print_Area" localSheetId="124">'13 (116)'!$A$1:$K$17</definedName>
    <definedName name="_xlnm.Print_Area" localSheetId="125">'13 (117)'!$A$1:$K$17</definedName>
    <definedName name="_xlnm.Print_Area" localSheetId="126">'13 (118)'!$A$1:$K$17</definedName>
    <definedName name="_xlnm.Print_Area" localSheetId="127">'13 (119)'!$A$1:$K$17</definedName>
    <definedName name="_xlnm.Print_Area" localSheetId="24">'13 (12)'!$A$1:$K$18</definedName>
    <definedName name="_xlnm.Print_Area" localSheetId="128">'13 (120)'!$A$1:$K$18</definedName>
    <definedName name="_xlnm.Print_Area" localSheetId="131">'13 (121)'!$A$1:$K$17</definedName>
    <definedName name="_xlnm.Print_Area" localSheetId="129">'13 (122)'!$A$1:$K$18</definedName>
    <definedName name="_xlnm.Print_Area" localSheetId="132">'13 (123)'!$A$1:$K$17</definedName>
    <definedName name="_xlnm.Print_Area" localSheetId="130">'13 (124)'!$A$1:$K$18</definedName>
    <definedName name="_xlnm.Print_Area" localSheetId="137">'13 (125)'!$A$1:$K$19</definedName>
    <definedName name="_xlnm.Print_Area" localSheetId="138">'13 (126)'!$A$1:$K$21</definedName>
    <definedName name="_xlnm.Print_Area" localSheetId="142">'13 (127)'!$A$1:$K$19</definedName>
    <definedName name="_xlnm.Print_Area" localSheetId="145">'13 (128)'!$A$1:$K$17</definedName>
    <definedName name="_xlnm.Print_Area" localSheetId="146">'13 (129)'!$A$1:$K$18</definedName>
    <definedName name="_xlnm.Print_Area" localSheetId="25">'13 (13)'!$A$1:$K$17</definedName>
    <definedName name="_xlnm.Print_Area" localSheetId="144">'13 (130)'!$A$1:$K$19</definedName>
    <definedName name="_xlnm.Print_Area" localSheetId="139">'13 (131)'!$A$1:$K$22</definedName>
    <definedName name="_xlnm.Print_Area" localSheetId="143">'13 (132)'!$A$1:$K$18</definedName>
    <definedName name="_xlnm.Print_Area" localSheetId="140">'13 (133)'!$A$1:$K$23</definedName>
    <definedName name="_xlnm.Print_Area" localSheetId="141">'13 (134)'!$A$1:$K$22</definedName>
    <definedName name="_xlnm.Print_Area" localSheetId="26">'13 (14)'!$A$1:$K$17</definedName>
    <definedName name="_xlnm.Print_Area" localSheetId="27">'13 (15)'!$A$1:$K$18</definedName>
    <definedName name="_xlnm.Print_Area" localSheetId="28">'13 (16)'!$A$1:$K$18</definedName>
    <definedName name="_xlnm.Print_Area" localSheetId="29">'13 (17)'!$A$1:$K$17</definedName>
    <definedName name="_xlnm.Print_Area" localSheetId="30">'13 (18)'!$A$1:$K$23</definedName>
    <definedName name="_xlnm.Print_Area" localSheetId="31">'13 (19)'!$A$1:$K$17</definedName>
    <definedName name="_xlnm.Print_Area" localSheetId="14">'13 (2)'!$A$1:$K$18</definedName>
    <definedName name="_xlnm.Print_Area" localSheetId="32">'13 (20)'!$A$1:$K$19</definedName>
    <definedName name="_xlnm.Print_Area" localSheetId="33">'13 (21)'!$A$1:$K$17</definedName>
    <definedName name="_xlnm.Print_Area" localSheetId="34">'13 (22)'!$A$1:$K$19</definedName>
    <definedName name="_xlnm.Print_Area" localSheetId="35">'13 (23)'!$A$1:$K$22</definedName>
    <definedName name="_xlnm.Print_Area" localSheetId="36">'13 (24)'!$A$1:$K$19</definedName>
    <definedName name="_xlnm.Print_Area" localSheetId="37">'13 (25)'!$A$1:$K$20</definedName>
    <definedName name="_xlnm.Print_Area" localSheetId="38">'13 (26)'!$A$1:$K$18</definedName>
    <definedName name="_xlnm.Print_Area" localSheetId="39">'13 (27)'!$A$1:$K$18</definedName>
    <definedName name="_xlnm.Print_Area" localSheetId="40">'13 (28)'!$A$1:$K$17</definedName>
    <definedName name="_xlnm.Print_Area" localSheetId="41">'13 (29)'!$A$1:$K$18</definedName>
    <definedName name="_xlnm.Print_Area" localSheetId="15">'13 (3)'!$A$1:$K$17</definedName>
    <definedName name="_xlnm.Print_Area" localSheetId="42">'13 (30)'!$A$1:$K$17</definedName>
    <definedName name="_xlnm.Print_Area" localSheetId="43">'13 (31)'!$A$1:$K$21</definedName>
    <definedName name="_xlnm.Print_Area" localSheetId="44">'13 (32)'!$A$1:$K$18</definedName>
    <definedName name="_xlnm.Print_Area" localSheetId="45">'13 (33)'!$A$1:$K$19</definedName>
    <definedName name="_xlnm.Print_Area" localSheetId="46">'13 (34)'!$A$1:$K$17</definedName>
    <definedName name="_xlnm.Print_Area" localSheetId="47">'13 (35)'!$A$1:$K$19</definedName>
    <definedName name="_xlnm.Print_Area" localSheetId="48">'13 (36)'!$A$1:$K$21</definedName>
    <definedName name="_xlnm.Print_Area" localSheetId="49">'13 (37)'!$A$1:$K$25</definedName>
    <definedName name="_xlnm.Print_Area" localSheetId="50">'13 (38)'!$A$1:$K$23</definedName>
    <definedName name="_xlnm.Print_Area" localSheetId="51">'13 (39)'!$A$1:$K$17</definedName>
    <definedName name="_xlnm.Print_Area" localSheetId="16">'13 (4)'!$A$1:$K$17</definedName>
    <definedName name="_xlnm.Print_Area" localSheetId="52">'13 (40)'!$A$1:$K$17</definedName>
    <definedName name="_xlnm.Print_Area" localSheetId="54">'13 (41)'!$A$1:$K$17</definedName>
    <definedName name="_xlnm.Print_Area" localSheetId="55">'13 (42)'!$A$1:$K$19</definedName>
    <definedName name="_xlnm.Print_Area" localSheetId="56">'13 (43)'!$A$1:$K$18</definedName>
    <definedName name="_xlnm.Print_Area" localSheetId="57">'13 (44)'!$A$1:$K$22</definedName>
    <definedName name="_xlnm.Print_Area" localSheetId="58">'13 (45)'!$A$1:$K$21</definedName>
    <definedName name="_xlnm.Print_Area" localSheetId="59">'13 (46)'!$A$1:$K$18</definedName>
    <definedName name="_xlnm.Print_Area" localSheetId="60">'13 (47)'!$A$1:$K$17</definedName>
    <definedName name="_xlnm.Print_Area" localSheetId="61">'13 (48)'!$A$1:$K$17</definedName>
    <definedName name="_xlnm.Print_Area" localSheetId="62">'13 (49)'!$A$1:$K$17</definedName>
    <definedName name="_xlnm.Print_Area" localSheetId="17">'13 (5)'!$A$1:$K$17</definedName>
    <definedName name="_xlnm.Print_Area" localSheetId="63">'13 (50)'!$A$1:$K$22</definedName>
    <definedName name="_xlnm.Print_Area" localSheetId="65">'13 (51)'!$A$1:$K$19</definedName>
    <definedName name="_xlnm.Print_Area" localSheetId="66">'13 (52)'!$A$1:$K$17</definedName>
    <definedName name="_xlnm.Print_Area" localSheetId="68">'13 (53)'!$A$1:$K$18</definedName>
    <definedName name="_xlnm.Print_Area" localSheetId="69">'13 (54)'!$A$1:$K$18</definedName>
    <definedName name="_xlnm.Print_Area" localSheetId="70">'13 (55)'!$A$1:$K$19</definedName>
    <definedName name="_xlnm.Print_Area" localSheetId="72">'13 (56)'!$A$1:$K$17</definedName>
    <definedName name="_xlnm.Print_Area" localSheetId="71">'13 (57)'!$A$1:$K$20</definedName>
    <definedName name="_xlnm.Print_Area" localSheetId="53">'13 (58)'!$A$1:$K$17</definedName>
    <definedName name="_xlnm.Print_Area" localSheetId="64">'13 (59)'!$A$1:$K$33</definedName>
    <definedName name="_xlnm.Print_Area" localSheetId="18">'13 (6)'!$A$1:$K$17</definedName>
    <definedName name="_xlnm.Print_Area" localSheetId="74">'13 (60)'!$A$1:$K$17</definedName>
    <definedName name="_xlnm.Print_Area" localSheetId="67">'13 (61)'!$A$1:$K$18</definedName>
    <definedName name="_xlnm.Print_Area" localSheetId="75">'13 (62)'!$A$1:$K$18</definedName>
    <definedName name="_xlnm.Print_Area" localSheetId="73">'13 (63)'!$A$1:$K$17</definedName>
    <definedName name="_xlnm.Print_Area" localSheetId="76">'13 (64)'!$A$1:$K$17</definedName>
    <definedName name="_xlnm.Print_Area" localSheetId="77">'13 (65)'!$A$1:$K$17</definedName>
    <definedName name="_xlnm.Print_Area" localSheetId="78">'13 (66)'!$A$1:$K$17</definedName>
    <definedName name="_xlnm.Print_Area" localSheetId="79">'13 (67)'!$A$1:$K$17</definedName>
    <definedName name="_xlnm.Print_Area" localSheetId="80">'13 (68)'!$A$1:$K$17</definedName>
    <definedName name="_xlnm.Print_Area" localSheetId="81">'13 (69)'!$A$1:$K$17</definedName>
    <definedName name="_xlnm.Print_Area" localSheetId="19">'13 (7)'!$A$1:$K$17</definedName>
    <definedName name="_xlnm.Print_Area" localSheetId="82">'13 (70)'!$A$1:$K$17</definedName>
    <definedName name="_xlnm.Print_Area" localSheetId="83">'13 (71)'!$A$1:$K$20</definedName>
    <definedName name="_xlnm.Print_Area" localSheetId="84">'13 (72)'!$A$1:$K$20</definedName>
    <definedName name="_xlnm.Print_Area" localSheetId="85">'13 (73)'!$A$1:$K$17</definedName>
    <definedName name="_xlnm.Print_Area" localSheetId="86">'13 (74)'!$A$1:$K$18</definedName>
    <definedName name="_xlnm.Print_Area" localSheetId="87">'13 (75)'!$A$1:$K$18</definedName>
    <definedName name="_xlnm.Print_Area" localSheetId="88">'13 (76)'!$A$1:$K$17</definedName>
    <definedName name="_xlnm.Print_Area" localSheetId="90">'13 (77)'!$A$1:$K$18</definedName>
    <definedName name="_xlnm.Print_Area" localSheetId="91">'13 (78)'!$A$1:$K$17</definedName>
    <definedName name="_xlnm.Print_Area" localSheetId="92">'13 (79)'!$A$1:$K$17</definedName>
    <definedName name="_xlnm.Print_Area" localSheetId="20">'13 (8)'!$A$1:$K$18</definedName>
    <definedName name="_xlnm.Print_Area" localSheetId="93">'13 (80)'!$A$1:$K$17</definedName>
    <definedName name="_xlnm.Print_Area" localSheetId="94">'13 (81)'!$A$1:$K$17</definedName>
    <definedName name="_xlnm.Print_Area" localSheetId="95">'13 (82)'!$A$1:$K$17</definedName>
    <definedName name="_xlnm.Print_Area" localSheetId="96">'13 (83)'!$A$1:$K$17</definedName>
    <definedName name="_xlnm.Print_Area" localSheetId="89">'13 (84)'!$A$1:$K$17</definedName>
    <definedName name="_xlnm.Print_Area" localSheetId="97">'13 (85)'!$A$1:$K$17</definedName>
    <definedName name="_xlnm.Print_Area" localSheetId="98">'13 (86)'!$A$1:$K$18</definedName>
    <definedName name="_xlnm.Print_Area" localSheetId="101">'13 (87)'!$A$1:$K$22</definedName>
    <definedName name="_xlnm.Print_Area" localSheetId="99">'13 (88)'!$A$1:$K$17</definedName>
    <definedName name="_xlnm.Print_Area" localSheetId="102">'13 (89)'!$A$1:$K$19</definedName>
    <definedName name="_xlnm.Print_Area" localSheetId="21">'13 (9)'!$A$1:$K$25</definedName>
    <definedName name="_xlnm.Print_Area" localSheetId="104">'13 (90)'!$A$1:$K$18</definedName>
    <definedName name="_xlnm.Print_Area" localSheetId="110">'13 (91)'!$A$1:$K$19</definedName>
    <definedName name="_xlnm.Print_Area" localSheetId="120">'13 (92)'!$A$1:$K$19</definedName>
    <definedName name="_xlnm.Print_Area" localSheetId="121">'13 (93)'!$A$1:$K$20</definedName>
    <definedName name="_xlnm.Print_Area" localSheetId="100">'13 (94)'!$A$1:$K$17</definedName>
    <definedName name="_xlnm.Print_Area" localSheetId="109">'13 (95)'!$A$1:$K$18</definedName>
    <definedName name="_xlnm.Print_Area" localSheetId="136">'13 (96)'!$A$1:$K$21</definedName>
    <definedName name="_xlnm.Print_Area" localSheetId="116">'13 (97)'!$A$1:$K$19</definedName>
    <definedName name="_xlnm.Print_Area" localSheetId="117">'13 (98)'!$A$1:$K$18</definedName>
    <definedName name="_xlnm.Print_Area" localSheetId="105">'13 (99)'!$A$1:$K$17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" i="163" l="1"/>
  <c r="J16" i="163" s="1"/>
  <c r="I15" i="163"/>
  <c r="I16" i="163" s="1"/>
  <c r="J16" i="162"/>
  <c r="J17" i="162" s="1"/>
  <c r="I16" i="162"/>
  <c r="I17" i="162"/>
  <c r="J11" i="161"/>
  <c r="J12" i="161" s="1"/>
  <c r="I11" i="161"/>
  <c r="I12" i="161" s="1"/>
  <c r="J15" i="160"/>
  <c r="J16" i="160" s="1"/>
  <c r="I15" i="160"/>
  <c r="I16" i="160" s="1"/>
  <c r="J12" i="159"/>
  <c r="J13" i="159" s="1"/>
  <c r="I12" i="159"/>
  <c r="I13" i="159" s="1"/>
  <c r="J11" i="158"/>
  <c r="J12" i="158" s="1"/>
  <c r="I11" i="158"/>
  <c r="I12" i="158" s="1"/>
  <c r="J10" i="157"/>
  <c r="J11" i="157" s="1"/>
  <c r="I10" i="157"/>
  <c r="I11" i="157" s="1"/>
  <c r="J14" i="155"/>
  <c r="I14" i="155"/>
  <c r="J12" i="156"/>
  <c r="J13" i="156" s="1"/>
  <c r="I12" i="156"/>
  <c r="I13" i="156" s="1"/>
  <c r="J15" i="155"/>
  <c r="I15" i="155"/>
  <c r="J12" i="154"/>
  <c r="I12" i="154"/>
  <c r="J13" i="154"/>
  <c r="J11" i="153"/>
  <c r="J12" i="153" s="1"/>
  <c r="I11" i="153"/>
  <c r="I12" i="153" s="1"/>
  <c r="J10" i="152"/>
  <c r="J11" i="152" s="1"/>
  <c r="I10" i="152"/>
  <c r="I11" i="152" s="1"/>
  <c r="J11" i="151"/>
  <c r="J12" i="151" s="1"/>
  <c r="I11" i="151"/>
  <c r="I12" i="151" s="1"/>
  <c r="J10" i="150"/>
  <c r="J11" i="150" s="1"/>
  <c r="I10" i="150"/>
  <c r="I11" i="150" s="1"/>
  <c r="J11" i="149"/>
  <c r="I11" i="149"/>
  <c r="J12" i="149"/>
  <c r="I12" i="149"/>
  <c r="J10" i="148"/>
  <c r="J11" i="148" s="1"/>
  <c r="I10" i="148"/>
  <c r="I11" i="148" s="1"/>
  <c r="J10" i="147"/>
  <c r="J11" i="147" s="1"/>
  <c r="I10" i="147"/>
  <c r="I11" i="147" s="1"/>
  <c r="J10" i="146"/>
  <c r="J11" i="146" s="1"/>
  <c r="I10" i="146"/>
  <c r="I11" i="146" s="1"/>
  <c r="J10" i="145"/>
  <c r="J11" i="145" s="1"/>
  <c r="I10" i="145"/>
  <c r="I11" i="145" s="1"/>
  <c r="J14" i="144"/>
  <c r="J15" i="144" s="1"/>
  <c r="I14" i="144"/>
  <c r="I15" i="144" s="1"/>
  <c r="J11" i="143"/>
  <c r="J12" i="143" s="1"/>
  <c r="I11" i="143"/>
  <c r="I12" i="143" s="1"/>
  <c r="J13" i="142"/>
  <c r="J14" i="142" s="1"/>
  <c r="I13" i="142"/>
  <c r="I14" i="142" s="1"/>
  <c r="J13" i="141"/>
  <c r="J14" i="141" s="1"/>
  <c r="I13" i="141"/>
  <c r="I14" i="141" s="1"/>
  <c r="J15" i="140"/>
  <c r="J16" i="140" s="1"/>
  <c r="I15" i="140"/>
  <c r="I16" i="140" s="1"/>
  <c r="J10" i="139"/>
  <c r="J11" i="139" s="1"/>
  <c r="I10" i="139"/>
  <c r="I11" i="139" s="1"/>
  <c r="J10" i="138"/>
  <c r="J11" i="138" s="1"/>
  <c r="I10" i="138"/>
  <c r="I11" i="138" s="1"/>
  <c r="J13" i="137"/>
  <c r="J14" i="137" s="1"/>
  <c r="I13" i="137"/>
  <c r="I14" i="137" s="1"/>
  <c r="J14" i="136"/>
  <c r="J15" i="136" s="1"/>
  <c r="I14" i="136"/>
  <c r="I15" i="136" s="1"/>
  <c r="J14" i="135"/>
  <c r="I14" i="135"/>
  <c r="I15" i="135" s="1"/>
  <c r="J15" i="135"/>
  <c r="I13" i="131"/>
  <c r="I14" i="131" s="1"/>
  <c r="J13" i="131"/>
  <c r="J14" i="131" s="1"/>
  <c r="J11" i="134"/>
  <c r="J12" i="134" s="1"/>
  <c r="I11" i="134"/>
  <c r="I12" i="134" s="1"/>
  <c r="J11" i="133"/>
  <c r="J12" i="133" s="1"/>
  <c r="I11" i="133"/>
  <c r="I12" i="133" s="1"/>
  <c r="J10" i="132"/>
  <c r="J11" i="132" s="1"/>
  <c r="I10" i="132"/>
  <c r="I11" i="132" s="1"/>
  <c r="J10" i="130"/>
  <c r="J11" i="130" s="1"/>
  <c r="I10" i="130"/>
  <c r="I11" i="130" s="1"/>
  <c r="J10" i="129"/>
  <c r="J11" i="129" s="1"/>
  <c r="I10" i="129"/>
  <c r="I11" i="129" s="1"/>
  <c r="J10" i="128"/>
  <c r="J11" i="128" s="1"/>
  <c r="I10" i="128"/>
  <c r="I11" i="128" s="1"/>
  <c r="J11" i="127"/>
  <c r="J12" i="127" s="1"/>
  <c r="I11" i="127"/>
  <c r="I12" i="127" s="1"/>
  <c r="J12" i="126"/>
  <c r="J13" i="126" s="1"/>
  <c r="I12" i="126"/>
  <c r="I13" i="126" s="1"/>
  <c r="J14" i="125"/>
  <c r="J15" i="125" s="1"/>
  <c r="I14" i="125"/>
  <c r="I15" i="125" s="1"/>
  <c r="J11" i="124"/>
  <c r="J12" i="124" s="1"/>
  <c r="I11" i="124"/>
  <c r="I12" i="124" s="1"/>
  <c r="J10" i="123"/>
  <c r="J11" i="123" s="1"/>
  <c r="I10" i="123"/>
  <c r="I11" i="123" s="1"/>
  <c r="J13" i="122"/>
  <c r="I13" i="122"/>
  <c r="I14" i="122" s="1"/>
  <c r="J14" i="122"/>
  <c r="J12" i="121"/>
  <c r="J13" i="121" s="1"/>
  <c r="I12" i="121"/>
  <c r="I13" i="121" s="1"/>
  <c r="J12" i="120"/>
  <c r="J13" i="120" s="1"/>
  <c r="I12" i="120"/>
  <c r="J11" i="119"/>
  <c r="J12" i="119" s="1"/>
  <c r="I11" i="119"/>
  <c r="I12" i="119" s="1"/>
  <c r="J12" i="118"/>
  <c r="J13" i="118" s="1"/>
  <c r="I12" i="118"/>
  <c r="I13" i="118" s="1"/>
  <c r="J10" i="117"/>
  <c r="J11" i="117" s="1"/>
  <c r="I10" i="117"/>
  <c r="I11" i="117" s="1"/>
  <c r="J15" i="116"/>
  <c r="J16" i="116" s="1"/>
  <c r="I15" i="116"/>
  <c r="I16" i="116" s="1"/>
  <c r="J11" i="115"/>
  <c r="J12" i="115" s="1"/>
  <c r="I11" i="115"/>
  <c r="I12" i="115" s="1"/>
  <c r="J10" i="114"/>
  <c r="J11" i="114" s="1"/>
  <c r="I10" i="114"/>
  <c r="I11" i="114" s="1"/>
  <c r="J10" i="112"/>
  <c r="J11" i="112" s="1"/>
  <c r="I10" i="112"/>
  <c r="I11" i="112" s="1"/>
  <c r="J10" i="111"/>
  <c r="J11" i="111" s="1"/>
  <c r="I10" i="111"/>
  <c r="I11" i="111" s="1"/>
  <c r="J10" i="110"/>
  <c r="J11" i="110" s="1"/>
  <c r="I10" i="110"/>
  <c r="I11" i="110" s="1"/>
  <c r="J10" i="109"/>
  <c r="J11" i="109" s="1"/>
  <c r="I10" i="109"/>
  <c r="I11" i="109" s="1"/>
  <c r="J10" i="108"/>
  <c r="J11" i="108" s="1"/>
  <c r="I10" i="108"/>
  <c r="I11" i="108" s="1"/>
  <c r="J10" i="107"/>
  <c r="J11" i="107" s="1"/>
  <c r="I10" i="107"/>
  <c r="I11" i="107" s="1"/>
  <c r="J10" i="106"/>
  <c r="J11" i="106" s="1"/>
  <c r="I10" i="106"/>
  <c r="I11" i="106" s="1"/>
  <c r="J11" i="105"/>
  <c r="J12" i="105" s="1"/>
  <c r="I11" i="105"/>
  <c r="I12" i="105"/>
  <c r="J10" i="104"/>
  <c r="J11" i="104" s="1"/>
  <c r="I10" i="104"/>
  <c r="I11" i="104" s="1"/>
  <c r="J13" i="100"/>
  <c r="J14" i="100" s="1"/>
  <c r="I13" i="100"/>
  <c r="I14" i="100" s="1"/>
  <c r="J11" i="102"/>
  <c r="J12" i="102" s="1"/>
  <c r="I11" i="102"/>
  <c r="I12" i="102" s="1"/>
  <c r="J11" i="103"/>
  <c r="J12" i="103" s="1"/>
  <c r="I11" i="103"/>
  <c r="I12" i="103" s="1"/>
  <c r="J10" i="101"/>
  <c r="J11" i="101" s="1"/>
  <c r="I10" i="101"/>
  <c r="I11" i="101" s="1"/>
  <c r="J13" i="99"/>
  <c r="J14" i="99" s="1"/>
  <c r="I13" i="99"/>
  <c r="I14" i="99" s="1"/>
  <c r="J10" i="98"/>
  <c r="J11" i="98" s="1"/>
  <c r="I10" i="98"/>
  <c r="I11" i="98" s="1"/>
  <c r="J10" i="97"/>
  <c r="J11" i="97" s="1"/>
  <c r="I10" i="97"/>
  <c r="I11" i="97" s="1"/>
  <c r="J10" i="96"/>
  <c r="J11" i="96" s="1"/>
  <c r="I10" i="96"/>
  <c r="I11" i="96" s="1"/>
  <c r="J10" i="95"/>
  <c r="J11" i="95" s="1"/>
  <c r="I10" i="95"/>
  <c r="I11" i="95" s="1"/>
  <c r="J10" i="94"/>
  <c r="J11" i="94" s="1"/>
  <c r="I10" i="94"/>
  <c r="I11" i="94" s="1"/>
  <c r="J10" i="93"/>
  <c r="J11" i="93" s="1"/>
  <c r="I10" i="93"/>
  <c r="I11" i="93" s="1"/>
  <c r="J10" i="92"/>
  <c r="J11" i="92" s="1"/>
  <c r="I10" i="92"/>
  <c r="I11" i="92" s="1"/>
  <c r="J10" i="91"/>
  <c r="J11" i="91" s="1"/>
  <c r="I10" i="91"/>
  <c r="I11" i="91" s="1"/>
  <c r="J10" i="90"/>
  <c r="J11" i="90" s="1"/>
  <c r="I10" i="90"/>
  <c r="I11" i="90" s="1"/>
  <c r="J11" i="89"/>
  <c r="J12" i="89" s="1"/>
  <c r="I11" i="89"/>
  <c r="I12" i="89"/>
  <c r="J11" i="88"/>
  <c r="J12" i="88" s="1"/>
  <c r="I11" i="88"/>
  <c r="I12" i="88" s="1"/>
  <c r="J10" i="87"/>
  <c r="J11" i="87" s="1"/>
  <c r="I10" i="87"/>
  <c r="I11" i="87" s="1"/>
  <c r="J26" i="86"/>
  <c r="J27" i="86" s="1"/>
  <c r="I26" i="86"/>
  <c r="I27" i="86" s="1"/>
  <c r="J13" i="84"/>
  <c r="J14" i="84" s="1"/>
  <c r="I13" i="84"/>
  <c r="I14" i="84" s="1"/>
  <c r="J12" i="82"/>
  <c r="I12" i="82"/>
  <c r="J10" i="83"/>
  <c r="J11" i="83" s="1"/>
  <c r="I10" i="83"/>
  <c r="I11" i="83" s="1"/>
  <c r="J13" i="82"/>
  <c r="I13" i="82"/>
  <c r="J11" i="81"/>
  <c r="J12" i="81" s="1"/>
  <c r="I11" i="81"/>
  <c r="I12" i="81" s="1"/>
  <c r="J11" i="80"/>
  <c r="J12" i="80" s="1"/>
  <c r="I11" i="80"/>
  <c r="I12" i="80" s="1"/>
  <c r="J10" i="79"/>
  <c r="J11" i="79" s="1"/>
  <c r="I10" i="79"/>
  <c r="I11" i="79" s="1"/>
  <c r="J12" i="78"/>
  <c r="J13" i="78" s="1"/>
  <c r="I12" i="78"/>
  <c r="I13" i="78" s="1"/>
  <c r="J15" i="77"/>
  <c r="I15" i="77"/>
  <c r="J16" i="77"/>
  <c r="I16" i="77"/>
  <c r="J10" i="76"/>
  <c r="J11" i="76" s="1"/>
  <c r="I10" i="76"/>
  <c r="I11" i="76" s="1"/>
  <c r="J10" i="75"/>
  <c r="J11" i="75" s="1"/>
  <c r="I10" i="75"/>
  <c r="I11" i="75" s="1"/>
  <c r="J10" i="74"/>
  <c r="J11" i="74" s="1"/>
  <c r="I10" i="74"/>
  <c r="I11" i="74" s="1"/>
  <c r="J11" i="73"/>
  <c r="J12" i="73" s="1"/>
  <c r="I11" i="73"/>
  <c r="I12" i="73" s="1"/>
  <c r="J14" i="72"/>
  <c r="J15" i="72" s="1"/>
  <c r="I14" i="72"/>
  <c r="I15" i="72" s="1"/>
  <c r="J15" i="71"/>
  <c r="J16" i="71" s="1"/>
  <c r="I15" i="71"/>
  <c r="I16" i="71" s="1"/>
  <c r="J11" i="70"/>
  <c r="J12" i="70" s="1"/>
  <c r="I11" i="70"/>
  <c r="I12" i="70" s="1"/>
  <c r="J12" i="69"/>
  <c r="J13" i="69" s="1"/>
  <c r="I12" i="69"/>
  <c r="I13" i="69" s="1"/>
  <c r="J10" i="68"/>
  <c r="J11" i="68" s="1"/>
  <c r="I10" i="68"/>
  <c r="I11" i="68" s="1"/>
  <c r="I16" i="65"/>
  <c r="I17" i="65" s="1"/>
  <c r="J16" i="65"/>
  <c r="J17" i="65" s="1"/>
  <c r="J10" i="67"/>
  <c r="J11" i="67" s="1"/>
  <c r="I10" i="67"/>
  <c r="I11" i="67" s="1"/>
  <c r="J18" i="64"/>
  <c r="J19" i="64" s="1"/>
  <c r="I18" i="64"/>
  <c r="I19" i="64" s="1"/>
  <c r="J10" i="66"/>
  <c r="J11" i="66" s="1"/>
  <c r="I10" i="66"/>
  <c r="I11" i="66" s="1"/>
  <c r="J12" i="62"/>
  <c r="J13" i="62" s="1"/>
  <c r="I12" i="62"/>
  <c r="J14" i="63"/>
  <c r="J15" i="63" s="1"/>
  <c r="I14" i="63"/>
  <c r="I15" i="63" s="1"/>
  <c r="I13" i="62"/>
  <c r="J10" i="61"/>
  <c r="J11" i="61" s="1"/>
  <c r="I10" i="61"/>
  <c r="I11" i="61" s="1"/>
  <c r="J12" i="60"/>
  <c r="J13" i="60" s="1"/>
  <c r="I12" i="60"/>
  <c r="I13" i="60"/>
  <c r="J11" i="59"/>
  <c r="I11" i="59"/>
  <c r="I12" i="59" s="1"/>
  <c r="J12" i="59"/>
  <c r="J14" i="58"/>
  <c r="J15" i="58" s="1"/>
  <c r="I14" i="58"/>
  <c r="I15" i="58" s="1"/>
  <c r="J10" i="57"/>
  <c r="J11" i="57" s="1"/>
  <c r="I10" i="57"/>
  <c r="I11" i="57" s="1"/>
  <c r="J11" i="56"/>
  <c r="J12" i="56" s="1"/>
  <c r="I11" i="56"/>
  <c r="I12" i="56" s="1"/>
  <c r="J10" i="55"/>
  <c r="J11" i="55" s="1"/>
  <c r="I10" i="55"/>
  <c r="I11" i="55" s="1"/>
  <c r="J11" i="54"/>
  <c r="J12" i="54" s="1"/>
  <c r="I11" i="54"/>
  <c r="I12" i="54" s="1"/>
  <c r="J11" i="53"/>
  <c r="J12" i="53" s="1"/>
  <c r="I11" i="53"/>
  <c r="I12" i="53" s="1"/>
  <c r="J12" i="51"/>
  <c r="I12" i="51"/>
  <c r="I13" i="51" s="1"/>
  <c r="J13" i="52"/>
  <c r="J14" i="52" s="1"/>
  <c r="I13" i="52"/>
  <c r="I14" i="52" s="1"/>
  <c r="J15" i="50"/>
  <c r="I15" i="50"/>
  <c r="I16" i="50" s="1"/>
  <c r="J13" i="51"/>
  <c r="J16" i="50"/>
  <c r="J12" i="49"/>
  <c r="J13" i="49" s="1"/>
  <c r="I12" i="49"/>
  <c r="I13" i="49" s="1"/>
  <c r="J10" i="48"/>
  <c r="J11" i="48" s="1"/>
  <c r="I10" i="48"/>
  <c r="I11" i="48" s="1"/>
  <c r="J12" i="47"/>
  <c r="I12" i="47"/>
  <c r="I13" i="47" s="1"/>
  <c r="J13" i="47"/>
  <c r="I18" i="36"/>
  <c r="I19" i="36" s="1"/>
  <c r="J18" i="36"/>
  <c r="J19" i="36" s="1"/>
  <c r="J16" i="45"/>
  <c r="J17" i="45" s="1"/>
  <c r="I16" i="45"/>
  <c r="I17" i="45" s="1"/>
  <c r="J10" i="46"/>
  <c r="J11" i="46" s="1"/>
  <c r="I10" i="46"/>
  <c r="I11" i="46" s="1"/>
  <c r="J10" i="44"/>
  <c r="J11" i="44" s="1"/>
  <c r="I10" i="44"/>
  <c r="I11" i="44" s="1"/>
  <c r="J11" i="43"/>
  <c r="J12" i="43" s="1"/>
  <c r="I11" i="43"/>
  <c r="I12" i="43" s="1"/>
  <c r="J11" i="42"/>
  <c r="I11" i="42"/>
  <c r="I12" i="42" s="1"/>
  <c r="J12" i="42"/>
  <c r="J10" i="41"/>
  <c r="J11" i="41" s="1"/>
  <c r="I10" i="41"/>
  <c r="I11" i="41" s="1"/>
  <c r="J10" i="40"/>
  <c r="J11" i="40" s="1"/>
  <c r="I10" i="40"/>
  <c r="I11" i="40" s="1"/>
  <c r="J11" i="39"/>
  <c r="J12" i="39" s="1"/>
  <c r="I11" i="39"/>
  <c r="I12" i="39" s="1"/>
  <c r="J11" i="38"/>
  <c r="J12" i="38" s="1"/>
  <c r="I11" i="38"/>
  <c r="I12" i="38" s="1"/>
  <c r="J10" i="37"/>
  <c r="J11" i="37" s="1"/>
  <c r="I10" i="37"/>
  <c r="I11" i="37" s="1"/>
  <c r="J11" i="34"/>
  <c r="J12" i="34" s="1"/>
  <c r="I11" i="34"/>
  <c r="I12" i="34"/>
  <c r="J10" i="33"/>
  <c r="J11" i="33" s="1"/>
  <c r="I10" i="33"/>
  <c r="I11" i="33" s="1"/>
  <c r="J10" i="32"/>
  <c r="J11" i="32" s="1"/>
  <c r="I10" i="32"/>
  <c r="I11" i="32" s="1"/>
  <c r="J10" i="31"/>
  <c r="J11" i="31" s="1"/>
  <c r="I10" i="31"/>
  <c r="I11" i="31" s="1"/>
  <c r="J10" i="30"/>
  <c r="J11" i="30" s="1"/>
  <c r="I10" i="30"/>
  <c r="I11" i="30" s="1"/>
  <c r="J10" i="29"/>
  <c r="J11" i="29" s="1"/>
  <c r="I10" i="29"/>
  <c r="I11" i="29" s="1"/>
  <c r="J11" i="28"/>
  <c r="J12" i="28" s="1"/>
  <c r="I11" i="28"/>
  <c r="I12" i="28" s="1"/>
  <c r="I11" i="27"/>
  <c r="J11" i="27"/>
  <c r="I12" i="27"/>
  <c r="J12" i="27"/>
  <c r="I13" i="22"/>
  <c r="J13" i="22"/>
  <c r="I14" i="22"/>
  <c r="J14" i="22"/>
  <c r="I10" i="25"/>
  <c r="J10" i="25"/>
  <c r="I11" i="25"/>
  <c r="J11" i="25"/>
  <c r="I10" i="24"/>
  <c r="J10" i="24"/>
  <c r="I11" i="24"/>
  <c r="J11" i="24"/>
  <c r="I15" i="18"/>
  <c r="J15" i="18"/>
  <c r="I16" i="18"/>
  <c r="J16" i="18"/>
  <c r="I10" i="23"/>
  <c r="J10" i="23"/>
  <c r="I11" i="23"/>
  <c r="J11" i="23"/>
  <c r="I11" i="21"/>
  <c r="J11" i="21"/>
  <c r="I12" i="21"/>
  <c r="J12" i="21"/>
  <c r="I10" i="20"/>
  <c r="J10" i="20"/>
  <c r="I11" i="20"/>
  <c r="J11" i="20"/>
  <c r="I13" i="17"/>
  <c r="J13" i="17"/>
  <c r="I14" i="17"/>
  <c r="J14" i="17"/>
  <c r="I11" i="16"/>
  <c r="J11" i="16"/>
  <c r="I12" i="16"/>
  <c r="J12" i="16"/>
  <c r="I11" i="15"/>
  <c r="J11" i="15"/>
  <c r="I12" i="15"/>
  <c r="J12" i="15"/>
  <c r="I10" i="14"/>
  <c r="J10" i="14"/>
  <c r="I11" i="14"/>
  <c r="J11" i="14"/>
  <c r="I24" i="13"/>
  <c r="J24" i="13"/>
  <c r="I25" i="13"/>
  <c r="J25" i="13"/>
  <c r="I13" i="120" l="1"/>
  <c r="I13" i="154" l="1"/>
</calcChain>
</file>

<file path=xl/sharedStrings.xml><?xml version="1.0" encoding="utf-8"?>
<sst xmlns="http://schemas.openxmlformats.org/spreadsheetml/2006/main" count="6311" uniqueCount="1106">
  <si>
    <t>VIET DAN SERVICE TRADING PTE</t>
  </si>
  <si>
    <t>No
 STT</t>
  </si>
  <si>
    <t>01</t>
  </si>
  <si>
    <t>02</t>
  </si>
  <si>
    <t>03</t>
  </si>
  <si>
    <t>04</t>
  </si>
  <si>
    <t>05</t>
  </si>
  <si>
    <t>TỔNG CỘNG</t>
  </si>
  <si>
    <t>Product code
Mã hàng</t>
  </si>
  <si>
    <t>Order no
Số O</t>
  </si>
  <si>
    <t>Quantity
Số lượng</t>
  </si>
  <si>
    <t>Color
Màu</t>
  </si>
  <si>
    <t>06</t>
  </si>
  <si>
    <t>07</t>
  </si>
  <si>
    <t>08</t>
  </si>
  <si>
    <t>09</t>
  </si>
  <si>
    <t>10</t>
  </si>
  <si>
    <t>Black</t>
  </si>
  <si>
    <t>Division/ Bộ phận: design</t>
  </si>
  <si>
    <t>THỰC NHẬN</t>
  </si>
  <si>
    <t>11</t>
  </si>
  <si>
    <t>12</t>
  </si>
  <si>
    <t>13</t>
  </si>
  <si>
    <t>Gia công kí nhận</t>
  </si>
  <si>
    <t>Pack
Số bọc</t>
  </si>
  <si>
    <t>Navy 7699</t>
  </si>
  <si>
    <t>05279-01</t>
  </si>
  <si>
    <t>05280-01</t>
  </si>
  <si>
    <t>05281-01</t>
  </si>
  <si>
    <t>05283-01</t>
  </si>
  <si>
    <t>Dark Navy 
(289C)</t>
  </si>
  <si>
    <t>#6649
C-314-1059-007</t>
  </si>
  <si>
    <t>#6649
C-314-1059-048</t>
  </si>
  <si>
    <t>#6649
C-314-1059-002</t>
  </si>
  <si>
    <t>#6606
C-314-1059-003</t>
  </si>
  <si>
    <t>#6623
C-314-3682-014</t>
  </si>
  <si>
    <t>#6623
C-314-3682-001</t>
  </si>
  <si>
    <t>Dark navy 
289C</t>
  </si>
  <si>
    <t>#6649</t>
  </si>
  <si>
    <t>#6606</t>
  </si>
  <si>
    <t>05271-01</t>
  </si>
  <si>
    <t>05272-01</t>
  </si>
  <si>
    <t>#6623</t>
  </si>
  <si>
    <t>#6619
C-314-3573-001</t>
  </si>
  <si>
    <t>#6619
C-314-3573-062</t>
  </si>
  <si>
    <t>#6619
C-314-3573-002</t>
  </si>
  <si>
    <t>#6619
C-314-3573-003</t>
  </si>
  <si>
    <t>#6610
C-314-3573-064</t>
  </si>
  <si>
    <t>#6610
C-314-3573-063</t>
  </si>
  <si>
    <t>#6668
C-314-3573-012</t>
  </si>
  <si>
    <t>05273-01</t>
  </si>
  <si>
    <t>05274-01</t>
  </si>
  <si>
    <t>05275-01</t>
  </si>
  <si>
    <t>05276-01</t>
  </si>
  <si>
    <t>05277-01</t>
  </si>
  <si>
    <t>05278-01</t>
  </si>
  <si>
    <t>05282-01</t>
  </si>
  <si>
    <t xml:space="preserve">Black </t>
  </si>
  <si>
    <t>Dark Grey 
(431C)</t>
  </si>
  <si>
    <t>#6619</t>
  </si>
  <si>
    <t>#6610</t>
  </si>
  <si>
    <t>#6668</t>
  </si>
  <si>
    <t xml:space="preserve">Người giao kí </t>
  </si>
  <si>
    <t>14</t>
  </si>
  <si>
    <t>15</t>
  </si>
  <si>
    <t>PHIẾU XÁC NHẬN ĐÃ NHẬN TEM, NHÃN</t>
  </si>
  <si>
    <t>LABEL RECEIPT CONFIRMATION</t>
  </si>
  <si>
    <t>C-324-3861-004</t>
  </si>
  <si>
    <t>Satin 5cm</t>
  </si>
  <si>
    <t>195 cm</t>
  </si>
  <si>
    <t>C-324-3865-005</t>
  </si>
  <si>
    <t>185 cm</t>
  </si>
  <si>
    <t>Satin 3cm</t>
  </si>
  <si>
    <t>05078-01</t>
  </si>
  <si>
    <t>05140-01</t>
  </si>
  <si>
    <t>Type
Loại tem</t>
  </si>
  <si>
    <t>Detail
Nội dung tem</t>
  </si>
  <si>
    <t>Reason/ Lý do: giao nhãn may túi</t>
  </si>
  <si>
    <t xml:space="preserve">Supplier/ Gia công:                </t>
  </si>
  <si>
    <t>Cs Việt</t>
  </si>
  <si>
    <t>#6318
C-314-3624-001</t>
  </si>
  <si>
    <t>#6318</t>
  </si>
  <si>
    <t>05270-01</t>
  </si>
  <si>
    <t>C-177-1264-022</t>
  </si>
  <si>
    <t>C-177-1264-024</t>
  </si>
  <si>
    <t>165 cm</t>
  </si>
  <si>
    <t>05223-01</t>
  </si>
  <si>
    <t>05251-01</t>
  </si>
  <si>
    <t>Cs Phương</t>
  </si>
  <si>
    <t>May A</t>
  </si>
  <si>
    <t>C-176-2604-2-003</t>
  </si>
  <si>
    <t>05212-02</t>
  </si>
  <si>
    <t>Orange</t>
  </si>
  <si>
    <t>Blue plastic</t>
  </si>
  <si>
    <t>Pictogram S</t>
  </si>
  <si>
    <t>2604 2508 5201-5300</t>
  </si>
  <si>
    <t>Size: 10x10 (cm)</t>
  </si>
  <si>
    <t>Diễm</t>
  </si>
  <si>
    <t>C-177-1265-032</t>
  </si>
  <si>
    <t>C-177-1265-034</t>
  </si>
  <si>
    <t>C-177-1266-012</t>
  </si>
  <si>
    <t>C-177-1266-014</t>
  </si>
  <si>
    <t>05224-01</t>
  </si>
  <si>
    <t>05252-01</t>
  </si>
  <si>
    <t>05225-01</t>
  </si>
  <si>
    <t>05253-01</t>
  </si>
  <si>
    <t xml:space="preserve">BLACK </t>
  </si>
  <si>
    <t>175 cm</t>
  </si>
  <si>
    <t>Cs Liên</t>
  </si>
  <si>
    <t>C-177-5263-008</t>
  </si>
  <si>
    <t>C-177-5263-011</t>
  </si>
  <si>
    <t>C-177-5264-006</t>
  </si>
  <si>
    <t>C-177-5264-010</t>
  </si>
  <si>
    <t>C-177-5264-015</t>
  </si>
  <si>
    <t>C-177-5264-003</t>
  </si>
  <si>
    <t>165-185 cm</t>
  </si>
  <si>
    <t>175-195 cm</t>
  </si>
  <si>
    <t>05221-01</t>
  </si>
  <si>
    <t>05228-01</t>
  </si>
  <si>
    <t>05218-01</t>
  </si>
  <si>
    <t>05229-01</t>
  </si>
  <si>
    <t>05233-01</t>
  </si>
  <si>
    <t>05237-01</t>
  </si>
  <si>
    <t>Sơn Thành Đạt</t>
  </si>
  <si>
    <t>Hồng Hạnh</t>
  </si>
  <si>
    <t>C-177-10440-001</t>
  </si>
  <si>
    <t>05227-01</t>
  </si>
  <si>
    <t>Brugte ski</t>
  </si>
  <si>
    <t>Poly EMG</t>
  </si>
  <si>
    <t>C-176-7066-001</t>
  </si>
  <si>
    <t>Black/Grey</t>
  </si>
  <si>
    <t>05267-02</t>
  </si>
  <si>
    <t>C-176-7067-001</t>
  </si>
  <si>
    <t>05266-01</t>
  </si>
  <si>
    <t>#7067</t>
  </si>
  <si>
    <t>#7066</t>
  </si>
  <si>
    <t>Thái Châu HM</t>
  </si>
  <si>
    <t>C-176-2601-005</t>
  </si>
  <si>
    <t>C-176-2601-012</t>
  </si>
  <si>
    <t>05245-01</t>
  </si>
  <si>
    <t>05245-02</t>
  </si>
  <si>
    <t>05246-01</t>
  </si>
  <si>
    <t>05246-02</t>
  </si>
  <si>
    <t>2601 2509 1051-1550</t>
  </si>
  <si>
    <t>2601 2509 1551-2050</t>
  </si>
  <si>
    <t>2601 2509 2051-2550</t>
  </si>
  <si>
    <t>2601 2509 2551-3050</t>
  </si>
  <si>
    <t>Xuân Cảnh</t>
  </si>
  <si>
    <t>2940 2508 0101-0200</t>
  </si>
  <si>
    <t>C-176-2940-001</t>
  </si>
  <si>
    <t>05070-01</t>
  </si>
  <si>
    <t>C-176-5622-002</t>
  </si>
  <si>
    <t>5622 2508 1201-1400</t>
  </si>
  <si>
    <t>05027-01</t>
  </si>
  <si>
    <t>Thái Châu</t>
  </si>
  <si>
    <t>Tấn Trường</t>
  </si>
  <si>
    <t>5618 2508 0101-0200</t>
  </si>
  <si>
    <t>C-176-5618-003</t>
  </si>
  <si>
    <t>05041-01</t>
  </si>
  <si>
    <t xml:space="preserve">Ngày: </t>
  </si>
  <si>
    <t>Tình trạng</t>
  </si>
  <si>
    <t>Tình trạng:</t>
  </si>
  <si>
    <t>Ngày:</t>
  </si>
  <si>
    <t xml:space="preserve"> 10/06/2025</t>
  </si>
  <si>
    <t xml:space="preserve">Name/ Người đề xuất:  </t>
  </si>
  <si>
    <t>Mr Cường</t>
  </si>
  <si>
    <t xml:space="preserve">Hồng Hạnh </t>
  </si>
  <si>
    <t>C-176-2619-1-013</t>
  </si>
  <si>
    <t>99 2619 509 001-500</t>
  </si>
  <si>
    <t>C-176- 5616-005</t>
  </si>
  <si>
    <t>5616 2507 0201-0300</t>
  </si>
  <si>
    <t>05183-02</t>
  </si>
  <si>
    <t>05022-03</t>
  </si>
  <si>
    <t>Toàn Cầu</t>
  </si>
  <si>
    <t>C-176-4389-003</t>
  </si>
  <si>
    <t>05202-01</t>
  </si>
  <si>
    <t>05202-02</t>
  </si>
  <si>
    <t>Văn Hồng</t>
  </si>
  <si>
    <t>Long Sơn</t>
  </si>
  <si>
    <t>Cs Thành</t>
  </si>
  <si>
    <t>05027-02</t>
  </si>
  <si>
    <t>C-176-3154-007</t>
  </si>
  <si>
    <t>05208-01</t>
  </si>
  <si>
    <t>#3154</t>
  </si>
  <si>
    <t>4389 2508 4601-5100</t>
  </si>
  <si>
    <t>4390 2508 5101-5600</t>
  </si>
  <si>
    <t>05190-01</t>
  </si>
  <si>
    <t>C-176-4692-001</t>
  </si>
  <si>
    <t>#4692</t>
  </si>
  <si>
    <t>5622 2508 1401-1600</t>
  </si>
  <si>
    <t>Thu Hằng</t>
  </si>
  <si>
    <t>3579 2508 0501-1000</t>
  </si>
  <si>
    <t>05288-01</t>
  </si>
  <si>
    <t>C-176-3579-1-005</t>
  </si>
  <si>
    <t>C-176-4272-001</t>
  </si>
  <si>
    <t>05171-01</t>
  </si>
  <si>
    <t>4272 2508 0501-0800</t>
  </si>
  <si>
    <t>05041-02</t>
  </si>
  <si>
    <t>05064-01</t>
  </si>
  <si>
    <t>5618 2509 0301-0400</t>
  </si>
  <si>
    <t>5618 2509 0401-0500</t>
  </si>
  <si>
    <t>C-176-7024-001</t>
  </si>
  <si>
    <t>7024 2509 0151-0350</t>
  </si>
  <si>
    <t>C-176-7005-001</t>
  </si>
  <si>
    <t>99 7005 509 001-150</t>
  </si>
  <si>
    <t>C-176-3209-005</t>
  </si>
  <si>
    <t>3209 2509 5001-5200</t>
  </si>
  <si>
    <t>05205-01</t>
  </si>
  <si>
    <t>05167-01</t>
  </si>
  <si>
    <t>05287-01</t>
  </si>
  <si>
    <t>C-176-3234-004</t>
  </si>
  <si>
    <t>05286-01</t>
  </si>
  <si>
    <t>C-176-4896-006</t>
  </si>
  <si>
    <t>05193-01</t>
  </si>
  <si>
    <t>Grey</t>
  </si>
  <si>
    <t>White plastic</t>
  </si>
  <si>
    <t>C-176-7058-002</t>
  </si>
  <si>
    <t>#7058</t>
  </si>
  <si>
    <t>05306-01</t>
  </si>
  <si>
    <t>C-176-4139-002</t>
  </si>
  <si>
    <t>05206-01</t>
  </si>
  <si>
    <t>C-176-5572-011</t>
  </si>
  <si>
    <t>C-176-5572-005</t>
  </si>
  <si>
    <t>05203-01</t>
  </si>
  <si>
    <t>05261-01</t>
  </si>
  <si>
    <t>Poly / 
White plastic</t>
  </si>
  <si>
    <t>05202-03</t>
  </si>
  <si>
    <t>05202-04</t>
  </si>
  <si>
    <t>C-205-1157-002</t>
  </si>
  <si>
    <t>Silver/Black 
piping</t>
  </si>
  <si>
    <t>05299-01</t>
  </si>
  <si>
    <t>Poly 5cm</t>
  </si>
  <si>
    <t>EMG #5572</t>
  </si>
  <si>
    <t xml:space="preserve">EMG #5572 / 5572 Siemens </t>
  </si>
  <si>
    <t>4139 2509 0101-0200</t>
  </si>
  <si>
    <t>3234 2509 5001-5340</t>
  </si>
  <si>
    <t>4896 2509 0001-0050</t>
  </si>
  <si>
    <t>4389 2509 5101-5600</t>
  </si>
  <si>
    <t>4389 2509 5601-6100</t>
  </si>
  <si>
    <t>CS Thành</t>
  </si>
  <si>
    <t>Navy</t>
  </si>
  <si>
    <t>C-205-3040-001</t>
  </si>
  <si>
    <t>05298-01</t>
  </si>
  <si>
    <t>Poly Skomo</t>
  </si>
  <si>
    <t>Skomo</t>
  </si>
  <si>
    <t>05026-02</t>
  </si>
  <si>
    <t>05026-01</t>
  </si>
  <si>
    <t>C-176-4270-001</t>
  </si>
  <si>
    <t>4270 2509 0001-0300</t>
  </si>
  <si>
    <t>4270 2509 0301-0600</t>
  </si>
  <si>
    <t>C-176-2601-2-001</t>
  </si>
  <si>
    <t>2601 2510 5001-5400</t>
  </si>
  <si>
    <t>05293-01</t>
  </si>
  <si>
    <t xml:space="preserve">Pictogram </t>
  </si>
  <si>
    <t>Size M (12x12 cm)</t>
  </si>
  <si>
    <t>2940 2509 0201-0500</t>
  </si>
  <si>
    <t>05191-01</t>
  </si>
  <si>
    <t>C-176-3585 A-001</t>
  </si>
  <si>
    <t>3585 2510 5001-5384</t>
  </si>
  <si>
    <t>C-176-4897-3-020</t>
  </si>
  <si>
    <t>4897 2509 5001-5100</t>
  </si>
  <si>
    <t>C-176-2787-3-014</t>
  </si>
  <si>
    <t>2787 2509 0001-0100</t>
  </si>
  <si>
    <t>05207-01</t>
  </si>
  <si>
    <t>05196-01</t>
  </si>
  <si>
    <t>05260-01</t>
  </si>
  <si>
    <t>Pictogram</t>
  </si>
  <si>
    <t>C-176-4487-2-002</t>
  </si>
  <si>
    <t>05294-01</t>
  </si>
  <si>
    <t>05294-02</t>
  </si>
  <si>
    <t>4487 2510 5001-5200</t>
  </si>
  <si>
    <t>4487 2510 5201-5400</t>
  </si>
  <si>
    <t>Size L (17x17 cm)</t>
  </si>
  <si>
    <t>C-176-2619-2-001</t>
  </si>
  <si>
    <t>2619 2510 0001-0400</t>
  </si>
  <si>
    <t>05292-01</t>
  </si>
  <si>
    <t>C-176-64140-005</t>
  </si>
  <si>
    <t>05263-01</t>
  </si>
  <si>
    <t>6414 2510 0001-0100</t>
  </si>
  <si>
    <t>Poly EMG #5572</t>
  </si>
  <si>
    <t>C-176-5572-010</t>
  </si>
  <si>
    <t>Red</t>
  </si>
  <si>
    <t>04973-01</t>
  </si>
  <si>
    <t>Poly EMG #4701</t>
  </si>
  <si>
    <t>C-176-4701-002</t>
  </si>
  <si>
    <t>C-176-4701-003</t>
  </si>
  <si>
    <t>05304-01</t>
  </si>
  <si>
    <t>05303-01</t>
  </si>
  <si>
    <t>Navy Blue</t>
  </si>
  <si>
    <t>C-176-2651-009</t>
  </si>
  <si>
    <t>2651 2510 5801-6300</t>
  </si>
  <si>
    <t>05312-01</t>
  </si>
  <si>
    <t>05318-01</t>
  </si>
  <si>
    <t>5618 2510 0501-0600</t>
  </si>
  <si>
    <t>C-176-1225-2-002</t>
  </si>
  <si>
    <t>1225 2510 5001-5100</t>
  </si>
  <si>
    <t>05329-01</t>
  </si>
  <si>
    <t>C-176- 3579-1-003</t>
  </si>
  <si>
    <t>3579 2510 1001-1400</t>
  </si>
  <si>
    <t>05311-01</t>
  </si>
  <si>
    <t>C-176-5436-002</t>
  </si>
  <si>
    <t>White</t>
  </si>
  <si>
    <t>5436 2510 0001-0200</t>
  </si>
  <si>
    <t>C-176- 5616-006</t>
  </si>
  <si>
    <t>5616 2510 5001-5200</t>
  </si>
  <si>
    <t>05254-01</t>
  </si>
  <si>
    <t>05289-01</t>
  </si>
  <si>
    <t>C-176-3610-011</t>
  </si>
  <si>
    <t>3610 2510 0001-0400</t>
  </si>
  <si>
    <t>05258-01</t>
  </si>
  <si>
    <t>C-176-64115-002</t>
  </si>
  <si>
    <t>6411 2510 0001-0200</t>
  </si>
  <si>
    <t>7024 2510 0351-0550</t>
  </si>
  <si>
    <t>5616 2510 0301-0330</t>
  </si>
  <si>
    <t>05262-01</t>
  </si>
  <si>
    <t>05290-01</t>
  </si>
  <si>
    <t>05330-01</t>
  </si>
  <si>
    <t>BREAKING LOAD 2500 KGS</t>
  </si>
  <si>
    <t>C-176-3982-2-001</t>
  </si>
  <si>
    <t>3982 2510 5001-5100</t>
  </si>
  <si>
    <t>05327-01</t>
  </si>
  <si>
    <t>C-176-5327-2-002</t>
  </si>
  <si>
    <t>05326-01</t>
  </si>
  <si>
    <t>White plastic
Poly 5cm</t>
  </si>
  <si>
    <t>#5572</t>
  </si>
  <si>
    <t>C-176-3610-012</t>
  </si>
  <si>
    <t>05337-01</t>
  </si>
  <si>
    <t>05261-03</t>
  </si>
  <si>
    <t>3610 2509 1301-1400</t>
  </si>
  <si>
    <t>Huỳnh Minh Hùng</t>
  </si>
  <si>
    <t>C-176-2619-1-003</t>
  </si>
  <si>
    <t>C-176-2619-1-010</t>
  </si>
  <si>
    <t>05209-01</t>
  </si>
  <si>
    <t>05210-01</t>
  </si>
  <si>
    <t>2619 2509 0876-1275</t>
  </si>
  <si>
    <t>2619 2509 1276-1675</t>
  </si>
  <si>
    <t>C-176-4626-2-003</t>
  </si>
  <si>
    <t>05328-01</t>
  </si>
  <si>
    <t>4626 2510 5001-5100</t>
  </si>
  <si>
    <t>5618 2510 0601-0700</t>
  </si>
  <si>
    <t>05318-02</t>
  </si>
  <si>
    <t>C-176-5572-007</t>
  </si>
  <si>
    <t>05313-01</t>
  </si>
  <si>
    <t>White Plastic</t>
  </si>
  <si>
    <t>Vestas #5572</t>
  </si>
  <si>
    <t>C-176-35200-002</t>
  </si>
  <si>
    <t>3520 2510 5001-5100</t>
  </si>
  <si>
    <t>05256-01</t>
  </si>
  <si>
    <t>C-176-4897-1-015</t>
  </si>
  <si>
    <t>C-176-4897-1-016</t>
  </si>
  <si>
    <t>4897 2510 0706-0725</t>
  </si>
  <si>
    <t>4897 2510 0701-0705</t>
  </si>
  <si>
    <t>C-176-4487-2-003</t>
  </si>
  <si>
    <t>4487 2510 5401-5500</t>
  </si>
  <si>
    <t>C-176-3585 B-001</t>
  </si>
  <si>
    <t>3585 2510 0251-0550</t>
  </si>
  <si>
    <t>05322-01</t>
  </si>
  <si>
    <t>05323-01</t>
  </si>
  <si>
    <t>05325-01</t>
  </si>
  <si>
    <t>05321-01</t>
  </si>
  <si>
    <t>3579 2510 1401-1900</t>
  </si>
  <si>
    <t>3579 2510 1901-2400</t>
  </si>
  <si>
    <t>05334-01</t>
  </si>
  <si>
    <t>05334-02</t>
  </si>
  <si>
    <t>C-176-4896-005</t>
  </si>
  <si>
    <t>4896 2510 0001-0100</t>
  </si>
  <si>
    <t>C-176-4595-004</t>
  </si>
  <si>
    <t>4595 2509 0001-0200</t>
  </si>
  <si>
    <t>5616 2510 5201-5400</t>
  </si>
  <si>
    <t>05289-02</t>
  </si>
  <si>
    <t>05204-01</t>
  </si>
  <si>
    <t>05264-01</t>
  </si>
  <si>
    <t>2601 2510 3051-3450</t>
  </si>
  <si>
    <t>05340-01</t>
  </si>
  <si>
    <t>C-176-5718-002</t>
  </si>
  <si>
    <t>Marine Blue</t>
  </si>
  <si>
    <t>Poly 5 cm</t>
  </si>
  <si>
    <t>#5718</t>
  </si>
  <si>
    <t>C-176-2802-013</t>
  </si>
  <si>
    <t>#2802</t>
  </si>
  <si>
    <t>05332-01</t>
  </si>
  <si>
    <t>05333-01</t>
  </si>
  <si>
    <t>C-176-5221-1-001</t>
  </si>
  <si>
    <t>5221 2510 0301-0500</t>
  </si>
  <si>
    <t>05286-02</t>
  </si>
  <si>
    <t>05286-03</t>
  </si>
  <si>
    <t>3234 2510 5001-5340</t>
  </si>
  <si>
    <t>3234 2510 5341-5680</t>
  </si>
  <si>
    <t>05302-01</t>
  </si>
  <si>
    <t>05250-02</t>
  </si>
  <si>
    <t>#7058, tháng 9</t>
  </si>
  <si>
    <t>#7058, tháng 10</t>
  </si>
  <si>
    <t>DONE</t>
  </si>
  <si>
    <t>C-176-4467-2-002</t>
  </si>
  <si>
    <t>C-176-4952-002</t>
  </si>
  <si>
    <t>C-176-4952-003</t>
  </si>
  <si>
    <t>C-176-4952-004</t>
  </si>
  <si>
    <t>White/Grey</t>
  </si>
  <si>
    <t>#4952</t>
  </si>
  <si>
    <t>05324-01</t>
  </si>
  <si>
    <t>05315-01</t>
  </si>
  <si>
    <t>05316-01</t>
  </si>
  <si>
    <t>05317-01</t>
  </si>
  <si>
    <t>Size S (8x8 cm)</t>
  </si>
  <si>
    <t>4467 2510 5001-5110</t>
  </si>
  <si>
    <t>C-176-4844-001</t>
  </si>
  <si>
    <t>#4844</t>
  </si>
  <si>
    <t>05314-01</t>
  </si>
  <si>
    <t>05318-03</t>
  </si>
  <si>
    <t>05318-04</t>
  </si>
  <si>
    <t>5618 2511 0701-0800</t>
  </si>
  <si>
    <t>5618 2511 0801-0900</t>
  </si>
  <si>
    <t>05351-01</t>
  </si>
  <si>
    <t>4272 2510 0801-1000</t>
  </si>
  <si>
    <t>05319-01</t>
  </si>
  <si>
    <t>05319-02</t>
  </si>
  <si>
    <t>05319-03</t>
  </si>
  <si>
    <t>5616 2511 0331-0430</t>
  </si>
  <si>
    <t>5616 2511 0431-0530</t>
  </si>
  <si>
    <t>5616 2511 0531-0630</t>
  </si>
  <si>
    <t>05318-05</t>
  </si>
  <si>
    <t>5618 2511 0901-1000</t>
  </si>
  <si>
    <t>5618 2512 1001-1100</t>
  </si>
  <si>
    <t>05341-01</t>
  </si>
  <si>
    <t>C-176-4760-003</t>
  </si>
  <si>
    <t>05357-01</t>
  </si>
  <si>
    <t>4760 2511 0001-0100</t>
  </si>
  <si>
    <t>05319-04</t>
  </si>
  <si>
    <t>05319-05</t>
  </si>
  <si>
    <t>5616 2511 0631-0730</t>
  </si>
  <si>
    <t>5616 2512 0731-0830</t>
  </si>
  <si>
    <t>05302-02</t>
  </si>
  <si>
    <t>05302-03</t>
  </si>
  <si>
    <t>5221 2511 0501-0700</t>
  </si>
  <si>
    <t>5221 2511 0701-0800</t>
  </si>
  <si>
    <t>Vân</t>
  </si>
  <si>
    <t>C-176-4425-001</t>
  </si>
  <si>
    <t>4425 2511 0251-0550</t>
  </si>
  <si>
    <t>05364-01</t>
  </si>
  <si>
    <t>C-176-5327-3-003</t>
  </si>
  <si>
    <t>05359-01</t>
  </si>
  <si>
    <t>05359-02</t>
  </si>
  <si>
    <t>05359-03</t>
  </si>
  <si>
    <t>5327 2510 0101-0300</t>
  </si>
  <si>
    <t>5327 2511 0501-0600</t>
  </si>
  <si>
    <t>5327 2510 0301-0500</t>
  </si>
  <si>
    <t>C-176-2787-4-002</t>
  </si>
  <si>
    <t>2787 2511 5001-5500</t>
  </si>
  <si>
    <t>05365-01</t>
  </si>
  <si>
    <t>BP NL US</t>
  </si>
  <si>
    <t>C-176-4321-006</t>
  </si>
  <si>
    <t>05361-01</t>
  </si>
  <si>
    <t>05361-02</t>
  </si>
  <si>
    <t>BP VES</t>
  </si>
  <si>
    <t>4321 2511 5001-5200</t>
  </si>
  <si>
    <t>4321 2511 5201-5500</t>
  </si>
  <si>
    <t>Multi</t>
  </si>
  <si>
    <t>05341-02</t>
  </si>
  <si>
    <t>05341-03</t>
  </si>
  <si>
    <t>05341-04</t>
  </si>
  <si>
    <t>BL NL</t>
  </si>
  <si>
    <t>05073-02</t>
  </si>
  <si>
    <t>C-176-5499-001</t>
  </si>
  <si>
    <t>BL SIE CE</t>
  </si>
  <si>
    <t>5499 2509 0001-0600</t>
  </si>
  <si>
    <t>Reason/ Lý do: in lại cho GC</t>
  </si>
  <si>
    <t>BP NL</t>
  </si>
  <si>
    <t>5499, 4702 KH đổi
4389 GC may sai
2619 sản xuất lại</t>
  </si>
  <si>
    <t>C-176-4702-003</t>
  </si>
  <si>
    <t>BP SIE</t>
  </si>
  <si>
    <t>05255-01</t>
  </si>
  <si>
    <t>5618 2512 1101-1200</t>
  </si>
  <si>
    <t>5618 2512 1201-1300</t>
  </si>
  <si>
    <t>5618 2512 1301-1400</t>
  </si>
  <si>
    <t>C-176-2535-005</t>
  </si>
  <si>
    <t>2535 2511 0801-1200</t>
  </si>
  <si>
    <t>4702 2510 0001-0200</t>
  </si>
  <si>
    <t>05369-01</t>
  </si>
  <si>
    <t>C-176-2261-005</t>
  </si>
  <si>
    <t>#2261</t>
  </si>
  <si>
    <t>05376-01</t>
  </si>
  <si>
    <t>C-176-3225-003</t>
  </si>
  <si>
    <t>3225 2511 0801-1200</t>
  </si>
  <si>
    <t>05367-01</t>
  </si>
  <si>
    <t>C-176-7029-001</t>
  </si>
  <si>
    <t>05372-01</t>
  </si>
  <si>
    <t>7029 2511 0051-0250</t>
  </si>
  <si>
    <t>Reason/ Lý do: in tem cho GC</t>
  </si>
  <si>
    <t xml:space="preserve">C-176-2787-3-008     </t>
  </si>
  <si>
    <t>2787 2511 0501-1000</t>
  </si>
  <si>
    <t>2787 2511 1001-1500</t>
  </si>
  <si>
    <t>2787 2511 5501-6000</t>
  </si>
  <si>
    <t>C-176-4897-3-001</t>
  </si>
  <si>
    <t>BP VT</t>
  </si>
  <si>
    <t>4897 2511 5001-5100</t>
  </si>
  <si>
    <t>4897 2512 5001-5400</t>
  </si>
  <si>
    <t>05366-01</t>
  </si>
  <si>
    <t>05366-02</t>
  </si>
  <si>
    <t>05365-02</t>
  </si>
  <si>
    <t>05377-01</t>
  </si>
  <si>
    <t>05374-01</t>
  </si>
  <si>
    <t>05247-01</t>
  </si>
  <si>
    <t>05247-02</t>
  </si>
  <si>
    <t>5499 2510 0001-0200</t>
  </si>
  <si>
    <t>5499 2510 0201-0500</t>
  </si>
  <si>
    <t>C-176-4467-004</t>
  </si>
  <si>
    <t xml:space="preserve">Orange </t>
  </si>
  <si>
    <t>4467 2511 1511-1610</t>
  </si>
  <si>
    <t>05371-01</t>
  </si>
  <si>
    <t>C-176-4007-007</t>
  </si>
  <si>
    <t>#4007</t>
  </si>
  <si>
    <t>05382-01</t>
  </si>
  <si>
    <t>7024 2512 0551-0950</t>
  </si>
  <si>
    <t>WP NL</t>
  </si>
  <si>
    <t>05391-01</t>
  </si>
  <si>
    <t>05392-01</t>
  </si>
  <si>
    <t>C-176-3214-001</t>
  </si>
  <si>
    <t>3214 2511 5001-5300</t>
  </si>
  <si>
    <t>4467 2512 1611-1710</t>
  </si>
  <si>
    <t>4467 2512 1711-1810</t>
  </si>
  <si>
    <t>05371-02</t>
  </si>
  <si>
    <t>05371-03</t>
  </si>
  <si>
    <t>C-176-4872-001</t>
  </si>
  <si>
    <t>05388-01</t>
  </si>
  <si>
    <t>4872 2512 0001-0100</t>
  </si>
  <si>
    <t>C-176-4897-1-005</t>
  </si>
  <si>
    <t>4897 2511 0726-1125</t>
  </si>
  <si>
    <t>05373-01</t>
  </si>
  <si>
    <t>4272 2512 1001-1200</t>
  </si>
  <si>
    <t>4272 2512 1201-1400</t>
  </si>
  <si>
    <t>4272 2511 0001-0100</t>
  </si>
  <si>
    <t>C-176-4272-009</t>
  </si>
  <si>
    <t>05368-01</t>
  </si>
  <si>
    <t>05368-02</t>
  </si>
  <si>
    <t>05386-01</t>
  </si>
  <si>
    <t>16</t>
  </si>
  <si>
    <t>17</t>
  </si>
  <si>
    <t xml:space="preserve"> #6677
(C-314-5097-002)</t>
  </si>
  <si>
    <t xml:space="preserve"> #6677
(C-314-5097-004)</t>
  </si>
  <si>
    <t xml:space="preserve"> #6677
C-314-5097-001</t>
  </si>
  <si>
    <t>O-05395-01</t>
  </si>
  <si>
    <t>O-05396-01</t>
  </si>
  <si>
    <t>O-05398-01</t>
  </si>
  <si>
    <t>O-05399-01</t>
  </si>
  <si>
    <t>O-05400-01</t>
  </si>
  <si>
    <t>O-05401-01</t>
  </si>
  <si>
    <t>O-05402-01</t>
  </si>
  <si>
    <t>O-05403-01</t>
  </si>
  <si>
    <t>O-05404-01</t>
  </si>
  <si>
    <t>O-05405-01</t>
  </si>
  <si>
    <t>O-05406-01</t>
  </si>
  <si>
    <t>O-05407-01</t>
  </si>
  <si>
    <t>O-05407-02</t>
  </si>
  <si>
    <t>O-05408-01</t>
  </si>
  <si>
    <t>O-05409-01</t>
  </si>
  <si>
    <t>O-05410-01</t>
  </si>
  <si>
    <t>O-05411-01</t>
  </si>
  <si>
    <t>Dark navy 289C</t>
  </si>
  <si>
    <t>Dark Navy (289C)</t>
  </si>
  <si>
    <t>Dark Grey (431C)</t>
  </si>
  <si>
    <t>Dark Navy (289C) - RPET</t>
  </si>
  <si>
    <t>#6677</t>
  </si>
  <si>
    <t>05387-01</t>
  </si>
  <si>
    <t>C-176-5983-001</t>
  </si>
  <si>
    <t>5983 2512 0001-0100</t>
  </si>
  <si>
    <t>C- 176-5399-002</t>
  </si>
  <si>
    <t>5399 2512 0001-0050</t>
  </si>
  <si>
    <t>Check trùng</t>
  </si>
  <si>
    <t>Cập nhật</t>
  </si>
  <si>
    <t>Tên Gia Công</t>
  </si>
  <si>
    <t>Link</t>
  </si>
  <si>
    <t>13 (2)</t>
  </si>
  <si>
    <t>13 (3)</t>
  </si>
  <si>
    <t>13 (4)</t>
  </si>
  <si>
    <t>13 (5)</t>
  </si>
  <si>
    <t>13 (6)</t>
  </si>
  <si>
    <t>13 (7)</t>
  </si>
  <si>
    <t>13 (8)</t>
  </si>
  <si>
    <t>13 (9)</t>
  </si>
  <si>
    <t>13 (10)</t>
  </si>
  <si>
    <t>13 (11)</t>
  </si>
  <si>
    <t>13 (12)</t>
  </si>
  <si>
    <t>13 (13)</t>
  </si>
  <si>
    <t>13 (14)</t>
  </si>
  <si>
    <t>13 (15)</t>
  </si>
  <si>
    <t>13 (16)</t>
  </si>
  <si>
    <t>13 (17)</t>
  </si>
  <si>
    <t>13 (18)</t>
  </si>
  <si>
    <t>13 (19)</t>
  </si>
  <si>
    <t>13 (20)</t>
  </si>
  <si>
    <t>13 (21)</t>
  </si>
  <si>
    <t>13 (22)</t>
  </si>
  <si>
    <t>13 (23)</t>
  </si>
  <si>
    <t>13 (24)</t>
  </si>
  <si>
    <t>13 (25)</t>
  </si>
  <si>
    <t>13 (26)</t>
  </si>
  <si>
    <t>13 (27)</t>
  </si>
  <si>
    <t>13 (28)</t>
  </si>
  <si>
    <t>13 (29)</t>
  </si>
  <si>
    <t>13 (30)</t>
  </si>
  <si>
    <t>13 (31)</t>
  </si>
  <si>
    <t>13 (32)</t>
  </si>
  <si>
    <t>13 (33)</t>
  </si>
  <si>
    <t>13 (34)</t>
  </si>
  <si>
    <t>13 (35)</t>
  </si>
  <si>
    <t>13 (36)</t>
  </si>
  <si>
    <t>13 (37)</t>
  </si>
  <si>
    <t>13 (38)</t>
  </si>
  <si>
    <t>13 (39)</t>
  </si>
  <si>
    <t>13 (40)</t>
  </si>
  <si>
    <t>13 (41)</t>
  </si>
  <si>
    <t>13 (42)</t>
  </si>
  <si>
    <t>13 (43)</t>
  </si>
  <si>
    <t>13 (44)</t>
  </si>
  <si>
    <t>13 (45)</t>
  </si>
  <si>
    <t>13 (46)</t>
  </si>
  <si>
    <t>13 (47)</t>
  </si>
  <si>
    <t>13 (48)</t>
  </si>
  <si>
    <t>13 (49)</t>
  </si>
  <si>
    <t>13 (50)</t>
  </si>
  <si>
    <t>13 (59)</t>
  </si>
  <si>
    <t>13 (51)</t>
  </si>
  <si>
    <t>13 (52)</t>
  </si>
  <si>
    <t>13 (61)</t>
  </si>
  <si>
    <t>13 (53)</t>
  </si>
  <si>
    <t>13 (54)</t>
  </si>
  <si>
    <t>13 (55)</t>
  </si>
  <si>
    <t>13 (57)</t>
  </si>
  <si>
    <t>13 (56)</t>
  </si>
  <si>
    <t>13 (60)</t>
  </si>
  <si>
    <t>Ngày nhận</t>
  </si>
  <si>
    <t>Sheet</t>
  </si>
  <si>
    <t>1 (2)</t>
  </si>
  <si>
    <t>1 (3)</t>
  </si>
  <si>
    <t>1 (4)</t>
  </si>
  <si>
    <t>1 (5)</t>
  </si>
  <si>
    <t>1 (6)</t>
  </si>
  <si>
    <t>1 (7)</t>
  </si>
  <si>
    <t>1 (8)</t>
  </si>
  <si>
    <t>1 (9)</t>
  </si>
  <si>
    <t>1 (10)</t>
  </si>
  <si>
    <t>1 (11)</t>
  </si>
  <si>
    <t>1 (12)</t>
  </si>
  <si>
    <t>13 (1)</t>
  </si>
  <si>
    <t>[Go Page]</t>
  </si>
  <si>
    <t>BẢNG TỔNG HỢP TEM NHÃN 2025</t>
  </si>
  <si>
    <t>05371-04</t>
  </si>
  <si>
    <t>05371-05</t>
  </si>
  <si>
    <t>4467 2601 0001-0100</t>
  </si>
  <si>
    <t>4467 2601 0101-0200</t>
  </si>
  <si>
    <t>13 (62)</t>
  </si>
  <si>
    <t>Not yet</t>
  </si>
  <si>
    <t>Phụ lục - Not yet</t>
  </si>
  <si>
    <t>5499 sửa tem
Not yet</t>
  </si>
  <si>
    <t>05375-01</t>
  </si>
  <si>
    <t>05362-01</t>
  </si>
  <si>
    <t>C-176-4435-001</t>
  </si>
  <si>
    <t>05384-01</t>
  </si>
  <si>
    <t>4435 2512 0001-0100</t>
  </si>
  <si>
    <t>13 (58)</t>
  </si>
  <si>
    <t>13 (63)</t>
  </si>
  <si>
    <t>Reason/ Lý do: giao nhãn may túi (remake)</t>
  </si>
  <si>
    <t>C-176-7052-001</t>
  </si>
  <si>
    <t>#7052</t>
  </si>
  <si>
    <t>05416-01</t>
  </si>
  <si>
    <t>C-176-3459-002</t>
  </si>
  <si>
    <t>#3459</t>
  </si>
  <si>
    <t>05417-01</t>
  </si>
  <si>
    <t>13 (64)</t>
  </si>
  <si>
    <t>13 (65)</t>
  </si>
  <si>
    <t>13 (66)</t>
  </si>
  <si>
    <t>13 (67)</t>
  </si>
  <si>
    <t>13 (68)</t>
  </si>
  <si>
    <t>13 (69)</t>
  </si>
  <si>
    <t>13 (70)</t>
  </si>
  <si>
    <t>13 (71)</t>
  </si>
  <si>
    <t>13 (72)</t>
  </si>
  <si>
    <t>C-176- 1225-1-005</t>
  </si>
  <si>
    <t>1225 2512 0501-0700</t>
  </si>
  <si>
    <t>05432-01</t>
  </si>
  <si>
    <t>C-176-5913-001</t>
  </si>
  <si>
    <t>BL VT</t>
  </si>
  <si>
    <t>5913 2512 5001-5100</t>
  </si>
  <si>
    <t>05418-01</t>
  </si>
  <si>
    <t>05430-01</t>
  </si>
  <si>
    <t>3585 2512 5001-5384</t>
  </si>
  <si>
    <t>C-176-4390-003</t>
  </si>
  <si>
    <t>4390 2512 2001-2100</t>
  </si>
  <si>
    <t>C-176-4487-3-002</t>
  </si>
  <si>
    <t>4487 2512 0001-0100</t>
  </si>
  <si>
    <t>4897 2601 5001-5100</t>
  </si>
  <si>
    <t>4272 2601 0001-0200</t>
  </si>
  <si>
    <t>05415-01</t>
  </si>
  <si>
    <t>05419-01</t>
  </si>
  <si>
    <t>05424-01</t>
  </si>
  <si>
    <t>05429-01</t>
  </si>
  <si>
    <t>05383-01</t>
  </si>
  <si>
    <t>05394-01</t>
  </si>
  <si>
    <t>C-176- 5616-007</t>
  </si>
  <si>
    <t>Green</t>
  </si>
  <si>
    <t>05433-01</t>
  </si>
  <si>
    <t>5616 2512 0831-0880</t>
  </si>
  <si>
    <t>Thành</t>
  </si>
  <si>
    <t>05440-01</t>
  </si>
  <si>
    <t>05441-01</t>
  </si>
  <si>
    <t xml:space="preserve"> #63113
(C-314-10506-001)</t>
  </si>
  <si>
    <t>Satin 3 cm</t>
  </si>
  <si>
    <t>05397-01</t>
  </si>
  <si>
    <t>#63113</t>
  </si>
  <si>
    <t>C-176-5498-007</t>
  </si>
  <si>
    <t>05389-01</t>
  </si>
  <si>
    <t>05389-02</t>
  </si>
  <si>
    <t>WP SIE</t>
  </si>
  <si>
    <t>05431-01</t>
  </si>
  <si>
    <t>4270 2512 0601-0800</t>
  </si>
  <si>
    <t>13 (73)</t>
  </si>
  <si>
    <t>13 (74)</t>
  </si>
  <si>
    <t>13 (75)</t>
  </si>
  <si>
    <t>WP VT</t>
  </si>
  <si>
    <t>05423-01</t>
  </si>
  <si>
    <t>05423-02</t>
  </si>
  <si>
    <t>Poly #5572
White Plastic Vestas 5572
Mr Nghĩa đưa</t>
  </si>
  <si>
    <t>05390-01</t>
  </si>
  <si>
    <t>4467 2602 0201-0300</t>
  </si>
  <si>
    <t>C-176-64140-006</t>
  </si>
  <si>
    <t>05449-02</t>
  </si>
  <si>
    <t>05449-01</t>
  </si>
  <si>
    <t>6414 2601 0001-0200</t>
  </si>
  <si>
    <t>6414 2601 0201-0400</t>
  </si>
  <si>
    <t>C-176-4487-005</t>
  </si>
  <si>
    <t>05462-01</t>
  </si>
  <si>
    <t>4487 2601 5001-5400</t>
  </si>
  <si>
    <t>C-176-3982-001</t>
  </si>
  <si>
    <t>3982 2601 0001-0500</t>
  </si>
  <si>
    <t>05448-01</t>
  </si>
  <si>
    <t>C-176-4897-1-002</t>
  </si>
  <si>
    <t>05453-01</t>
  </si>
  <si>
    <t>4897 2601 0001-0400</t>
  </si>
  <si>
    <t>Liên</t>
  </si>
  <si>
    <t>C-176-7030-001</t>
  </si>
  <si>
    <t>05450-01</t>
  </si>
  <si>
    <t>7030 2601 0001-0300</t>
  </si>
  <si>
    <t>4897 2602 5001-5500</t>
  </si>
  <si>
    <t>05461-01</t>
  </si>
  <si>
    <t>C-176-3327-001</t>
  </si>
  <si>
    <t>05455-01</t>
  </si>
  <si>
    <t>13 (76)</t>
  </si>
  <si>
    <t>13 (77)</t>
  </si>
  <si>
    <t>13 (78)</t>
  </si>
  <si>
    <t>13 (79)</t>
  </si>
  <si>
    <t>13 (80)</t>
  </si>
  <si>
    <t>13 (81)</t>
  </si>
  <si>
    <t>13 (82)</t>
  </si>
  <si>
    <t>13 (83)</t>
  </si>
  <si>
    <t>05390-02</t>
  </si>
  <si>
    <t>4467 2602 0301-0400</t>
  </si>
  <si>
    <t>13 (84)</t>
  </si>
  <si>
    <t>C-176-3375-001</t>
  </si>
  <si>
    <t>05456-01</t>
  </si>
  <si>
    <t>C-176-3610-001</t>
  </si>
  <si>
    <t>05460-01</t>
  </si>
  <si>
    <t>05457-01</t>
  </si>
  <si>
    <t>3214 2601 5001-5400</t>
  </si>
  <si>
    <t>3610 2601 0001-0400</t>
  </si>
  <si>
    <t>13 (85)</t>
  </si>
  <si>
    <t>13 (86)</t>
  </si>
  <si>
    <t>13 (87)</t>
  </si>
  <si>
    <t>C-176-44165-2-001</t>
  </si>
  <si>
    <t>05459-01</t>
  </si>
  <si>
    <t>05459-02</t>
  </si>
  <si>
    <t>05459-03</t>
  </si>
  <si>
    <t>4416 2601 5001-5050</t>
  </si>
  <si>
    <t>4416 2601 5051-5100</t>
  </si>
  <si>
    <t>4416 2601 5101-5150</t>
  </si>
  <si>
    <t>05390-03</t>
  </si>
  <si>
    <t>05390-04</t>
  </si>
  <si>
    <t>4467 2602 0401-0500</t>
  </si>
  <si>
    <t>4467 2603 0501-0600</t>
  </si>
  <si>
    <t>O-05459</t>
  </si>
  <si>
    <t>10x10 cm</t>
  </si>
  <si>
    <t>x</t>
  </si>
  <si>
    <t>05476-01</t>
  </si>
  <si>
    <t>C-176-2601-018</t>
  </si>
  <si>
    <t>2601 2512 3451-3510</t>
  </si>
  <si>
    <t>13 (88)</t>
  </si>
  <si>
    <t>C-176-5616-007</t>
  </si>
  <si>
    <t>05433-02</t>
  </si>
  <si>
    <t>5616 2512 0881-0930</t>
  </si>
  <si>
    <t>05492-01</t>
  </si>
  <si>
    <t>#7058 2/2026</t>
  </si>
  <si>
    <t>05389-03/04</t>
  </si>
  <si>
    <t>#5498 2/2026</t>
  </si>
  <si>
    <t>O-05482-01</t>
  </si>
  <si>
    <t>C-176-3610-2-001</t>
  </si>
  <si>
    <t>RED</t>
  </si>
  <si>
    <t>BP SIE US</t>
  </si>
  <si>
    <t>3610 2602 5001-5200</t>
  </si>
  <si>
    <t>05483-01</t>
  </si>
  <si>
    <t xml:space="preserve">BP SIE </t>
  </si>
  <si>
    <t>4702 2602 0001-0400</t>
  </si>
  <si>
    <t>C-176-4702-004</t>
  </si>
  <si>
    <t xml:space="preserve">BP 2500 </t>
  </si>
  <si>
    <t>WLL 2500 kgs</t>
  </si>
  <si>
    <t>C-176-4578-001</t>
  </si>
  <si>
    <t>05506-01</t>
  </si>
  <si>
    <t>#4578</t>
  </si>
  <si>
    <t>C-176-2787-3-016</t>
  </si>
  <si>
    <t xml:space="preserve">C-176-2787-3-013        </t>
  </si>
  <si>
    <t>Marine blue</t>
  </si>
  <si>
    <t>05528-01</t>
  </si>
  <si>
    <t>05484-01</t>
  </si>
  <si>
    <t>2787 2601 0001-0050</t>
  </si>
  <si>
    <t>2787 2602 0001-0400</t>
  </si>
  <si>
    <t>05481-01</t>
  </si>
  <si>
    <t>4487 2602 5001-5400</t>
  </si>
  <si>
    <t>C-176-4165-2-001</t>
  </si>
  <si>
    <t>BP US</t>
  </si>
  <si>
    <t>4165 2601 5001-5050</t>
  </si>
  <si>
    <t>4165 2601 5051-5100</t>
  </si>
  <si>
    <t>4165 2601 5101-5150</t>
  </si>
  <si>
    <t>4467 2603 0601-0700</t>
  </si>
  <si>
    <t>05390-05</t>
  </si>
  <si>
    <t>05494-01</t>
  </si>
  <si>
    <t>3982 2602 0501-0800</t>
  </si>
  <si>
    <t>05496-01</t>
  </si>
  <si>
    <t>2651 2602 0001-0500</t>
  </si>
  <si>
    <t>#2475</t>
  </si>
  <si>
    <t>C-176-2475-1-005</t>
  </si>
  <si>
    <t>05517-01</t>
  </si>
  <si>
    <t>C-176- 4626-001</t>
  </si>
  <si>
    <t>C-176-4626-007</t>
  </si>
  <si>
    <t>05491-01</t>
  </si>
  <si>
    <t>05491-02</t>
  </si>
  <si>
    <t>05491-03</t>
  </si>
  <si>
    <t>05519-01</t>
  </si>
  <si>
    <t>4626 2603 0001-0500</t>
  </si>
  <si>
    <t>4626 2603 0501-1000</t>
  </si>
  <si>
    <t>4626 2603 1001-1500</t>
  </si>
  <si>
    <t>4626 2602 0001-0200</t>
  </si>
  <si>
    <t>C-176-5683-001</t>
  </si>
  <si>
    <t>05503-01</t>
  </si>
  <si>
    <t>#5683</t>
  </si>
  <si>
    <t>05489-01</t>
  </si>
  <si>
    <t>05489-02</t>
  </si>
  <si>
    <t>05489-03</t>
  </si>
  <si>
    <t xml:space="preserve">BP NL </t>
  </si>
  <si>
    <t>4389 2602 0001-0500</t>
  </si>
  <si>
    <t>4389 2602 0501-1000</t>
  </si>
  <si>
    <t>4389 2602 1001-1200</t>
  </si>
  <si>
    <t>13 (94)</t>
  </si>
  <si>
    <t>13 (89)</t>
  </si>
  <si>
    <t>13 (90)</t>
  </si>
  <si>
    <t>13 (95)</t>
  </si>
  <si>
    <t>13 (91)</t>
  </si>
  <si>
    <t>13 (97)</t>
  </si>
  <si>
    <t>13 (92)</t>
  </si>
  <si>
    <t>13 (93)</t>
  </si>
  <si>
    <t>13 (96)</t>
  </si>
  <si>
    <t>05512-01</t>
  </si>
  <si>
    <t>05512-02</t>
  </si>
  <si>
    <t>C-176-3579-1-001</t>
  </si>
  <si>
    <t xml:space="preserve">BP VES </t>
  </si>
  <si>
    <t>3579 2602 5001-5500</t>
  </si>
  <si>
    <t>3579 2603 5001-5500</t>
  </si>
  <si>
    <t>05536-01</t>
  </si>
  <si>
    <t>#3375</t>
  </si>
  <si>
    <t>13 (99)</t>
  </si>
  <si>
    <t>13 (98)</t>
  </si>
  <si>
    <t>13 (100)</t>
  </si>
  <si>
    <t>C-176-4578-002</t>
  </si>
  <si>
    <t>05506-02</t>
  </si>
  <si>
    <t>13 (101)</t>
  </si>
  <si>
    <t>13 (102)</t>
  </si>
  <si>
    <t>C-176-2559-004</t>
  </si>
  <si>
    <t>05515-01</t>
  </si>
  <si>
    <t>#2559</t>
  </si>
  <si>
    <t>13 (103)</t>
  </si>
  <si>
    <t>05479-01</t>
  </si>
  <si>
    <t>2604 2602 5001-5400</t>
  </si>
  <si>
    <t>2619 2602 5001-5400</t>
  </si>
  <si>
    <t>05480-01</t>
  </si>
  <si>
    <t>13 (104)</t>
  </si>
  <si>
    <t>05475-01</t>
  </si>
  <si>
    <t>C-176-5616-006</t>
  </si>
  <si>
    <t>05510-01</t>
  </si>
  <si>
    <t>5616 2602 5001-5100</t>
  </si>
  <si>
    <t>O-05513-01</t>
  </si>
  <si>
    <t>O-05513-02</t>
  </si>
  <si>
    <t>3214 2603 5001-5400</t>
  </si>
  <si>
    <t>3214 2603 5401-5700</t>
  </si>
  <si>
    <t>O-05502-01</t>
  </si>
  <si>
    <t>O-05539-01</t>
  </si>
  <si>
    <t>4435 2602 0001-0050</t>
  </si>
  <si>
    <t>4435 2603 0051-0450</t>
  </si>
  <si>
    <t>O-05538-01</t>
  </si>
  <si>
    <t>2601 2603 0001-0050</t>
  </si>
  <si>
    <t>O-05487-01</t>
  </si>
  <si>
    <t>O-05487-02</t>
  </si>
  <si>
    <t>O-05487-03</t>
  </si>
  <si>
    <t>4272 2602 0201-0400</t>
  </si>
  <si>
    <t>4272 2602 0401-0600</t>
  </si>
  <si>
    <t>4272 2603 0601-0900</t>
  </si>
  <si>
    <t>O-05497-01</t>
  </si>
  <si>
    <t>4897 2602 0401-0500</t>
  </si>
  <si>
    <t>O-05481-01</t>
  </si>
  <si>
    <t>L(17)</t>
  </si>
  <si>
    <t>L (17)</t>
  </si>
  <si>
    <t>O-05524-01</t>
  </si>
  <si>
    <t>4896 2603 0001-0100</t>
  </si>
  <si>
    <t>O-05510-02</t>
  </si>
  <si>
    <t>5616 2602 5101-5200</t>
  </si>
  <si>
    <t>C-176-3209-004</t>
  </si>
  <si>
    <t>O-05525-01</t>
  </si>
  <si>
    <t>3209 2603 0001-0100</t>
  </si>
  <si>
    <t>C-176-2604-1-014</t>
  </si>
  <si>
    <t>O-05518-01</t>
  </si>
  <si>
    <t>2604 2603 0001-0400</t>
  </si>
  <si>
    <t>O-05544-01</t>
  </si>
  <si>
    <t>3225 2603 0001-0400</t>
  </si>
  <si>
    <t>C-176-4140-004</t>
  </si>
  <si>
    <t>O-05530-01</t>
  </si>
  <si>
    <t>#4140</t>
  </si>
  <si>
    <t>C-176-4897-3-019</t>
  </si>
  <si>
    <t>O-05522-01</t>
  </si>
  <si>
    <t>4897 2603 0001-0100</t>
  </si>
  <si>
    <t>C-176-4487-004</t>
  </si>
  <si>
    <t>O-05486-01</t>
  </si>
  <si>
    <t>O-05486-02</t>
  </si>
  <si>
    <t>4487 2603 0001-0300</t>
  </si>
  <si>
    <t>4487 2603 0301-0500</t>
  </si>
  <si>
    <t>C-176-2787-4-004</t>
  </si>
  <si>
    <t>O-05529-01</t>
  </si>
  <si>
    <t>2787 2602 5001-5300</t>
  </si>
  <si>
    <t>O-05490-02</t>
  </si>
  <si>
    <t>5622 2602 0201-0400</t>
  </si>
  <si>
    <t>O-05523-01</t>
  </si>
  <si>
    <t>4272 2603 0001-0100</t>
  </si>
  <si>
    <t>O-05537-01</t>
  </si>
  <si>
    <t>O-05537-02</t>
  </si>
  <si>
    <t>O-05537-03</t>
  </si>
  <si>
    <t>5616 2604 0001-0100</t>
  </si>
  <si>
    <t>5616 2604 0101-0200</t>
  </si>
  <si>
    <t>5616 2604 0201-0300</t>
  </si>
  <si>
    <t>O-05557-01</t>
  </si>
  <si>
    <t>O-05488-03</t>
  </si>
  <si>
    <t>5618 2603 0201-0300</t>
  </si>
  <si>
    <t>O-05390-07</t>
  </si>
  <si>
    <t>O-05390-08</t>
  </si>
  <si>
    <t>O-05390-09</t>
  </si>
  <si>
    <t>4467 2604 0801-0900</t>
  </si>
  <si>
    <t>4467 2604 0901-1000</t>
  </si>
  <si>
    <t>4467 2604 1001-1100</t>
  </si>
  <si>
    <t>O-05563-01</t>
  </si>
  <si>
    <t>O-05563-02</t>
  </si>
  <si>
    <t>3579 2604 0901-1400</t>
  </si>
  <si>
    <t>3579 2604 1401-1900</t>
  </si>
  <si>
    <t>O-05554-01</t>
  </si>
  <si>
    <t>C-176-4165-4-001</t>
  </si>
  <si>
    <t>4165 2604 5001-5100</t>
  </si>
  <si>
    <t>C-176-4165-4-002</t>
  </si>
  <si>
    <t>O-05390-10</t>
  </si>
  <si>
    <t>O-05485-01</t>
  </si>
  <si>
    <t>O-05485-02</t>
  </si>
  <si>
    <t>4467 2604 1101-1200</t>
  </si>
  <si>
    <t>4467 2605 1201-1300</t>
  </si>
  <si>
    <t>4467 2605 1301-1400</t>
  </si>
  <si>
    <t>13 (105)</t>
  </si>
  <si>
    <t>13 (108)</t>
  </si>
  <si>
    <t>13 (106)</t>
  </si>
  <si>
    <t>13 (107)</t>
  </si>
  <si>
    <t>13 (109)</t>
  </si>
  <si>
    <t>13 (110)</t>
  </si>
  <si>
    <t>13 (111)</t>
  </si>
  <si>
    <t>13 (115)</t>
  </si>
  <si>
    <t>13 (112)</t>
  </si>
  <si>
    <t>13 (113)</t>
  </si>
  <si>
    <t>13 (114)</t>
  </si>
  <si>
    <t>05540-01/02</t>
  </si>
  <si>
    <t>Poly</t>
  </si>
  <si>
    <t>O-05575-01</t>
  </si>
  <si>
    <t>3610 2606 0401-0600</t>
  </si>
  <si>
    <t>O-05485-03</t>
  </si>
  <si>
    <t>4467 2605 1401-1500</t>
  </si>
  <si>
    <t>O-05582-01</t>
  </si>
  <si>
    <t>Chưa phát pictogram</t>
  </si>
  <si>
    <t>2619 2604 5001-5400</t>
  </si>
  <si>
    <t>O-05485-04</t>
  </si>
  <si>
    <t>O-05485-05</t>
  </si>
  <si>
    <t>4467 2606 1501-1600</t>
  </si>
  <si>
    <t>4467 2606 1601-1700</t>
  </si>
  <si>
    <t>Việt</t>
  </si>
  <si>
    <t>C-176-2651-2-017</t>
  </si>
  <si>
    <t>O-05581-01</t>
  </si>
  <si>
    <t>2651 2604 0001-0200</t>
  </si>
  <si>
    <t>C-176-3982-006</t>
  </si>
  <si>
    <t>O-05589-01</t>
  </si>
  <si>
    <t>3982 2604 5001-5400</t>
  </si>
  <si>
    <t>O-05574-01</t>
  </si>
  <si>
    <t>2601 2606 0051-0350</t>
  </si>
  <si>
    <t>HJ</t>
  </si>
  <si>
    <t>O-05579-01</t>
  </si>
  <si>
    <t>3585 2606 5001-5384</t>
  </si>
  <si>
    <t>O-05573-01</t>
  </si>
  <si>
    <t>3579 2606 1901-2400</t>
  </si>
  <si>
    <t>O-05578-01</t>
  </si>
  <si>
    <t>4897 2606 5001-5200</t>
  </si>
  <si>
    <t>13 (116)</t>
  </si>
  <si>
    <t>13 (117)</t>
  </si>
  <si>
    <t>13 (118)</t>
  </si>
  <si>
    <t>13 (119)</t>
  </si>
  <si>
    <t>13 (120)</t>
  </si>
  <si>
    <t>13 (122)</t>
  </si>
  <si>
    <t>13 (124)</t>
  </si>
  <si>
    <t>13 (121)</t>
  </si>
  <si>
    <t>13 (123)</t>
  </si>
  <si>
    <t>O-05485-06</t>
  </si>
  <si>
    <t>O-05485-07</t>
  </si>
  <si>
    <t>O-05195-03</t>
  </si>
  <si>
    <t>C-176-5555-002</t>
  </si>
  <si>
    <t>5555 2605 0001-0020</t>
  </si>
  <si>
    <t>O-05577-01</t>
  </si>
  <si>
    <t>O-05623-01</t>
  </si>
  <si>
    <t>O-05629-01</t>
  </si>
  <si>
    <t>C-176-2651-016</t>
  </si>
  <si>
    <t xml:space="preserve">Marine Blue </t>
  </si>
  <si>
    <t>O-05614-03</t>
  </si>
  <si>
    <t>O-05619-01</t>
  </si>
  <si>
    <t>C-176-2651-2-002</t>
  </si>
  <si>
    <t>Đã giao kèm pictogram</t>
  </si>
  <si>
    <t>C-176-4760-004</t>
  </si>
  <si>
    <t>O-05622-01</t>
  </si>
  <si>
    <t>O-05643-01</t>
  </si>
  <si>
    <t>O-05661-01</t>
  </si>
  <si>
    <t>4760 2605 0201-0220</t>
  </si>
  <si>
    <t>2651 2605 5001-5100</t>
  </si>
  <si>
    <t>2651 2605 2001-2500</t>
  </si>
  <si>
    <t>2651 2606 2501-2800</t>
  </si>
  <si>
    <t>5399 2605 0001-0020</t>
  </si>
  <si>
    <t>2619 2606 0001-0300</t>
  </si>
  <si>
    <t>13 (125)</t>
  </si>
  <si>
    <t>13 (126)</t>
  </si>
  <si>
    <t>13 (127)</t>
  </si>
  <si>
    <t>C-176-7079-001</t>
  </si>
  <si>
    <t>O-05667-01</t>
  </si>
  <si>
    <t>7079 2605 0001-0100</t>
  </si>
  <si>
    <t>13 (128)</t>
  </si>
  <si>
    <t>O-05639-01</t>
  </si>
  <si>
    <t>O-05639-02</t>
  </si>
  <si>
    <t>2601 2606 0351-0850</t>
  </si>
  <si>
    <t>2601 2606 0851-1350</t>
  </si>
  <si>
    <t>O-05614-01</t>
  </si>
  <si>
    <t>O-05614-02</t>
  </si>
  <si>
    <t>2651 2605 1001-1500</t>
  </si>
  <si>
    <t>2651 2605 1501-2000</t>
  </si>
  <si>
    <t>O-05642-01</t>
  </si>
  <si>
    <t>4897 2606 1001-1400</t>
  </si>
  <si>
    <t>C-176-2534-004</t>
  </si>
  <si>
    <t>O-05644-01</t>
  </si>
  <si>
    <t>2534 2606 0001-0500</t>
  </si>
  <si>
    <t>O-05632-01</t>
  </si>
  <si>
    <t>3234 2606 5001-5340</t>
  </si>
  <si>
    <t>O-05633-01</t>
  </si>
  <si>
    <t>5616 2606 5001-5100</t>
  </si>
  <si>
    <t>O-05658-01</t>
  </si>
  <si>
    <t>3209 2606 0101-0200</t>
  </si>
  <si>
    <t>O-05647-01</t>
  </si>
  <si>
    <t>6414 2606 0451-0551</t>
  </si>
  <si>
    <t>13 (131)</t>
  </si>
  <si>
    <t>13 (130)</t>
  </si>
  <si>
    <t>13 (129)</t>
  </si>
  <si>
    <t>C-176-5557-002</t>
  </si>
  <si>
    <t>O-05588-01</t>
  </si>
  <si>
    <t>5557 2606 0001-0050</t>
  </si>
  <si>
    <t>C-176-64115-003</t>
  </si>
  <si>
    <t>O-05648-01</t>
  </si>
  <si>
    <t>6411 2606 0201-0250</t>
  </si>
  <si>
    <t>O-05627-01</t>
  </si>
  <si>
    <t>C-176-4321-005</t>
  </si>
  <si>
    <t>4321 2606 0501-0600</t>
  </si>
  <si>
    <t>C-176-2535-012</t>
  </si>
  <si>
    <t>O-05775-01</t>
  </si>
  <si>
    <t>O-05791-01</t>
  </si>
  <si>
    <t>2535 2607 0501-0750</t>
  </si>
  <si>
    <t>2535 2607 5001-5750</t>
  </si>
  <si>
    <t>O-05780-02</t>
  </si>
  <si>
    <t>C-176-2601-016</t>
  </si>
  <si>
    <t>2601 2607 0501-0900</t>
  </si>
  <si>
    <t>2601 2608 0001-0100</t>
  </si>
  <si>
    <t>O-05780-03</t>
  </si>
  <si>
    <t>O-05780-04</t>
  </si>
  <si>
    <t>2601 2608 0101-0600</t>
  </si>
  <si>
    <t>2601 2608 0601-0900</t>
  </si>
  <si>
    <t>2601 2609 0001-0200</t>
  </si>
  <si>
    <t>Hàng chia theo bịch tem, 
không trộn chung dù cùng số O</t>
  </si>
  <si>
    <t>O-05776-01</t>
  </si>
  <si>
    <t>O-05777-01</t>
  </si>
  <si>
    <t>O-05789-01</t>
  </si>
  <si>
    <t>C-176-3585 B-004</t>
  </si>
  <si>
    <t>3585 2607 0101-0350</t>
  </si>
  <si>
    <t>3585 2607 5001-5500</t>
  </si>
  <si>
    <t>3585 2608 0001-0100</t>
  </si>
  <si>
    <t>O-05771-01</t>
  </si>
  <si>
    <t>2787 2607 5001-5200</t>
  </si>
  <si>
    <t>Pictogram M</t>
  </si>
  <si>
    <t>O-05784-01</t>
  </si>
  <si>
    <t>4272 2607 0001-0100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</si>
</sst>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\ _B_F_-;\-* #,##0\ _B_F_-;_-* &quot;-&quot;\ _B_F_-;_-@_-"/>
    <numFmt numFmtId="165" formatCode="0.000"/>
    <numFmt numFmtId="166" formatCode="[$-409]d/mmm/yy;@"/>
    <numFmt numFmtId="167" formatCode="[$-409]d\-mmm;@"/>
    <numFmt numFmtId="168" formatCode="dd/mm/yyyy"/>
  </numFmts>
  <fonts count="25" x14ac:knownFonts="1">
    <font>
      <sz val="11"/>
      <color theme="1"/>
      <name val="Aptos Narrow"/>
      <family val="2"/>
      <scheme val="minor"/>
    </font>
    <font>
      <sz val="10"/>
      <name val="Helv"/>
      <family val="2"/>
    </font>
    <font>
      <sz val="10"/>
      <name val="Arial"/>
      <family val="2"/>
    </font>
    <font>
      <sz val="8"/>
      <name val="Aptos Narrow"/>
      <family val="2"/>
    </font>
    <font>
      <sz val="8"/>
      <name val="Aptos Narrow"/>
      <family val="2"/>
    </font>
    <font>
      <sz val="8"/>
      <name val="Aptos Narrow"/>
      <family val="2"/>
    </font>
    <font>
      <sz val="8"/>
      <name val="Aptos Narrow"/>
      <family val="2"/>
    </font>
    <font>
      <sz val="8"/>
      <name val="Aptos Narrow"/>
      <family val="2"/>
    </font>
    <font>
      <sz val="10"/>
      <name val="Tahoma"/>
      <family val="2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sz val="10"/>
      <color theme="1"/>
      <name val="Arial"/>
      <family val="2"/>
    </font>
    <font>
      <b/>
      <sz val="16"/>
      <color theme="1"/>
      <name val="Times New Roman"/>
      <family val="1"/>
    </font>
    <font>
      <sz val="10"/>
      <color rgb="FF000000"/>
      <name val="Arial"/>
      <family val="2"/>
    </font>
    <font>
      <b/>
      <sz val="1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3"/>
      <color theme="1"/>
      <name val="Times New Roman"/>
      <family val="1"/>
      <charset val="163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3"/>
      <name val="Times New Roman"/>
      <family val="1"/>
    </font>
    <font>
      <sz val="11"/>
      <name val="Aptos Narrow"/>
      <family val="2"/>
      <scheme val="minor"/>
    </font>
    <font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0">
    <xf numFmtId="0" fontId="0" fillId="0" borderId="0"/>
    <xf numFmtId="0" fontId="10" fillId="0" borderId="0" applyNumberFormat="0" applyFill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165" fontId="2" fillId="0" borderId="0" applyFont="0" applyFill="0" applyBorder="0" applyAlignment="0" applyProtection="0"/>
    <xf numFmtId="166" fontId="2" fillId="0" borderId="0"/>
    <xf numFmtId="166" fontId="9" fillId="0" borderId="0"/>
    <xf numFmtId="0" fontId="2" fillId="0" borderId="0" applyFont="0" applyFill="0" applyBorder="0" applyAlignment="0" applyProtection="0"/>
  </cellStyleXfs>
  <cellXfs count="152">
    <xf numFmtId="0" fontId="0" fillId="0" borderId="0" xfId="0"/>
    <xf numFmtId="0" fontId="12" fillId="0" borderId="0" xfId="0" applyFont="1"/>
    <xf numFmtId="0" fontId="12" fillId="0" borderId="1" xfId="0" applyFont="1" applyBorder="1" applyAlignment="1">
      <alignment horizontal="center" wrapText="1"/>
    </xf>
    <xf numFmtId="0" fontId="12" fillId="0" borderId="1" xfId="0" quotePrefix="1" applyFont="1" applyBorder="1" applyAlignment="1">
      <alignment horizontal="center" vertical="center"/>
    </xf>
    <xf numFmtId="0" fontId="12" fillId="0" borderId="1" xfId="0" applyFont="1" applyBorder="1"/>
    <xf numFmtId="0" fontId="13" fillId="0" borderId="1" xfId="0" applyFont="1" applyBorder="1"/>
    <xf numFmtId="0" fontId="12" fillId="0" borderId="1" xfId="0" applyFont="1" applyBorder="1" applyAlignment="1">
      <alignment horizontal="center" vertical="center"/>
    </xf>
    <xf numFmtId="0" fontId="14" fillId="2" borderId="1" xfId="4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6" fillId="2" borderId="3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16" fillId="3" borderId="3" xfId="0" applyFont="1" applyFill="1" applyBorder="1" applyAlignment="1">
      <alignment horizontal="center" vertical="center" wrapText="1"/>
    </xf>
    <xf numFmtId="0" fontId="12" fillId="0" borderId="4" xfId="0" quotePrefix="1" applyFont="1" applyBorder="1" applyAlignment="1">
      <alignment horizontal="center" vertical="center"/>
    </xf>
    <xf numFmtId="0" fontId="12" fillId="0" borderId="4" xfId="0" applyFont="1" applyBorder="1"/>
    <xf numFmtId="0" fontId="12" fillId="0" borderId="0" xfId="0" applyFont="1" applyAlignment="1">
      <alignment horizontal="center" wrapText="1"/>
    </xf>
    <xf numFmtId="0" fontId="12" fillId="0" borderId="0" xfId="0" quotePrefix="1" applyFont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2" fillId="2" borderId="5" xfId="3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0" fillId="0" borderId="0" xfId="1"/>
    <xf numFmtId="14" fontId="12" fillId="0" borderId="0" xfId="0" applyNumberFormat="1" applyFont="1"/>
    <xf numFmtId="14" fontId="17" fillId="0" borderId="1" xfId="0" applyNumberFormat="1" applyFont="1" applyBorder="1" applyAlignment="1">
      <alignment horizontal="center" vertical="center"/>
    </xf>
    <xf numFmtId="49" fontId="8" fillId="2" borderId="1" xfId="0" applyNumberFormat="1" applyFont="1" applyFill="1" applyBorder="1" applyAlignment="1">
      <alignment horizontal="center" vertical="center" wrapText="1" readingOrder="1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64" fontId="14" fillId="2" borderId="1" xfId="0" applyNumberFormat="1" applyFont="1" applyFill="1" applyBorder="1" applyAlignment="1">
      <alignment horizontal="center" vertical="center" wrapText="1"/>
    </xf>
    <xf numFmtId="0" fontId="14" fillId="2" borderId="1" xfId="5" applyFont="1" applyFill="1" applyBorder="1" applyAlignment="1">
      <alignment horizontal="center" vertical="center" wrapText="1"/>
    </xf>
    <xf numFmtId="164" fontId="14" fillId="2" borderId="1" xfId="5" applyNumberFormat="1" applyFont="1" applyFill="1" applyBorder="1" applyAlignment="1">
      <alignment horizontal="center" vertical="center" wrapText="1"/>
    </xf>
    <xf numFmtId="0" fontId="2" fillId="2" borderId="1" xfId="3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2" fillId="2" borderId="1" xfId="6" applyNumberFormat="1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164" fontId="2" fillId="5" borderId="1" xfId="0" applyNumberFormat="1" applyFont="1" applyFill="1" applyBorder="1" applyAlignment="1">
      <alignment horizontal="center" vertical="center" wrapText="1"/>
    </xf>
    <xf numFmtId="164" fontId="14" fillId="5" borderId="1" xfId="0" applyNumberFormat="1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 readingOrder="1"/>
    </xf>
    <xf numFmtId="0" fontId="20" fillId="2" borderId="1" xfId="0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 readingOrder="1"/>
    </xf>
    <xf numFmtId="0" fontId="14" fillId="2" borderId="1" xfId="6" applyNumberFormat="1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2" fillId="2" borderId="1" xfId="5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/>
    </xf>
    <xf numFmtId="0" fontId="2" fillId="2" borderId="1" xfId="4" applyFont="1" applyFill="1" applyBorder="1" applyAlignment="1">
      <alignment horizontal="center" vertical="center" wrapText="1"/>
    </xf>
    <xf numFmtId="16" fontId="12" fillId="0" borderId="0" xfId="0" applyNumberFormat="1" applyFont="1"/>
    <xf numFmtId="0" fontId="2" fillId="2" borderId="1" xfId="0" applyFont="1" applyFill="1" applyBorder="1" applyAlignment="1">
      <alignment horizontal="center" vertical="center" wrapText="1" readingOrder="1"/>
    </xf>
    <xf numFmtId="0" fontId="22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12" fillId="2" borderId="1" xfId="0" quotePrefix="1" applyFont="1" applyFill="1" applyBorder="1" applyAlignment="1">
      <alignment horizontal="center" vertical="center"/>
    </xf>
    <xf numFmtId="166" fontId="2" fillId="2" borderId="1" xfId="7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1" fontId="2" fillId="2" borderId="1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66" fontId="14" fillId="2" borderId="1" xfId="8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0" fillId="0" borderId="1" xfId="1" applyBorder="1" applyAlignment="1">
      <alignment horizontal="center"/>
    </xf>
    <xf numFmtId="0" fontId="11" fillId="0" borderId="1" xfId="1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11" fillId="0" borderId="1" xfId="0" applyNumberFormat="1" applyFont="1" applyBorder="1" applyAlignment="1">
      <alignment horizontal="center" vertical="center"/>
    </xf>
    <xf numFmtId="0" fontId="0" fillId="0" borderId="1" xfId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17" fontId="0" fillId="2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64" fontId="14" fillId="2" borderId="1" xfId="4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/>
    <xf numFmtId="14" fontId="0" fillId="0" borderId="3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3" xfId="1" applyFont="1" applyBorder="1" applyAlignment="1">
      <alignment horizontal="center" vertical="center"/>
    </xf>
    <xf numFmtId="0" fontId="0" fillId="0" borderId="4" xfId="1" applyFont="1" applyBorder="1" applyAlignment="1">
      <alignment horizontal="center" vertical="center"/>
    </xf>
    <xf numFmtId="0" fontId="0" fillId="0" borderId="6" xfId="1" applyFont="1" applyBorder="1" applyAlignment="1">
      <alignment horizontal="center" vertical="center"/>
    </xf>
    <xf numFmtId="0" fontId="10" fillId="0" borderId="3" xfId="1" applyBorder="1" applyAlignment="1">
      <alignment horizontal="center"/>
    </xf>
    <xf numFmtId="0" fontId="10" fillId="0" borderId="4" xfId="1" applyBorder="1" applyAlignment="1">
      <alignment horizontal="center"/>
    </xf>
    <xf numFmtId="0" fontId="10" fillId="0" borderId="6" xfId="1" applyBorder="1" applyAlignment="1">
      <alignment horizontal="center"/>
    </xf>
    <xf numFmtId="0" fontId="14" fillId="2" borderId="1" xfId="9" applyFont="1" applyFill="1" applyBorder="1" applyAlignment="1">
      <alignment horizontal="center" vertical="center" wrapText="1"/>
    </xf>
    <xf numFmtId="0" fontId="10" fillId="0" borderId="1" xfId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4" fontId="2" fillId="0" borderId="1" xfId="0" applyNumberFormat="1" applyFont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 readingOrder="1"/>
    </xf>
    <xf numFmtId="0" fontId="15" fillId="0" borderId="0" xfId="0" applyFont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2" borderId="5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wrapText="1"/>
    </xf>
    <xf numFmtId="0" fontId="12" fillId="0" borderId="2" xfId="0" applyFont="1" applyBorder="1" applyAlignment="1">
      <alignment horizont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2" borderId="5" xfId="4" applyFont="1" applyFill="1" applyBorder="1" applyAlignment="1">
      <alignment horizontal="center" vertical="center"/>
    </xf>
    <xf numFmtId="0" fontId="2" fillId="2" borderId="2" xfId="4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22" fillId="2" borderId="5" xfId="0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0" fontId="22" fillId="2" borderId="5" xfId="0" applyFont="1" applyFill="1" applyBorder="1" applyAlignment="1">
      <alignment horizontal="center" vertical="center" wrapText="1"/>
    </xf>
    <xf numFmtId="167" fontId="2" fillId="2" borderId="5" xfId="5" applyNumberFormat="1" applyFont="1" applyFill="1" applyBorder="1" applyAlignment="1">
      <alignment horizontal="center" vertical="center" wrapText="1"/>
    </xf>
    <xf numFmtId="167" fontId="2" fillId="2" borderId="2" xfId="5" applyNumberFormat="1" applyFont="1" applyFill="1" applyBorder="1" applyAlignment="1">
      <alignment horizontal="center" vertical="center" wrapText="1"/>
    </xf>
    <xf numFmtId="0" fontId="16" fillId="2" borderId="5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22" fillId="2" borderId="3" xfId="0" applyFont="1" applyFill="1" applyBorder="1" applyAlignment="1">
      <alignment horizontal="center" vertical="center"/>
    </xf>
    <xf numFmtId="0" fontId="22" fillId="2" borderId="4" xfId="0" applyFont="1" applyFill="1" applyBorder="1" applyAlignment="1">
      <alignment horizontal="center" vertical="center"/>
    </xf>
    <xf numFmtId="0" fontId="24" fillId="2" borderId="5" xfId="5" applyFont="1" applyFill="1" applyBorder="1" applyAlignment="1">
      <alignment horizontal="center" vertical="center" wrapText="1"/>
    </xf>
    <xf numFmtId="0" fontId="24" fillId="2" borderId="2" xfId="5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16" fillId="3" borderId="5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/>
    </xf>
    <xf numFmtId="0" fontId="22" fillId="2" borderId="6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 wrapText="1"/>
    </xf>
    <xf numFmtId="168" fontId="12" fillId="0" borderId="0" xfId="0" applyNumberFormat="1" applyFont="1"/>
  </cellXfs>
  <cellStyles count="10">
    <cellStyle name="Hyperlink" xfId="1" builtinId="8"/>
    <cellStyle name="Normal" xfId="0" builtinId="0"/>
    <cellStyle name="Normal 10" xfId="8" xr:uid="{09FDC6FF-1F28-440B-B8E9-CDCFB5398807}"/>
    <cellStyle name="Normal 2 2 4 3" xfId="9" xr:uid="{4E923833-E9E2-40A3-B0AC-08855AE4F280}"/>
    <cellStyle name="Normal 2 2 6" xfId="6" xr:uid="{B87874EF-384E-41EB-86AD-3F65DB2C5C89}"/>
    <cellStyle name="Normal 3" xfId="2" xr:uid="{0A37E472-B239-4836-A5FB-CB55CA505A50}"/>
    <cellStyle name="Normal_Quotation S-1034-01-# 2482 big roller - Nordiclink_ORDER LIST 2013" xfId="7" xr:uid="{980F357D-5D1B-4A11-94BF-FEC420CAC499}"/>
    <cellStyle name="Style 1 2 2 2" xfId="3" xr:uid="{C9D3D975-3035-4359-AD5A-CCD40CBCCA82}"/>
    <cellStyle name="Style 1 2 5 2" xfId="4" xr:uid="{0E1BF3A4-8A80-4EE7-9E8B-4051BA5972C5}"/>
    <cellStyle name="Style 1 5" xfId="5" xr:uid="{86B9E097-D699-4B0F-B62A-8B3C6061B3C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theme" Target="theme/theme1.xml"/><Relationship Id="rId15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38100</xdr:rowOff>
        </xdr:from>
        <xdr:to>
          <xdr:col>5</xdr:col>
          <xdr:colOff>1047750</xdr:colOff>
          <xdr:row>0</xdr:row>
          <xdr:rowOff>304800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57150</xdr:rowOff>
        </xdr:from>
        <xdr:to>
          <xdr:col>6</xdr:col>
          <xdr:colOff>933450</xdr:colOff>
          <xdr:row>0</xdr:row>
          <xdr:rowOff>333375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FF25430-1704-4925-9CA2-3556FD89D39A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B3AA5-5AD2-4250-8BE0-E82FB00B916D}">
  <sheetPr codeName="Sheet1"/>
  <dimension ref="A1:G150"/>
  <sheetViews>
    <sheetView topLeftCell="A129" workbookViewId="0">
      <selection activeCell="E141" sqref="E141"/>
    </sheetView>
  </sheetViews>
  <sheetFormatPr defaultRowHeight="15" x14ac:dyDescent="0.25"/>
  <cols>
    <col min="1" max="1" width="10.7109375" style="84" customWidth="1"/>
    <col min="2" max="2" width="25.7109375" style="84" customWidth="1"/>
    <col min="3" max="3" width="20.7109375" style="84" customWidth="1"/>
    <col min="4" max="4" width="10.7109375" style="84" customWidth="1"/>
    <col min="5" max="5" width="10.7109375" style="74" customWidth="1"/>
    <col min="6" max="6" width="16.28515625" style="10" customWidth="1"/>
    <col min="7" max="7" width="14.7109375" customWidth="1"/>
  </cols>
  <sheetData>
    <row r="1" spans="1:7" ht="29.25" customHeight="1" x14ac:dyDescent="0.25">
      <c r="A1" s="113" t="s">
        <v>645</v>
      </c>
      <c r="B1" s="113"/>
      <c r="C1" s="113"/>
      <c r="D1" s="113"/>
      <c r="E1" s="113"/>
      <c r="F1" s="71" t="s">
        <v>568</v>
      </c>
      <c r="G1" s="71" t="s">
        <v>567</v>
      </c>
    </row>
    <row r="2" spans="1:7" x14ac:dyDescent="0.25">
      <c r="A2" s="32" t="s">
        <v>631</v>
      </c>
      <c r="B2" s="35" t="s">
        <v>569</v>
      </c>
      <c r="C2" s="35" t="s">
        <v>630</v>
      </c>
      <c r="D2" s="75" t="s">
        <v>160</v>
      </c>
      <c r="E2" s="73" t="s">
        <v>570</v>
      </c>
    </row>
    <row r="3" spans="1:7" x14ac:dyDescent="0.25">
      <c r="A3" s="82">
        <v>1</v>
      </c>
      <c r="B3" s="86" t="s">
        <v>166</v>
      </c>
      <c r="C3" s="86">
        <v>45812</v>
      </c>
      <c r="D3" s="89" t="s">
        <v>392</v>
      </c>
      <c r="E3" s="92" t="s">
        <v>644</v>
      </c>
      <c r="F3"/>
    </row>
    <row r="4" spans="1:7" x14ac:dyDescent="0.25">
      <c r="A4" s="37" t="s">
        <v>632</v>
      </c>
      <c r="B4" s="38" t="s">
        <v>79</v>
      </c>
      <c r="C4" s="38">
        <v>45815</v>
      </c>
      <c r="D4" s="76" t="s">
        <v>392</v>
      </c>
      <c r="E4" s="72" t="s">
        <v>644</v>
      </c>
      <c r="F4"/>
    </row>
    <row r="5" spans="1:7" x14ac:dyDescent="0.25">
      <c r="A5" s="37" t="s">
        <v>633</v>
      </c>
      <c r="B5" s="38" t="s">
        <v>88</v>
      </c>
      <c r="C5" s="38">
        <v>45815</v>
      </c>
      <c r="D5" s="76" t="s">
        <v>392</v>
      </c>
      <c r="E5" s="72" t="s">
        <v>644</v>
      </c>
      <c r="F5"/>
    </row>
    <row r="6" spans="1:7" x14ac:dyDescent="0.25">
      <c r="A6" s="37" t="s">
        <v>634</v>
      </c>
      <c r="B6" s="38" t="s">
        <v>89</v>
      </c>
      <c r="C6" s="38">
        <v>45815</v>
      </c>
      <c r="D6" s="76" t="s">
        <v>392</v>
      </c>
      <c r="E6" s="72" t="s">
        <v>644</v>
      </c>
      <c r="F6"/>
    </row>
    <row r="7" spans="1:7" x14ac:dyDescent="0.25">
      <c r="A7" s="37" t="s">
        <v>635</v>
      </c>
      <c r="B7" s="38" t="s">
        <v>97</v>
      </c>
      <c r="C7" s="38">
        <v>45817</v>
      </c>
      <c r="D7" s="76" t="s">
        <v>392</v>
      </c>
      <c r="E7" s="72" t="s">
        <v>644</v>
      </c>
      <c r="F7"/>
    </row>
    <row r="8" spans="1:7" x14ac:dyDescent="0.25">
      <c r="A8" s="37" t="s">
        <v>636</v>
      </c>
      <c r="B8" s="38" t="s">
        <v>124</v>
      </c>
      <c r="C8" s="38" t="s">
        <v>163</v>
      </c>
      <c r="D8" s="76" t="s">
        <v>392</v>
      </c>
      <c r="E8" s="72" t="s">
        <v>644</v>
      </c>
      <c r="F8"/>
    </row>
    <row r="9" spans="1:7" x14ac:dyDescent="0.25">
      <c r="A9" s="37" t="s">
        <v>637</v>
      </c>
      <c r="B9" s="38" t="s">
        <v>123</v>
      </c>
      <c r="C9" s="38">
        <v>45818</v>
      </c>
      <c r="D9" s="76" t="s">
        <v>392</v>
      </c>
      <c r="E9" s="72" t="s">
        <v>644</v>
      </c>
      <c r="F9"/>
    </row>
    <row r="10" spans="1:7" x14ac:dyDescent="0.25">
      <c r="A10" s="37" t="s">
        <v>638</v>
      </c>
      <c r="B10" s="38" t="s">
        <v>147</v>
      </c>
      <c r="C10" s="38">
        <v>45819</v>
      </c>
      <c r="D10" s="76" t="s">
        <v>392</v>
      </c>
      <c r="E10" s="72" t="s">
        <v>644</v>
      </c>
      <c r="F10"/>
    </row>
    <row r="11" spans="1:7" x14ac:dyDescent="0.25">
      <c r="A11" s="37" t="s">
        <v>639</v>
      </c>
      <c r="B11" s="38" t="s">
        <v>108</v>
      </c>
      <c r="C11" s="38">
        <v>45846</v>
      </c>
      <c r="D11" s="76" t="s">
        <v>392</v>
      </c>
      <c r="E11" s="72" t="s">
        <v>644</v>
      </c>
      <c r="F11"/>
    </row>
    <row r="12" spans="1:7" x14ac:dyDescent="0.25">
      <c r="A12" s="81" t="s">
        <v>640</v>
      </c>
      <c r="B12" s="85" t="s">
        <v>154</v>
      </c>
      <c r="C12" s="85">
        <v>45820</v>
      </c>
      <c r="D12" s="88" t="s">
        <v>392</v>
      </c>
      <c r="E12" s="91" t="s">
        <v>644</v>
      </c>
      <c r="F12"/>
    </row>
    <row r="13" spans="1:7" x14ac:dyDescent="0.25">
      <c r="A13" s="37" t="s">
        <v>641</v>
      </c>
      <c r="B13" s="38" t="s">
        <v>155</v>
      </c>
      <c r="C13" s="38">
        <v>45820</v>
      </c>
      <c r="D13" s="76" t="s">
        <v>392</v>
      </c>
      <c r="E13" s="72" t="s">
        <v>644</v>
      </c>
      <c r="F13"/>
    </row>
    <row r="14" spans="1:7" x14ac:dyDescent="0.25">
      <c r="A14" s="82" t="s">
        <v>642</v>
      </c>
      <c r="B14" s="86" t="s">
        <v>136</v>
      </c>
      <c r="C14" s="86">
        <v>45822</v>
      </c>
      <c r="D14" s="89" t="s">
        <v>392</v>
      </c>
      <c r="E14" s="92" t="s">
        <v>644</v>
      </c>
      <c r="F14"/>
    </row>
    <row r="15" spans="1:7" x14ac:dyDescent="0.25">
      <c r="A15" s="37" t="s">
        <v>643</v>
      </c>
      <c r="B15" s="38" t="s">
        <v>89</v>
      </c>
      <c r="C15" s="38">
        <v>45821</v>
      </c>
      <c r="D15" s="76" t="s">
        <v>392</v>
      </c>
      <c r="E15" s="72" t="s">
        <v>644</v>
      </c>
      <c r="F15"/>
    </row>
    <row r="16" spans="1:7" x14ac:dyDescent="0.25">
      <c r="A16" s="37" t="s">
        <v>571</v>
      </c>
      <c r="B16" s="38" t="s">
        <v>173</v>
      </c>
      <c r="C16" s="38">
        <v>45825</v>
      </c>
      <c r="D16" s="76" t="s">
        <v>392</v>
      </c>
      <c r="E16" s="72" t="s">
        <v>644</v>
      </c>
      <c r="F16"/>
    </row>
    <row r="17" spans="1:5" customFormat="1" x14ac:dyDescent="0.25">
      <c r="A17" s="37" t="s">
        <v>572</v>
      </c>
      <c r="B17" s="38" t="s">
        <v>177</v>
      </c>
      <c r="C17" s="38">
        <v>45825</v>
      </c>
      <c r="D17" s="76" t="s">
        <v>392</v>
      </c>
      <c r="E17" s="72" t="s">
        <v>644</v>
      </c>
    </row>
    <row r="18" spans="1:5" customFormat="1" x14ac:dyDescent="0.25">
      <c r="A18" s="37" t="s">
        <v>573</v>
      </c>
      <c r="B18" s="38" t="s">
        <v>178</v>
      </c>
      <c r="C18" s="38">
        <v>45827</v>
      </c>
      <c r="D18" s="76" t="s">
        <v>392</v>
      </c>
      <c r="E18" s="72" t="s">
        <v>644</v>
      </c>
    </row>
    <row r="19" spans="1:5" customFormat="1" x14ac:dyDescent="0.25">
      <c r="A19" s="37" t="s">
        <v>574</v>
      </c>
      <c r="B19" s="38" t="s">
        <v>179</v>
      </c>
      <c r="C19" s="38">
        <v>45826</v>
      </c>
      <c r="D19" s="76" t="s">
        <v>392</v>
      </c>
      <c r="E19" s="72" t="s">
        <v>644</v>
      </c>
    </row>
    <row r="20" spans="1:5" customFormat="1" x14ac:dyDescent="0.25">
      <c r="A20" s="37" t="s">
        <v>575</v>
      </c>
      <c r="B20" s="38" t="s">
        <v>154</v>
      </c>
      <c r="C20" s="38">
        <v>45827</v>
      </c>
      <c r="D20" s="76" t="s">
        <v>392</v>
      </c>
      <c r="E20" s="72" t="s">
        <v>644</v>
      </c>
    </row>
    <row r="21" spans="1:5" customFormat="1" x14ac:dyDescent="0.25">
      <c r="A21" s="81" t="s">
        <v>576</v>
      </c>
      <c r="B21" s="85" t="s">
        <v>190</v>
      </c>
      <c r="C21" s="85">
        <v>45826</v>
      </c>
      <c r="D21" s="88" t="s">
        <v>392</v>
      </c>
      <c r="E21" s="91" t="s">
        <v>644</v>
      </c>
    </row>
    <row r="22" spans="1:5" customFormat="1" x14ac:dyDescent="0.25">
      <c r="A22" s="37" t="s">
        <v>577</v>
      </c>
      <c r="B22" s="38" t="s">
        <v>155</v>
      </c>
      <c r="C22" s="38">
        <v>45828</v>
      </c>
      <c r="D22" s="76" t="s">
        <v>392</v>
      </c>
      <c r="E22" s="72" t="s">
        <v>644</v>
      </c>
    </row>
    <row r="23" spans="1:5" customFormat="1" x14ac:dyDescent="0.25">
      <c r="A23" s="82" t="s">
        <v>578</v>
      </c>
      <c r="B23" s="86" t="s">
        <v>89</v>
      </c>
      <c r="C23" s="86">
        <v>45845</v>
      </c>
      <c r="D23" s="89" t="s">
        <v>392</v>
      </c>
      <c r="E23" s="92" t="s">
        <v>644</v>
      </c>
    </row>
    <row r="24" spans="1:5" customFormat="1" x14ac:dyDescent="0.25">
      <c r="A24" s="37" t="s">
        <v>579</v>
      </c>
      <c r="B24" s="38" t="s">
        <v>177</v>
      </c>
      <c r="C24" s="38">
        <v>45833</v>
      </c>
      <c r="D24" s="76" t="s">
        <v>392</v>
      </c>
      <c r="E24" s="72" t="s">
        <v>644</v>
      </c>
    </row>
    <row r="25" spans="1:5" customFormat="1" x14ac:dyDescent="0.25">
      <c r="A25" s="37" t="s">
        <v>580</v>
      </c>
      <c r="B25" s="38" t="s">
        <v>147</v>
      </c>
      <c r="C25" s="38">
        <v>45838</v>
      </c>
      <c r="D25" s="76" t="s">
        <v>392</v>
      </c>
      <c r="E25" s="72" t="s">
        <v>644</v>
      </c>
    </row>
    <row r="26" spans="1:5" customFormat="1" x14ac:dyDescent="0.25">
      <c r="A26" s="81" t="s">
        <v>581</v>
      </c>
      <c r="B26" s="85" t="s">
        <v>173</v>
      </c>
      <c r="C26" s="85">
        <v>45839</v>
      </c>
      <c r="D26" s="88" t="s">
        <v>392</v>
      </c>
      <c r="E26" s="91" t="s">
        <v>644</v>
      </c>
    </row>
    <row r="27" spans="1:5" customFormat="1" x14ac:dyDescent="0.25">
      <c r="A27" s="37" t="s">
        <v>582</v>
      </c>
      <c r="B27" s="38" t="s">
        <v>155</v>
      </c>
      <c r="C27" s="38">
        <v>45839</v>
      </c>
      <c r="D27" s="76" t="s">
        <v>392</v>
      </c>
      <c r="E27" s="72" t="s">
        <v>644</v>
      </c>
    </row>
    <row r="28" spans="1:5" customFormat="1" x14ac:dyDescent="0.25">
      <c r="A28" s="83" t="s">
        <v>583</v>
      </c>
      <c r="B28" s="87" t="s">
        <v>239</v>
      </c>
      <c r="C28" s="87">
        <v>45838</v>
      </c>
      <c r="D28" s="90" t="s">
        <v>392</v>
      </c>
      <c r="E28" s="93" t="s">
        <v>644</v>
      </c>
    </row>
    <row r="29" spans="1:5" customFormat="1" x14ac:dyDescent="0.25">
      <c r="A29" s="37" t="s">
        <v>584</v>
      </c>
      <c r="B29" s="38" t="s">
        <v>155</v>
      </c>
      <c r="C29" s="38">
        <v>45841</v>
      </c>
      <c r="D29" s="76" t="s">
        <v>392</v>
      </c>
      <c r="E29" s="72" t="s">
        <v>644</v>
      </c>
    </row>
    <row r="30" spans="1:5" customFormat="1" x14ac:dyDescent="0.25">
      <c r="A30" s="82" t="s">
        <v>585</v>
      </c>
      <c r="B30" s="86" t="s">
        <v>136</v>
      </c>
      <c r="C30" s="86">
        <v>45842</v>
      </c>
      <c r="D30" s="89" t="s">
        <v>392</v>
      </c>
      <c r="E30" s="92" t="s">
        <v>644</v>
      </c>
    </row>
    <row r="31" spans="1:5" customFormat="1" x14ac:dyDescent="0.25">
      <c r="A31" s="37" t="s">
        <v>586</v>
      </c>
      <c r="B31" s="38" t="s">
        <v>147</v>
      </c>
      <c r="C31" s="38">
        <v>45842</v>
      </c>
      <c r="D31" s="76" t="s">
        <v>392</v>
      </c>
      <c r="E31" s="72" t="s">
        <v>644</v>
      </c>
    </row>
    <row r="32" spans="1:5" customFormat="1" x14ac:dyDescent="0.25">
      <c r="A32" s="37" t="s">
        <v>587</v>
      </c>
      <c r="B32" s="38" t="s">
        <v>154</v>
      </c>
      <c r="C32" s="38">
        <v>45857</v>
      </c>
      <c r="D32" s="76" t="s">
        <v>392</v>
      </c>
      <c r="E32" s="72" t="s">
        <v>644</v>
      </c>
    </row>
    <row r="33" spans="1:5" customFormat="1" x14ac:dyDescent="0.25">
      <c r="A33" s="37" t="s">
        <v>588</v>
      </c>
      <c r="B33" s="38" t="s">
        <v>97</v>
      </c>
      <c r="C33" s="38">
        <v>45845</v>
      </c>
      <c r="D33" s="76" t="s">
        <v>392</v>
      </c>
      <c r="E33" s="72" t="s">
        <v>644</v>
      </c>
    </row>
    <row r="34" spans="1:5" customFormat="1" x14ac:dyDescent="0.25">
      <c r="A34" s="81" t="s">
        <v>589</v>
      </c>
      <c r="B34" s="85" t="s">
        <v>79</v>
      </c>
      <c r="C34" s="85">
        <v>45847</v>
      </c>
      <c r="D34" s="88" t="s">
        <v>392</v>
      </c>
      <c r="E34" s="91" t="s">
        <v>644</v>
      </c>
    </row>
    <row r="35" spans="1:5" customFormat="1" x14ac:dyDescent="0.25">
      <c r="A35" s="37" t="s">
        <v>590</v>
      </c>
      <c r="B35" s="38" t="s">
        <v>155</v>
      </c>
      <c r="C35" s="38">
        <v>45847</v>
      </c>
      <c r="D35" s="76" t="s">
        <v>392</v>
      </c>
      <c r="E35" s="72" t="s">
        <v>644</v>
      </c>
    </row>
    <row r="36" spans="1:5" customFormat="1" x14ac:dyDescent="0.25">
      <c r="A36" s="82" t="s">
        <v>591</v>
      </c>
      <c r="B36" s="86" t="s">
        <v>190</v>
      </c>
      <c r="C36" s="86">
        <v>45848</v>
      </c>
      <c r="D36" s="89" t="s">
        <v>392</v>
      </c>
      <c r="E36" s="92" t="s">
        <v>644</v>
      </c>
    </row>
    <row r="37" spans="1:5" customFormat="1" x14ac:dyDescent="0.25">
      <c r="A37" s="37" t="s">
        <v>592</v>
      </c>
      <c r="B37" s="38" t="s">
        <v>89</v>
      </c>
      <c r="C37" s="38">
        <v>45852</v>
      </c>
      <c r="D37" s="76" t="s">
        <v>392</v>
      </c>
      <c r="E37" s="72" t="s">
        <v>644</v>
      </c>
    </row>
    <row r="38" spans="1:5" customFormat="1" x14ac:dyDescent="0.25">
      <c r="A38" s="37" t="s">
        <v>593</v>
      </c>
      <c r="B38" s="38" t="s">
        <v>123</v>
      </c>
      <c r="C38" s="38">
        <v>45854</v>
      </c>
      <c r="D38" s="76" t="s">
        <v>392</v>
      </c>
      <c r="E38" s="72" t="s">
        <v>644</v>
      </c>
    </row>
    <row r="39" spans="1:5" customFormat="1" x14ac:dyDescent="0.25">
      <c r="A39" s="37" t="s">
        <v>594</v>
      </c>
      <c r="B39" s="38" t="s">
        <v>177</v>
      </c>
      <c r="C39" s="38">
        <v>45852</v>
      </c>
      <c r="D39" s="76" t="s">
        <v>392</v>
      </c>
      <c r="E39" s="72" t="s">
        <v>644</v>
      </c>
    </row>
    <row r="40" spans="1:5" customFormat="1" x14ac:dyDescent="0.25">
      <c r="A40" s="37" t="s">
        <v>595</v>
      </c>
      <c r="B40" s="38" t="s">
        <v>329</v>
      </c>
      <c r="C40" s="38">
        <v>45856</v>
      </c>
      <c r="D40" s="76" t="s">
        <v>392</v>
      </c>
      <c r="E40" s="72" t="s">
        <v>644</v>
      </c>
    </row>
    <row r="41" spans="1:5" customFormat="1" x14ac:dyDescent="0.25">
      <c r="A41" s="81" t="s">
        <v>596</v>
      </c>
      <c r="B41" s="85" t="s">
        <v>147</v>
      </c>
      <c r="C41" s="85">
        <v>45859</v>
      </c>
      <c r="D41" s="88" t="s">
        <v>392</v>
      </c>
      <c r="E41" s="91" t="s">
        <v>644</v>
      </c>
    </row>
    <row r="42" spans="1:5" customFormat="1" x14ac:dyDescent="0.25">
      <c r="A42" s="37" t="s">
        <v>597</v>
      </c>
      <c r="B42" s="38" t="s">
        <v>155</v>
      </c>
      <c r="C42" s="38">
        <v>45857</v>
      </c>
      <c r="D42" s="76" t="s">
        <v>392</v>
      </c>
      <c r="E42" s="72" t="s">
        <v>644</v>
      </c>
    </row>
    <row r="43" spans="1:5" customFormat="1" x14ac:dyDescent="0.25">
      <c r="A43" s="82" t="s">
        <v>598</v>
      </c>
      <c r="B43" s="86" t="s">
        <v>97</v>
      </c>
      <c r="C43" s="86">
        <v>45889</v>
      </c>
      <c r="D43" s="89" t="s">
        <v>392</v>
      </c>
      <c r="E43" s="92" t="s">
        <v>644</v>
      </c>
    </row>
    <row r="44" spans="1:5" customFormat="1" x14ac:dyDescent="0.25">
      <c r="A44" s="37" t="s">
        <v>599</v>
      </c>
      <c r="B44" s="38" t="s">
        <v>79</v>
      </c>
      <c r="C44" s="38">
        <v>45856</v>
      </c>
      <c r="D44" s="76" t="s">
        <v>392</v>
      </c>
      <c r="E44" s="72" t="s">
        <v>644</v>
      </c>
    </row>
    <row r="45" spans="1:5" customFormat="1" x14ac:dyDescent="0.25">
      <c r="A45" s="37" t="s">
        <v>600</v>
      </c>
      <c r="B45" s="38" t="s">
        <v>154</v>
      </c>
      <c r="C45" s="38">
        <v>45857</v>
      </c>
      <c r="D45" s="76" t="s">
        <v>392</v>
      </c>
      <c r="E45" s="72" t="s">
        <v>644</v>
      </c>
    </row>
    <row r="46" spans="1:5" customFormat="1" x14ac:dyDescent="0.25">
      <c r="A46" s="37" t="s">
        <v>601</v>
      </c>
      <c r="B46" s="38" t="s">
        <v>190</v>
      </c>
      <c r="C46" s="38">
        <v>45857</v>
      </c>
      <c r="D46" s="76" t="s">
        <v>392</v>
      </c>
      <c r="E46" s="72" t="s">
        <v>644</v>
      </c>
    </row>
    <row r="47" spans="1:5" customFormat="1" x14ac:dyDescent="0.25">
      <c r="A47" s="37" t="s">
        <v>602</v>
      </c>
      <c r="B47" s="38" t="s">
        <v>89</v>
      </c>
      <c r="C47" s="38">
        <v>45859</v>
      </c>
      <c r="D47" s="76" t="s">
        <v>392</v>
      </c>
      <c r="E47" s="72" t="s">
        <v>644</v>
      </c>
    </row>
    <row r="48" spans="1:5" customFormat="1" x14ac:dyDescent="0.25">
      <c r="A48" s="37" t="s">
        <v>603</v>
      </c>
      <c r="B48" s="38" t="s">
        <v>136</v>
      </c>
      <c r="C48" s="38">
        <v>45861</v>
      </c>
      <c r="D48" s="76" t="s">
        <v>392</v>
      </c>
      <c r="E48" s="72" t="s">
        <v>644</v>
      </c>
    </row>
    <row r="49" spans="1:5" customFormat="1" x14ac:dyDescent="0.25">
      <c r="A49" s="37" t="s">
        <v>604</v>
      </c>
      <c r="B49" s="38" t="s">
        <v>108</v>
      </c>
      <c r="C49" s="38">
        <v>45890</v>
      </c>
      <c r="D49" s="76" t="s">
        <v>392</v>
      </c>
      <c r="E49" s="72" t="s">
        <v>644</v>
      </c>
    </row>
    <row r="50" spans="1:5" customFormat="1" x14ac:dyDescent="0.25">
      <c r="A50" s="81" t="s">
        <v>605</v>
      </c>
      <c r="B50" s="85" t="s">
        <v>89</v>
      </c>
      <c r="C50" s="85">
        <v>45867</v>
      </c>
      <c r="D50" s="88" t="s">
        <v>392</v>
      </c>
      <c r="E50" s="91" t="s">
        <v>644</v>
      </c>
    </row>
    <row r="51" spans="1:5" customFormat="1" x14ac:dyDescent="0.25">
      <c r="A51" s="37" t="s">
        <v>606</v>
      </c>
      <c r="B51" s="38" t="s">
        <v>155</v>
      </c>
      <c r="C51" s="38">
        <v>45877</v>
      </c>
      <c r="D51" s="76" t="s">
        <v>392</v>
      </c>
      <c r="E51" s="72" t="s">
        <v>644</v>
      </c>
    </row>
    <row r="52" spans="1:5" customFormat="1" x14ac:dyDescent="0.25">
      <c r="A52" s="82" t="s">
        <v>607</v>
      </c>
      <c r="B52" s="86" t="s">
        <v>89</v>
      </c>
      <c r="C52" s="86">
        <v>45882</v>
      </c>
      <c r="D52" s="89" t="s">
        <v>392</v>
      </c>
      <c r="E52" s="92" t="s">
        <v>644</v>
      </c>
    </row>
    <row r="53" spans="1:5" customFormat="1" x14ac:dyDescent="0.25">
      <c r="A53" s="37" t="s">
        <v>608</v>
      </c>
      <c r="B53" s="38" t="s">
        <v>154</v>
      </c>
      <c r="C53" s="38">
        <v>45874</v>
      </c>
      <c r="D53" s="76" t="s">
        <v>392</v>
      </c>
      <c r="E53" s="72" t="s">
        <v>644</v>
      </c>
    </row>
    <row r="54" spans="1:5" customFormat="1" x14ac:dyDescent="0.25">
      <c r="A54" s="37" t="s">
        <v>609</v>
      </c>
      <c r="B54" s="38" t="s">
        <v>178</v>
      </c>
      <c r="C54" s="38">
        <v>45875</v>
      </c>
      <c r="D54" s="76" t="s">
        <v>392</v>
      </c>
      <c r="E54" s="72" t="s">
        <v>644</v>
      </c>
    </row>
    <row r="55" spans="1:5" customFormat="1" x14ac:dyDescent="0.25">
      <c r="A55" s="37" t="s">
        <v>659</v>
      </c>
      <c r="B55" s="38" t="s">
        <v>178</v>
      </c>
      <c r="C55" s="38">
        <v>45881</v>
      </c>
      <c r="D55" s="76" t="s">
        <v>392</v>
      </c>
      <c r="E55" s="72" t="s">
        <v>644</v>
      </c>
    </row>
    <row r="56" spans="1:5" customFormat="1" x14ac:dyDescent="0.25">
      <c r="A56" s="37" t="s">
        <v>610</v>
      </c>
      <c r="B56" s="38" t="s">
        <v>435</v>
      </c>
      <c r="C56" s="38">
        <v>45881</v>
      </c>
      <c r="D56" s="76" t="s">
        <v>392</v>
      </c>
      <c r="E56" s="72" t="s">
        <v>644</v>
      </c>
    </row>
    <row r="57" spans="1:5" customFormat="1" x14ac:dyDescent="0.25">
      <c r="A57" s="37" t="s">
        <v>611</v>
      </c>
      <c r="B57" s="38" t="s">
        <v>177</v>
      </c>
      <c r="C57" s="38">
        <v>45882</v>
      </c>
      <c r="D57" s="76" t="s">
        <v>392</v>
      </c>
      <c r="E57" s="72" t="s">
        <v>644</v>
      </c>
    </row>
    <row r="58" spans="1:5" customFormat="1" x14ac:dyDescent="0.25">
      <c r="A58" s="81" t="s">
        <v>612</v>
      </c>
      <c r="B58" s="85" t="s">
        <v>154</v>
      </c>
      <c r="C58" s="85">
        <v>45887</v>
      </c>
      <c r="D58" s="88" t="s">
        <v>392</v>
      </c>
      <c r="E58" s="91" t="s">
        <v>644</v>
      </c>
    </row>
    <row r="59" spans="1:5" customFormat="1" x14ac:dyDescent="0.25">
      <c r="A59" s="37" t="s">
        <v>613</v>
      </c>
      <c r="B59" s="38" t="s">
        <v>155</v>
      </c>
      <c r="C59" s="38">
        <v>45890</v>
      </c>
      <c r="D59" s="76" t="s">
        <v>392</v>
      </c>
      <c r="E59" s="72" t="s">
        <v>644</v>
      </c>
    </row>
    <row r="60" spans="1:5" customFormat="1" x14ac:dyDescent="0.25">
      <c r="A60" s="82" t="s">
        <v>614</v>
      </c>
      <c r="B60" s="86" t="s">
        <v>652</v>
      </c>
      <c r="C60" s="86">
        <v>45887</v>
      </c>
      <c r="D60" s="89" t="s">
        <v>392</v>
      </c>
      <c r="E60" s="92" t="s">
        <v>644</v>
      </c>
    </row>
    <row r="61" spans="1:5" customFormat="1" x14ac:dyDescent="0.25">
      <c r="A61" s="37" t="s">
        <v>615</v>
      </c>
      <c r="B61" s="38" t="s">
        <v>89</v>
      </c>
      <c r="C61" s="38">
        <v>45891</v>
      </c>
      <c r="D61" s="76" t="s">
        <v>392</v>
      </c>
      <c r="E61" s="72" t="s">
        <v>644</v>
      </c>
    </row>
    <row r="62" spans="1:5" customFormat="1" x14ac:dyDescent="0.25">
      <c r="A62" s="37" t="s">
        <v>616</v>
      </c>
      <c r="B62" s="38" t="s">
        <v>79</v>
      </c>
      <c r="C62" s="38">
        <v>45896</v>
      </c>
      <c r="D62" s="76" t="s">
        <v>392</v>
      </c>
      <c r="E62" s="72" t="s">
        <v>644</v>
      </c>
    </row>
    <row r="63" spans="1:5" customFormat="1" x14ac:dyDescent="0.25">
      <c r="A63" s="37" t="s">
        <v>617</v>
      </c>
      <c r="B63" s="38" t="s">
        <v>177</v>
      </c>
      <c r="C63" s="38">
        <v>45896</v>
      </c>
      <c r="D63" s="76" t="s">
        <v>392</v>
      </c>
      <c r="E63" s="72" t="s">
        <v>644</v>
      </c>
    </row>
    <row r="64" spans="1:5" customFormat="1" x14ac:dyDescent="0.25">
      <c r="A64" s="37" t="s">
        <v>618</v>
      </c>
      <c r="B64" s="38" t="s">
        <v>89</v>
      </c>
      <c r="C64" s="38">
        <v>45897</v>
      </c>
      <c r="D64" s="76" t="s">
        <v>392</v>
      </c>
      <c r="E64" s="72" t="s">
        <v>644</v>
      </c>
    </row>
    <row r="65" spans="1:6" x14ac:dyDescent="0.25">
      <c r="A65" s="37" t="s">
        <v>619</v>
      </c>
      <c r="B65" s="38" t="s">
        <v>154</v>
      </c>
      <c r="C65" s="38">
        <v>45897</v>
      </c>
      <c r="D65" s="76" t="s">
        <v>392</v>
      </c>
      <c r="E65" s="72" t="s">
        <v>644</v>
      </c>
      <c r="F65"/>
    </row>
    <row r="66" spans="1:6" x14ac:dyDescent="0.25">
      <c r="A66" s="81" t="s">
        <v>620</v>
      </c>
      <c r="B66" s="85" t="s">
        <v>124</v>
      </c>
      <c r="C66" s="85">
        <v>45915</v>
      </c>
      <c r="D66" s="88" t="s">
        <v>392</v>
      </c>
      <c r="E66" s="91" t="s">
        <v>644</v>
      </c>
    </row>
    <row r="67" spans="1:6" x14ac:dyDescent="0.25">
      <c r="A67" s="37" t="s">
        <v>621</v>
      </c>
      <c r="B67" s="38" t="s">
        <v>155</v>
      </c>
      <c r="C67" s="38">
        <v>45899</v>
      </c>
      <c r="D67" s="76" t="s">
        <v>392</v>
      </c>
      <c r="E67" s="72" t="s">
        <v>644</v>
      </c>
    </row>
    <row r="68" spans="1:6" x14ac:dyDescent="0.25">
      <c r="A68" s="82" t="s">
        <v>622</v>
      </c>
      <c r="B68" s="86" t="s">
        <v>97</v>
      </c>
      <c r="C68" s="86">
        <v>45899</v>
      </c>
      <c r="D68" s="89" t="s">
        <v>392</v>
      </c>
      <c r="E68" s="92" t="s">
        <v>644</v>
      </c>
    </row>
    <row r="69" spans="1:6" x14ac:dyDescent="0.25">
      <c r="A69" s="37" t="s">
        <v>623</v>
      </c>
      <c r="B69" s="37" t="s">
        <v>79</v>
      </c>
      <c r="C69" s="38">
        <v>45929</v>
      </c>
      <c r="D69" s="37" t="s">
        <v>392</v>
      </c>
      <c r="E69" s="72" t="s">
        <v>644</v>
      </c>
    </row>
    <row r="70" spans="1:6" x14ac:dyDescent="0.25">
      <c r="A70" s="37" t="s">
        <v>624</v>
      </c>
      <c r="B70" s="38" t="s">
        <v>136</v>
      </c>
      <c r="C70" s="38">
        <v>45906</v>
      </c>
      <c r="D70" s="76" t="s">
        <v>392</v>
      </c>
      <c r="E70" s="72" t="s">
        <v>644</v>
      </c>
    </row>
    <row r="71" spans="1:6" x14ac:dyDescent="0.25">
      <c r="A71" s="81" t="s">
        <v>625</v>
      </c>
      <c r="B71" s="81" t="s">
        <v>89</v>
      </c>
      <c r="C71" s="85">
        <v>45906</v>
      </c>
      <c r="D71" s="81" t="s">
        <v>392</v>
      </c>
      <c r="E71" s="91" t="s">
        <v>644</v>
      </c>
    </row>
    <row r="72" spans="1:6" x14ac:dyDescent="0.25">
      <c r="A72" s="37" t="s">
        <v>626</v>
      </c>
      <c r="B72" s="38" t="s">
        <v>155</v>
      </c>
      <c r="C72" s="38">
        <v>45910</v>
      </c>
      <c r="D72" s="76" t="s">
        <v>392</v>
      </c>
      <c r="E72" s="72" t="s">
        <v>644</v>
      </c>
      <c r="F72"/>
    </row>
    <row r="73" spans="1:6" x14ac:dyDescent="0.25">
      <c r="A73" s="82" t="s">
        <v>627</v>
      </c>
      <c r="B73" s="86" t="s">
        <v>154</v>
      </c>
      <c r="C73" s="86">
        <v>45913</v>
      </c>
      <c r="D73" s="89" t="s">
        <v>392</v>
      </c>
      <c r="E73" s="92" t="s">
        <v>644</v>
      </c>
    </row>
    <row r="74" spans="1:6" x14ac:dyDescent="0.25">
      <c r="A74" s="37" t="s">
        <v>628</v>
      </c>
      <c r="B74" s="37" t="s">
        <v>123</v>
      </c>
      <c r="C74" s="38">
        <v>45910</v>
      </c>
      <c r="D74" s="37" t="s">
        <v>392</v>
      </c>
      <c r="E74" s="72" t="s">
        <v>644</v>
      </c>
      <c r="F74"/>
    </row>
    <row r="75" spans="1:6" x14ac:dyDescent="0.25">
      <c r="A75" s="37" t="s">
        <v>660</v>
      </c>
      <c r="B75" s="37" t="s">
        <v>123</v>
      </c>
      <c r="C75" s="38">
        <v>45908</v>
      </c>
      <c r="D75" s="37" t="s">
        <v>392</v>
      </c>
      <c r="E75" s="72" t="s">
        <v>644</v>
      </c>
    </row>
    <row r="76" spans="1:6" x14ac:dyDescent="0.25">
      <c r="A76" s="81" t="s">
        <v>629</v>
      </c>
      <c r="B76" s="81" t="s">
        <v>177</v>
      </c>
      <c r="C76" s="85">
        <v>45915</v>
      </c>
      <c r="D76" s="81" t="s">
        <v>392</v>
      </c>
      <c r="E76" s="91" t="s">
        <v>644</v>
      </c>
    </row>
    <row r="77" spans="1:6" x14ac:dyDescent="0.25">
      <c r="A77" s="37" t="s">
        <v>650</v>
      </c>
      <c r="B77" s="37" t="s">
        <v>155</v>
      </c>
      <c r="C77" s="38">
        <v>45918</v>
      </c>
      <c r="D77" s="37" t="s">
        <v>392</v>
      </c>
      <c r="E77" s="72" t="s">
        <v>644</v>
      </c>
    </row>
    <row r="78" spans="1:6" x14ac:dyDescent="0.25">
      <c r="A78" s="82" t="s">
        <v>668</v>
      </c>
      <c r="B78" s="82" t="s">
        <v>435</v>
      </c>
      <c r="C78" s="86">
        <v>45924</v>
      </c>
      <c r="D78" s="82" t="s">
        <v>392</v>
      </c>
      <c r="E78" s="92" t="s">
        <v>644</v>
      </c>
    </row>
    <row r="79" spans="1:6" x14ac:dyDescent="0.25">
      <c r="A79" s="37" t="s">
        <v>669</v>
      </c>
      <c r="B79" s="37" t="s">
        <v>108</v>
      </c>
      <c r="C79" s="38">
        <v>45924</v>
      </c>
      <c r="D79" s="37" t="s">
        <v>392</v>
      </c>
      <c r="E79" s="72" t="s">
        <v>644</v>
      </c>
    </row>
    <row r="80" spans="1:6" x14ac:dyDescent="0.25">
      <c r="A80" s="37" t="s">
        <v>670</v>
      </c>
      <c r="B80" s="37" t="s">
        <v>89</v>
      </c>
      <c r="C80" s="38">
        <v>45930</v>
      </c>
      <c r="D80" s="37" t="s">
        <v>392</v>
      </c>
      <c r="E80" s="72" t="s">
        <v>644</v>
      </c>
    </row>
    <row r="81" spans="1:5" x14ac:dyDescent="0.25">
      <c r="A81" s="81" t="s">
        <v>671</v>
      </c>
      <c r="B81" s="81" t="s">
        <v>147</v>
      </c>
      <c r="C81" s="85">
        <v>45925</v>
      </c>
      <c r="D81" s="81" t="s">
        <v>392</v>
      </c>
      <c r="E81" s="91" t="s">
        <v>644</v>
      </c>
    </row>
    <row r="82" spans="1:5" x14ac:dyDescent="0.25">
      <c r="A82" s="37" t="s">
        <v>672</v>
      </c>
      <c r="B82" s="38" t="s">
        <v>155</v>
      </c>
      <c r="C82" s="38">
        <v>45936</v>
      </c>
      <c r="D82" s="76" t="s">
        <v>392</v>
      </c>
      <c r="E82" s="72" t="s">
        <v>644</v>
      </c>
    </row>
    <row r="83" spans="1:5" x14ac:dyDescent="0.25">
      <c r="A83" s="82" t="s">
        <v>673</v>
      </c>
      <c r="B83" s="82" t="s">
        <v>190</v>
      </c>
      <c r="C83" s="86">
        <v>45925</v>
      </c>
      <c r="D83" s="82" t="s">
        <v>392</v>
      </c>
      <c r="E83" s="92" t="s">
        <v>644</v>
      </c>
    </row>
    <row r="84" spans="1:5" x14ac:dyDescent="0.25">
      <c r="A84" s="37" t="s">
        <v>674</v>
      </c>
      <c r="B84" s="37" t="s">
        <v>329</v>
      </c>
      <c r="C84" s="38">
        <v>45926</v>
      </c>
      <c r="D84" s="37" t="s">
        <v>392</v>
      </c>
      <c r="E84" s="72" t="s">
        <v>644</v>
      </c>
    </row>
    <row r="85" spans="1:5" x14ac:dyDescent="0.25">
      <c r="A85" s="37" t="s">
        <v>675</v>
      </c>
      <c r="B85" s="38" t="s">
        <v>154</v>
      </c>
      <c r="C85" s="38">
        <v>45926</v>
      </c>
      <c r="D85" s="76" t="s">
        <v>392</v>
      </c>
      <c r="E85" s="72" t="s">
        <v>644</v>
      </c>
    </row>
    <row r="86" spans="1:5" x14ac:dyDescent="0.25">
      <c r="A86" s="37" t="s">
        <v>676</v>
      </c>
      <c r="B86" s="37" t="s">
        <v>178</v>
      </c>
      <c r="C86" s="38">
        <v>45934</v>
      </c>
      <c r="D86" s="37" t="s">
        <v>392</v>
      </c>
      <c r="E86" s="72" t="s">
        <v>644</v>
      </c>
    </row>
    <row r="87" spans="1:5" x14ac:dyDescent="0.25">
      <c r="A87" s="37" t="s">
        <v>715</v>
      </c>
      <c r="B87" s="37" t="s">
        <v>702</v>
      </c>
      <c r="C87" s="38">
        <v>45938</v>
      </c>
      <c r="D87" s="37" t="s">
        <v>392</v>
      </c>
      <c r="E87" s="72" t="s">
        <v>644</v>
      </c>
    </row>
    <row r="88" spans="1:5" x14ac:dyDescent="0.25">
      <c r="A88" s="37" t="s">
        <v>716</v>
      </c>
      <c r="B88" s="37" t="s">
        <v>89</v>
      </c>
      <c r="C88" s="38">
        <v>45937</v>
      </c>
      <c r="D88" s="37" t="s">
        <v>392</v>
      </c>
      <c r="E88" s="72" t="s">
        <v>644</v>
      </c>
    </row>
    <row r="89" spans="1:5" x14ac:dyDescent="0.25">
      <c r="A89" s="81" t="s">
        <v>717</v>
      </c>
      <c r="B89" s="81" t="s">
        <v>124</v>
      </c>
      <c r="C89" s="85">
        <v>45940</v>
      </c>
      <c r="D89" s="81" t="s">
        <v>392</v>
      </c>
      <c r="E89" s="91" t="s">
        <v>644</v>
      </c>
    </row>
    <row r="90" spans="1:5" x14ac:dyDescent="0.25">
      <c r="A90" s="37" t="s">
        <v>746</v>
      </c>
      <c r="B90" s="37" t="s">
        <v>155</v>
      </c>
      <c r="C90" s="38">
        <v>45939</v>
      </c>
      <c r="D90" s="37" t="s">
        <v>392</v>
      </c>
      <c r="E90" s="72" t="s">
        <v>644</v>
      </c>
    </row>
    <row r="91" spans="1:5" x14ac:dyDescent="0.25">
      <c r="A91" s="37" t="s">
        <v>756</v>
      </c>
      <c r="B91" s="37" t="s">
        <v>155</v>
      </c>
      <c r="C91" s="38">
        <v>45954</v>
      </c>
      <c r="D91" s="37" t="s">
        <v>392</v>
      </c>
      <c r="E91" s="72" t="s">
        <v>644</v>
      </c>
    </row>
    <row r="92" spans="1:5" x14ac:dyDescent="0.25">
      <c r="A92" s="37" t="s">
        <v>747</v>
      </c>
      <c r="B92" s="37" t="s">
        <v>89</v>
      </c>
      <c r="C92" s="38">
        <v>45944</v>
      </c>
      <c r="D92" s="37" t="s">
        <v>392</v>
      </c>
      <c r="E92" s="72" t="s">
        <v>644</v>
      </c>
    </row>
    <row r="93" spans="1:5" x14ac:dyDescent="0.25">
      <c r="A93" s="37" t="s">
        <v>748</v>
      </c>
      <c r="B93" s="37" t="s">
        <v>154</v>
      </c>
      <c r="C93" s="38">
        <v>45945</v>
      </c>
      <c r="D93" s="37" t="s">
        <v>392</v>
      </c>
      <c r="E93" s="72" t="s">
        <v>644</v>
      </c>
    </row>
    <row r="94" spans="1:5" x14ac:dyDescent="0.25">
      <c r="A94" s="37" t="s">
        <v>749</v>
      </c>
      <c r="B94" s="37" t="s">
        <v>177</v>
      </c>
      <c r="C94" s="38">
        <v>45945</v>
      </c>
      <c r="D94" s="37" t="s">
        <v>392</v>
      </c>
      <c r="E94" s="72" t="s">
        <v>644</v>
      </c>
    </row>
    <row r="95" spans="1:5" x14ac:dyDescent="0.25">
      <c r="A95" s="37" t="s">
        <v>750</v>
      </c>
      <c r="B95" s="37" t="s">
        <v>190</v>
      </c>
      <c r="C95" s="38">
        <v>45946</v>
      </c>
      <c r="D95" s="37" t="s">
        <v>392</v>
      </c>
      <c r="E95" s="72" t="s">
        <v>644</v>
      </c>
    </row>
    <row r="96" spans="1:5" x14ac:dyDescent="0.25">
      <c r="A96" s="37" t="s">
        <v>751</v>
      </c>
      <c r="B96" s="37" t="s">
        <v>738</v>
      </c>
      <c r="C96" s="38">
        <v>45946</v>
      </c>
      <c r="D96" s="37" t="s">
        <v>392</v>
      </c>
      <c r="E96" s="72" t="s">
        <v>644</v>
      </c>
    </row>
    <row r="97" spans="1:5" x14ac:dyDescent="0.25">
      <c r="A97" s="37" t="s">
        <v>752</v>
      </c>
      <c r="B97" s="37" t="s">
        <v>435</v>
      </c>
      <c r="C97" s="38">
        <v>45950</v>
      </c>
      <c r="D97" s="37" t="s">
        <v>392</v>
      </c>
      <c r="E97" s="72" t="s">
        <v>644</v>
      </c>
    </row>
    <row r="98" spans="1:5" x14ac:dyDescent="0.25">
      <c r="A98" s="37" t="s">
        <v>753</v>
      </c>
      <c r="B98" s="37" t="s">
        <v>702</v>
      </c>
      <c r="C98" s="38">
        <v>45950</v>
      </c>
      <c r="D98" s="37" t="s">
        <v>392</v>
      </c>
      <c r="E98" s="72" t="s">
        <v>644</v>
      </c>
    </row>
    <row r="99" spans="1:5" x14ac:dyDescent="0.25">
      <c r="A99" s="37" t="s">
        <v>764</v>
      </c>
      <c r="B99" s="37" t="s">
        <v>178</v>
      </c>
      <c r="C99" s="38">
        <v>45951</v>
      </c>
      <c r="D99" s="37" t="s">
        <v>392</v>
      </c>
      <c r="E99" s="72" t="s">
        <v>644</v>
      </c>
    </row>
    <row r="100" spans="1:5" x14ac:dyDescent="0.25">
      <c r="A100" s="37" t="s">
        <v>765</v>
      </c>
      <c r="B100" s="37" t="s">
        <v>123</v>
      </c>
      <c r="C100" s="38">
        <v>45951</v>
      </c>
      <c r="D100" s="37" t="s">
        <v>392</v>
      </c>
      <c r="E100" s="72" t="s">
        <v>644</v>
      </c>
    </row>
    <row r="101" spans="1:5" x14ac:dyDescent="0.25">
      <c r="A101" s="37" t="s">
        <v>784</v>
      </c>
      <c r="B101" s="37" t="s">
        <v>123</v>
      </c>
      <c r="C101" s="38">
        <v>45961</v>
      </c>
      <c r="D101" s="37" t="s">
        <v>392</v>
      </c>
      <c r="E101" s="72" t="s">
        <v>644</v>
      </c>
    </row>
    <row r="102" spans="1:5" x14ac:dyDescent="0.25">
      <c r="A102" s="37" t="s">
        <v>849</v>
      </c>
      <c r="B102" s="37" t="s">
        <v>329</v>
      </c>
      <c r="C102" s="38">
        <v>45978</v>
      </c>
      <c r="D102" s="37" t="s">
        <v>392</v>
      </c>
      <c r="E102" s="72" t="s">
        <v>644</v>
      </c>
    </row>
    <row r="103" spans="1:5" x14ac:dyDescent="0.25">
      <c r="A103" s="37" t="s">
        <v>766</v>
      </c>
      <c r="B103" s="37" t="s">
        <v>155</v>
      </c>
      <c r="C103" s="38">
        <v>45959</v>
      </c>
      <c r="D103" s="37" t="s">
        <v>392</v>
      </c>
      <c r="E103" s="72" t="s">
        <v>644</v>
      </c>
    </row>
    <row r="104" spans="1:5" x14ac:dyDescent="0.25">
      <c r="A104" s="37" t="s">
        <v>850</v>
      </c>
      <c r="B104" s="37" t="s">
        <v>89</v>
      </c>
      <c r="C104" s="38">
        <v>45965</v>
      </c>
      <c r="D104" s="37" t="s">
        <v>392</v>
      </c>
      <c r="E104" s="72" t="s">
        <v>644</v>
      </c>
    </row>
    <row r="105" spans="1:5" x14ac:dyDescent="0.25">
      <c r="A105" s="37" t="s">
        <v>966</v>
      </c>
      <c r="B105" s="37" t="s">
        <v>89</v>
      </c>
      <c r="C105" s="38">
        <v>46097</v>
      </c>
      <c r="D105" s="37" t="s">
        <v>780</v>
      </c>
      <c r="E105" s="72" t="s">
        <v>644</v>
      </c>
    </row>
    <row r="106" spans="1:5" x14ac:dyDescent="0.25">
      <c r="A106" s="37" t="s">
        <v>851</v>
      </c>
      <c r="B106" s="37" t="s">
        <v>123</v>
      </c>
      <c r="C106" s="38">
        <v>45966</v>
      </c>
      <c r="D106" s="37" t="s">
        <v>392</v>
      </c>
      <c r="E106" s="72" t="s">
        <v>644</v>
      </c>
    </row>
    <row r="107" spans="1:5" x14ac:dyDescent="0.25">
      <c r="A107" s="37" t="s">
        <v>866</v>
      </c>
      <c r="B107" s="37" t="s">
        <v>178</v>
      </c>
      <c r="C107" s="38">
        <v>45983</v>
      </c>
      <c r="D107" s="37" t="s">
        <v>392</v>
      </c>
      <c r="E107" s="95" t="s">
        <v>644</v>
      </c>
    </row>
    <row r="108" spans="1:5" x14ac:dyDescent="0.25">
      <c r="A108" s="37" t="s">
        <v>868</v>
      </c>
      <c r="B108" s="37" t="s">
        <v>79</v>
      </c>
      <c r="C108" s="38">
        <v>46097</v>
      </c>
      <c r="D108" s="37" t="s">
        <v>780</v>
      </c>
      <c r="E108" s="95" t="s">
        <v>644</v>
      </c>
    </row>
    <row r="109" spans="1:5" x14ac:dyDescent="0.25">
      <c r="A109" s="37" t="s">
        <v>871</v>
      </c>
      <c r="B109" s="37" t="s">
        <v>97</v>
      </c>
      <c r="C109" s="38">
        <v>46097</v>
      </c>
      <c r="D109" s="37" t="s">
        <v>780</v>
      </c>
      <c r="E109" s="95" t="s">
        <v>644</v>
      </c>
    </row>
    <row r="110" spans="1:5" x14ac:dyDescent="0.25">
      <c r="A110" s="37" t="s">
        <v>876</v>
      </c>
      <c r="B110" s="37" t="s">
        <v>178</v>
      </c>
      <c r="C110" s="38">
        <v>45972</v>
      </c>
      <c r="D110" s="37" t="s">
        <v>392</v>
      </c>
      <c r="E110" s="95" t="s">
        <v>644</v>
      </c>
    </row>
    <row r="111" spans="1:5" x14ac:dyDescent="0.25">
      <c r="A111" s="37" t="s">
        <v>852</v>
      </c>
      <c r="B111" s="38" t="s">
        <v>79</v>
      </c>
      <c r="C111" s="38">
        <v>45978</v>
      </c>
      <c r="D111" s="76" t="s">
        <v>392</v>
      </c>
      <c r="E111" s="95" t="s">
        <v>644</v>
      </c>
    </row>
    <row r="112" spans="1:5" x14ac:dyDescent="0.25">
      <c r="A112" s="37" t="s">
        <v>853</v>
      </c>
      <c r="B112" s="37" t="s">
        <v>89</v>
      </c>
      <c r="C112" s="38">
        <v>45974</v>
      </c>
      <c r="D112" s="37" t="s">
        <v>392</v>
      </c>
      <c r="E112" s="95" t="s">
        <v>644</v>
      </c>
    </row>
    <row r="113" spans="1:5" x14ac:dyDescent="0.25">
      <c r="A113" s="37" t="s">
        <v>881</v>
      </c>
      <c r="B113" s="37" t="s">
        <v>89</v>
      </c>
      <c r="C113" s="38">
        <v>45968</v>
      </c>
      <c r="D113" s="37" t="s">
        <v>392</v>
      </c>
      <c r="E113" s="95" t="s">
        <v>644</v>
      </c>
    </row>
    <row r="114" spans="1:5" x14ac:dyDescent="0.25">
      <c r="A114" s="37" t="s">
        <v>872</v>
      </c>
      <c r="B114" s="37" t="s">
        <v>155</v>
      </c>
      <c r="C114" s="38">
        <v>46097</v>
      </c>
      <c r="D114" s="37" t="s">
        <v>780</v>
      </c>
      <c r="E114" s="95" t="s">
        <v>644</v>
      </c>
    </row>
    <row r="115" spans="1:5" x14ac:dyDescent="0.25">
      <c r="A115" s="37" t="s">
        <v>967</v>
      </c>
      <c r="B115" s="37" t="s">
        <v>89</v>
      </c>
      <c r="C115" s="38">
        <v>46097</v>
      </c>
      <c r="D115" s="37" t="s">
        <v>780</v>
      </c>
      <c r="E115" s="95" t="s">
        <v>644</v>
      </c>
    </row>
    <row r="116" spans="1:5" x14ac:dyDescent="0.25">
      <c r="A116" s="37" t="s">
        <v>968</v>
      </c>
      <c r="B116" s="37" t="s">
        <v>123</v>
      </c>
      <c r="C116" s="38">
        <v>46097</v>
      </c>
      <c r="D116" s="37" t="s">
        <v>780</v>
      </c>
      <c r="E116" s="72" t="s">
        <v>644</v>
      </c>
    </row>
    <row r="117" spans="1:5" x14ac:dyDescent="0.25">
      <c r="A117" s="37" t="s">
        <v>969</v>
      </c>
      <c r="B117" s="37" t="s">
        <v>154</v>
      </c>
      <c r="C117" s="38">
        <v>46097</v>
      </c>
      <c r="D117" s="37" t="s">
        <v>780</v>
      </c>
      <c r="E117" s="95" t="s">
        <v>644</v>
      </c>
    </row>
    <row r="118" spans="1:5" x14ac:dyDescent="0.25">
      <c r="A118" s="37" t="s">
        <v>854</v>
      </c>
      <c r="B118" s="38" t="s">
        <v>136</v>
      </c>
      <c r="C118" s="38">
        <v>45982</v>
      </c>
      <c r="D118" s="76" t="s">
        <v>392</v>
      </c>
      <c r="E118" s="95" t="s">
        <v>644</v>
      </c>
    </row>
    <row r="119" spans="1:5" x14ac:dyDescent="0.25">
      <c r="A119" s="37" t="s">
        <v>867</v>
      </c>
      <c r="B119" s="37" t="s">
        <v>190</v>
      </c>
      <c r="C119" s="38">
        <v>45983</v>
      </c>
      <c r="D119" s="37" t="s">
        <v>392</v>
      </c>
      <c r="E119" s="95" t="s">
        <v>644</v>
      </c>
    </row>
    <row r="120" spans="1:5" x14ac:dyDescent="0.25">
      <c r="A120" s="37" t="s">
        <v>970</v>
      </c>
      <c r="B120" s="37" t="s">
        <v>177</v>
      </c>
      <c r="C120" s="38">
        <v>46097</v>
      </c>
      <c r="D120" s="37" t="s">
        <v>780</v>
      </c>
      <c r="E120" s="95" t="s">
        <v>644</v>
      </c>
    </row>
    <row r="121" spans="1:5" x14ac:dyDescent="0.25">
      <c r="A121" s="37" t="s">
        <v>971</v>
      </c>
      <c r="B121" s="37" t="s">
        <v>179</v>
      </c>
      <c r="C121" s="38">
        <v>46097</v>
      </c>
      <c r="D121" s="37" t="s">
        <v>780</v>
      </c>
      <c r="E121" s="95" t="s">
        <v>644</v>
      </c>
    </row>
    <row r="122" spans="1:5" x14ac:dyDescent="0.25">
      <c r="A122" s="37" t="s">
        <v>855</v>
      </c>
      <c r="B122" s="37" t="s">
        <v>154</v>
      </c>
      <c r="C122" s="38">
        <v>45975</v>
      </c>
      <c r="D122" s="37" t="s">
        <v>392</v>
      </c>
      <c r="E122" s="95" t="s">
        <v>644</v>
      </c>
    </row>
    <row r="123" spans="1:5" x14ac:dyDescent="0.25">
      <c r="A123" s="37" t="s">
        <v>856</v>
      </c>
      <c r="B123" s="37" t="s">
        <v>155</v>
      </c>
      <c r="C123" s="38">
        <v>45978</v>
      </c>
      <c r="D123" s="37" t="s">
        <v>392</v>
      </c>
      <c r="E123" s="95" t="s">
        <v>644</v>
      </c>
    </row>
    <row r="124" spans="1:5" x14ac:dyDescent="0.25">
      <c r="A124" s="37" t="s">
        <v>972</v>
      </c>
      <c r="B124" s="37" t="s">
        <v>154</v>
      </c>
      <c r="C124" s="38">
        <v>46097</v>
      </c>
      <c r="D124" s="37" t="s">
        <v>780</v>
      </c>
      <c r="E124" s="95" t="s">
        <v>644</v>
      </c>
    </row>
    <row r="125" spans="1:5" x14ac:dyDescent="0.25">
      <c r="A125" s="37" t="s">
        <v>973</v>
      </c>
      <c r="B125" s="37" t="s">
        <v>155</v>
      </c>
      <c r="C125" s="38">
        <v>46097</v>
      </c>
      <c r="D125" s="37" t="s">
        <v>780</v>
      </c>
      <c r="E125" s="95" t="s">
        <v>644</v>
      </c>
    </row>
    <row r="126" spans="1:5" x14ac:dyDescent="0.25">
      <c r="A126" s="37" t="s">
        <v>1006</v>
      </c>
      <c r="B126" s="37" t="s">
        <v>97</v>
      </c>
      <c r="C126" s="38">
        <v>46097</v>
      </c>
      <c r="D126" s="37" t="s">
        <v>780</v>
      </c>
      <c r="E126" s="95" t="s">
        <v>644</v>
      </c>
    </row>
    <row r="127" spans="1:5" x14ac:dyDescent="0.25">
      <c r="A127" s="37" t="s">
        <v>1007</v>
      </c>
      <c r="B127" s="37" t="s">
        <v>123</v>
      </c>
      <c r="C127" s="38">
        <v>46097</v>
      </c>
      <c r="D127" s="37" t="s">
        <v>780</v>
      </c>
      <c r="E127" s="95" t="s">
        <v>644</v>
      </c>
    </row>
    <row r="128" spans="1:5" x14ac:dyDescent="0.25">
      <c r="A128" s="37" t="s">
        <v>1008</v>
      </c>
      <c r="B128" s="37" t="s">
        <v>155</v>
      </c>
      <c r="C128" s="38">
        <v>46097</v>
      </c>
      <c r="D128" s="37" t="s">
        <v>780</v>
      </c>
      <c r="E128" s="95" t="s">
        <v>644</v>
      </c>
    </row>
    <row r="129" spans="1:5" x14ac:dyDescent="0.25">
      <c r="A129" s="37" t="s">
        <v>1009</v>
      </c>
      <c r="B129" s="37" t="s">
        <v>89</v>
      </c>
      <c r="C129" s="38">
        <v>46097</v>
      </c>
      <c r="D129" s="37" t="s">
        <v>780</v>
      </c>
      <c r="E129" s="95" t="s">
        <v>644</v>
      </c>
    </row>
    <row r="130" spans="1:5" x14ac:dyDescent="0.25">
      <c r="A130" s="37" t="s">
        <v>1010</v>
      </c>
      <c r="B130" s="37" t="s">
        <v>155</v>
      </c>
      <c r="C130" s="38">
        <v>46097</v>
      </c>
      <c r="D130" s="37" t="s">
        <v>780</v>
      </c>
      <c r="E130" s="95" t="s">
        <v>644</v>
      </c>
    </row>
    <row r="131" spans="1:5" x14ac:dyDescent="0.25">
      <c r="A131" s="37" t="s">
        <v>1011</v>
      </c>
      <c r="B131" s="37" t="s">
        <v>123</v>
      </c>
      <c r="C131" s="38">
        <v>46097</v>
      </c>
      <c r="D131" s="37" t="s">
        <v>780</v>
      </c>
      <c r="E131" s="95" t="s">
        <v>644</v>
      </c>
    </row>
    <row r="132" spans="1:5" x14ac:dyDescent="0.25">
      <c r="A132" s="37" t="s">
        <v>1012</v>
      </c>
      <c r="B132" s="37" t="s">
        <v>190</v>
      </c>
      <c r="C132" s="38">
        <v>46097</v>
      </c>
      <c r="D132" s="37" t="s">
        <v>780</v>
      </c>
      <c r="E132" s="95" t="s">
        <v>644</v>
      </c>
    </row>
    <row r="133" spans="1:5" x14ac:dyDescent="0.25">
      <c r="A133" s="37" t="s">
        <v>1013</v>
      </c>
      <c r="B133" s="37" t="s">
        <v>990</v>
      </c>
      <c r="C133" s="38">
        <v>46097</v>
      </c>
      <c r="D133" s="37" t="s">
        <v>780</v>
      </c>
      <c r="E133" s="95" t="s">
        <v>644</v>
      </c>
    </row>
    <row r="134" spans="1:5" x14ac:dyDescent="0.25">
      <c r="A134" s="37" t="s">
        <v>1014</v>
      </c>
      <c r="B134" s="37" t="s">
        <v>999</v>
      </c>
      <c r="C134" s="38">
        <v>46097</v>
      </c>
      <c r="D134" s="37" t="s">
        <v>780</v>
      </c>
      <c r="E134" s="95" t="s">
        <v>644</v>
      </c>
    </row>
    <row r="135" spans="1:5" x14ac:dyDescent="0.25">
      <c r="A135" s="37" t="s">
        <v>974</v>
      </c>
      <c r="B135" s="37" t="s">
        <v>89</v>
      </c>
      <c r="C135" s="38">
        <v>46097</v>
      </c>
      <c r="D135" s="37" t="s">
        <v>780</v>
      </c>
      <c r="E135" s="95" t="s">
        <v>644</v>
      </c>
    </row>
    <row r="136" spans="1:5" x14ac:dyDescent="0.25">
      <c r="A136" s="37" t="s">
        <v>975</v>
      </c>
      <c r="B136" s="37" t="s">
        <v>155</v>
      </c>
      <c r="C136" s="38">
        <v>46097</v>
      </c>
      <c r="D136" s="37" t="s">
        <v>780</v>
      </c>
      <c r="E136" s="95" t="s">
        <v>644</v>
      </c>
    </row>
    <row r="137" spans="1:5" x14ac:dyDescent="0.25">
      <c r="A137" s="37" t="s">
        <v>976</v>
      </c>
      <c r="B137" s="37" t="s">
        <v>190</v>
      </c>
      <c r="C137" s="38">
        <v>46097</v>
      </c>
      <c r="D137" s="37" t="s">
        <v>780</v>
      </c>
      <c r="E137" s="95" t="s">
        <v>644</v>
      </c>
    </row>
    <row r="138" spans="1:5" x14ac:dyDescent="0.25">
      <c r="A138" s="37" t="s">
        <v>857</v>
      </c>
      <c r="B138" s="37" t="s">
        <v>147</v>
      </c>
      <c r="C138" s="38">
        <v>45980</v>
      </c>
      <c r="D138" s="37" t="s">
        <v>392</v>
      </c>
      <c r="E138" s="95" t="s">
        <v>644</v>
      </c>
    </row>
    <row r="139" spans="1:5" x14ac:dyDescent="0.25">
      <c r="A139" s="37" t="s">
        <v>1039</v>
      </c>
      <c r="B139" s="37" t="s">
        <v>155</v>
      </c>
      <c r="C139" s="38">
        <v>46097</v>
      </c>
      <c r="D139" s="37" t="s">
        <v>780</v>
      </c>
      <c r="E139" s="95" t="s">
        <v>644</v>
      </c>
    </row>
    <row r="140" spans="1:5" x14ac:dyDescent="0.25">
      <c r="A140" s="37" t="s">
        <v>1040</v>
      </c>
      <c r="B140" s="37" t="s">
        <v>990</v>
      </c>
      <c r="C140" s="38">
        <v>46097</v>
      </c>
      <c r="D140" s="37" t="s">
        <v>780</v>
      </c>
      <c r="E140" s="95" t="s">
        <v>644</v>
      </c>
    </row>
    <row r="141" spans="1:5" x14ac:dyDescent="0.25">
      <c r="A141" s="37" t="s">
        <v>1067</v>
      </c>
      <c r="B141" s="37" t="s">
        <v>89</v>
      </c>
      <c r="C141" s="38">
        <v>46097</v>
      </c>
      <c r="D141" s="37" t="s">
        <v>780</v>
      </c>
      <c r="E141" s="95" t="s">
        <v>644</v>
      </c>
    </row>
    <row r="142" spans="1:5" x14ac:dyDescent="0.25">
      <c r="A142" s="37" t="s">
        <v>1041</v>
      </c>
      <c r="B142" s="37" t="s">
        <v>178</v>
      </c>
      <c r="C142" s="38">
        <v>46097</v>
      </c>
      <c r="D142" s="37" t="s">
        <v>780</v>
      </c>
      <c r="E142" s="95" t="s">
        <v>644</v>
      </c>
    </row>
    <row r="143" spans="1:5" x14ac:dyDescent="0.25">
      <c r="A143" s="37" t="s">
        <v>1068</v>
      </c>
      <c r="B143" s="37" t="s">
        <v>190</v>
      </c>
      <c r="C143" s="38">
        <v>46097</v>
      </c>
      <c r="D143" s="37" t="s">
        <v>780</v>
      </c>
      <c r="E143" s="95" t="s">
        <v>644</v>
      </c>
    </row>
    <row r="144" spans="1:5" x14ac:dyDescent="0.25">
      <c r="A144" s="37" t="s">
        <v>1045</v>
      </c>
      <c r="B144" s="37" t="s">
        <v>738</v>
      </c>
      <c r="C144" s="38">
        <v>46097</v>
      </c>
      <c r="D144" s="37" t="s">
        <v>780</v>
      </c>
      <c r="E144" s="95" t="s">
        <v>644</v>
      </c>
    </row>
    <row r="145" spans="1:5" x14ac:dyDescent="0.25">
      <c r="A145" s="37" t="s">
        <v>1069</v>
      </c>
      <c r="B145" s="37" t="s">
        <v>329</v>
      </c>
      <c r="C145" s="38">
        <v>46097</v>
      </c>
      <c r="D145" s="37" t="s">
        <v>780</v>
      </c>
      <c r="E145" s="95" t="s">
        <v>644</v>
      </c>
    </row>
    <row r="146" spans="1:5" x14ac:dyDescent="0.25">
      <c r="A146" s="37"/>
      <c r="B146" s="37"/>
      <c r="C146" s="37"/>
      <c r="D146" s="37"/>
      <c r="E146" s="37"/>
    </row>
    <row r="147" spans="1:5" x14ac:dyDescent="0.25">
      <c r="A147" s="37"/>
      <c r="B147" s="37"/>
      <c r="C147" s="37"/>
      <c r="D147" s="37"/>
      <c r="E147" s="37"/>
    </row>
    <row r="148" spans="1:5" x14ac:dyDescent="0.25">
      <c r="A148" s="37"/>
      <c r="B148" s="37"/>
      <c r="C148" s="37"/>
      <c r="D148" s="37"/>
      <c r="E148" s="37"/>
    </row>
    <row r="149" spans="1:5" x14ac:dyDescent="0.25">
      <c r="A149" s="37"/>
      <c r="B149" s="37"/>
      <c r="C149" s="37"/>
      <c r="D149" s="37"/>
      <c r="E149" s="37"/>
    </row>
    <row r="150" spans="1:5" x14ac:dyDescent="0.25">
      <c r="A150" s="37"/>
      <c r="B150" s="37"/>
      <c r="C150" s="37"/>
      <c r="D150" s="37"/>
      <c r="E150" s="37"/>
    </row>
  </sheetData>
  <autoFilter ref="A2:D141" xr:uid="{6EA12DFB-9612-4D92-A0BF-B8DBB55ACB41}">
    <sortState xmlns:xlrd2="http://schemas.microsoft.com/office/spreadsheetml/2017/richdata2" ref="A3:D118">
      <sortCondition ref="C2:C118"/>
    </sortState>
  </autoFilter>
  <mergeCells count="1">
    <mergeCell ref="A1:E1"/>
  </mergeCells>
  <hyperlinks>
    <hyperlink ref="E3" location="'1'!A1" display="[Go Page]" xr:uid="{126C9099-36AF-424D-9826-DCD3446A6909}"/>
    <hyperlink ref="E4" location="'1 (2)'!A1" display="[Go Page]" xr:uid="{FD399741-FC6F-4B36-ABC8-969A33128613}"/>
    <hyperlink ref="E5" location="'1 (3)'!A1" display="[Go Page]" xr:uid="{05795165-EBEB-4353-BA56-A72989265642}"/>
    <hyperlink ref="E6" location="'1 (4)'!A1" display="[Go Page]" xr:uid="{11C72BDA-6C44-4D1B-AA58-FBB00EA35D73}"/>
    <hyperlink ref="E7" location="'1 (5)'!A1" display="[Go Page]" xr:uid="{7FF4BB5A-456C-4D52-AD2E-7B19D5D897A0}"/>
    <hyperlink ref="E8" location="'1 (6)'!A1" display="[Go Page]" xr:uid="{5E7CB717-A16A-49C4-9ED8-A1013D81393F}"/>
    <hyperlink ref="E9" location="'1 (7)'!A1" display="[Go Page]" xr:uid="{DBA6CE53-2166-46E7-BA93-5B04950BD371}"/>
    <hyperlink ref="E10" location="'1 (8)'!A1" display="[Go Page]" xr:uid="{1C23D8C3-D2F6-4930-879D-F5645A745C82}"/>
    <hyperlink ref="E11" location="'1 (9)'!A1" display="[Go Page]" xr:uid="{5CEDB191-F7DF-4D46-B944-08D22C8A8B67}"/>
    <hyperlink ref="E12" location="'1 (10)'!A1" display="[Go Page]" xr:uid="{CFDF1F8D-AEFD-41B1-A494-D9CF0336F5CE}"/>
    <hyperlink ref="E13" location="'1 (11)'!A1" display="[Go Page]" xr:uid="{CD2A6423-133F-40D2-BAB9-8FB5EE107CB7}"/>
    <hyperlink ref="E14" location="'1 (12)'!A1" display="[Go Page]" xr:uid="{3EF9DA8E-1668-4D6A-8676-3566CC5CAF22}"/>
    <hyperlink ref="E15" location="'13 (1)'!A1" display="[Go Page]" xr:uid="{F401EE30-50AD-4087-9AF2-02722546A016}"/>
    <hyperlink ref="E16" location="'13 (2)'!A1" display="[Go Page]" xr:uid="{2D3C9696-EBF8-4AD5-8355-0B37A7ACCC0F}"/>
    <hyperlink ref="E17" location="'13 (3)'!A1" display="[Go Page]" xr:uid="{07E33094-C754-4ED4-8CCD-E235E9FE1BA5}"/>
    <hyperlink ref="E18" location="'13 (4)'!A1" display="[Go Page]" xr:uid="{35A5D0B5-D391-41CE-A88E-905498734DE2}"/>
    <hyperlink ref="E19" location="'13 (5)'!A1" display="[Go Page]" xr:uid="{3AD8B7B6-4514-4890-85DA-83D45CE6E059}"/>
    <hyperlink ref="E20" location="'13 (6)'!A1" display="[Go Page]" xr:uid="{294CE04A-5DCF-4893-A9C0-1C0411C015C8}"/>
    <hyperlink ref="E21" location="'13 (7)'!A1" display="[Go Page]" xr:uid="{83065FD5-5537-462A-9922-9A949D2CEE6E}"/>
    <hyperlink ref="E22" location="'13 (8)'!A1" display="[Go Page]" xr:uid="{6DE811D5-F6A9-4870-A8F2-85253CD634F9}"/>
    <hyperlink ref="E23" location="'13 (9)'!A1" display="[Go Page]" xr:uid="{A8C4FE05-C34B-47D5-8BB5-9EB0003EC8A7}"/>
    <hyperlink ref="E24" location="'13 (10)'!A1" display="[Go Page]" xr:uid="{3AFA9133-A3AA-40EB-88D3-48C54ABFC5AD}"/>
    <hyperlink ref="E25" location="'13 (11)'!A1" display="[Go Page]" xr:uid="{FC1930C4-CFBD-4C22-BBAC-FEC6094C4A33}"/>
    <hyperlink ref="E26" location="'13 (12)'!A1" display="[Go Page]" xr:uid="{9EE91C62-1080-401F-A4B9-F28148671947}"/>
    <hyperlink ref="E27" location="'13 (13)'!A1" display="[Go Page]" xr:uid="{1E3E3C46-44D3-4D7F-B599-70C791B5CA17}"/>
    <hyperlink ref="E28" location="'13 (14)'!A1" display="[Go Page]" xr:uid="{B3B1BEBD-9D72-416E-AEA2-50C3A9162ED1}"/>
    <hyperlink ref="E29" location="'13 (15)'!A1" display="[Go Page]" xr:uid="{5ED5CF54-411C-415F-9ED6-580C8407ABD1}"/>
    <hyperlink ref="E30" location="'13 (16)'!A1" display="[Go Page]" xr:uid="{9E0A65A5-89E8-4AB6-9DC2-81963A1F2A39}"/>
    <hyperlink ref="E31" location="'13 (17)'!A1" display="[Go Page]" xr:uid="{A812C990-F59A-4774-B8C1-959B19DEE238}"/>
    <hyperlink ref="E32" location="'13 (18)'!A1" display="[Go Page]" xr:uid="{83558242-7ED3-4BDD-AC21-88ED5CDF5DC2}"/>
    <hyperlink ref="E33" location="'13 (19)'!A1" display="[Go Page]" xr:uid="{E36F1503-8B93-43BF-B7B3-2278B8E2F70D}"/>
    <hyperlink ref="E34" location="'13 (20)'!A1" display="[Go Page]" xr:uid="{88DCCB62-30C6-4D4E-9EF6-550B02FB70B8}"/>
    <hyperlink ref="E35" location="'13 (21)'!A1" display="[Go Page]" xr:uid="{425C42AA-241C-4E32-96E9-726BE42699C8}"/>
    <hyperlink ref="E36" location="'13 (22)'!A1" display="[Go Page]" xr:uid="{5A395A42-6EE7-4346-9CE1-BB6F8E637EB2}"/>
    <hyperlink ref="E37" location="'13 (23)'!A1" display="[Go Page]" xr:uid="{D6FC9584-929E-4AE5-9ACD-FC06993F783D}"/>
    <hyperlink ref="E38" location="'13 (24)'!A1" display="[Go Page]" xr:uid="{B903BC74-C489-4F64-9D23-F7CDE91D97F6}"/>
    <hyperlink ref="E39" location="'13 (25)'!A1" display="[Go Page]" xr:uid="{206CA762-308A-48B6-83C1-0AD0199DFDBE}"/>
    <hyperlink ref="E40" location="'13 (26)'!A1" display="[Go Page]" xr:uid="{153E4F2E-0AB7-4B74-B264-AB57D49A4584}"/>
    <hyperlink ref="E41" location="'13 (27)'!A1" display="[Go Page]" xr:uid="{F4420A0D-1286-49BB-81D8-25550E02CA55}"/>
    <hyperlink ref="E42" location="'13 (28)'!A1" display="[Go Page]" xr:uid="{1B3DB98E-B451-4B0C-B406-64D5E6C2AECD}"/>
    <hyperlink ref="E43" location="'13 (29)'!A1" display="[Go Page]" xr:uid="{71A7FBB6-8475-4080-B9B1-B74913417437}"/>
    <hyperlink ref="E44" location="'13 (30)'!A1" display="[Go Page]" xr:uid="{404679EE-FF41-496E-91BA-AEB22184532D}"/>
    <hyperlink ref="E45" location="'13 (31)'!A1" display="[Go Page]" xr:uid="{75D92E41-4B62-4914-B8A0-5CB1A6EF3440}"/>
    <hyperlink ref="E46" location="'13 (32)'!A1" display="[Go Page]" xr:uid="{1908D7DF-DEF5-40F5-9B83-4096FD079B2B}"/>
    <hyperlink ref="E47" location="'13 (33)'!A1" display="[Go Page]" xr:uid="{840FF935-CC40-4F0E-B6BD-74AD98FD7EAA}"/>
    <hyperlink ref="E48" location="'13 (34)'!A1" display="[Go Page]" xr:uid="{A44E2735-4363-4061-88B8-A314998D2F6A}"/>
    <hyperlink ref="E49" location="'13 (35)'!A1" display="[Go Page]" xr:uid="{7946CBB1-A1DD-44F3-B616-92EF9DB75FE7}"/>
    <hyperlink ref="E50" location="'13 (36)'!A1" display="[Go Page]" xr:uid="{6A120C9D-4ECF-4790-BA8A-B0277216D677}"/>
    <hyperlink ref="E51" location="'13 (37)'!A1" display="[Go Page]" xr:uid="{1B7DC71C-327B-47EE-8E6E-46DDE86AC171}"/>
    <hyperlink ref="E52" location="'13 (38)'!A1" display="[Go Page]" xr:uid="{E562F46A-E874-4F7F-84D2-FAD8EF85F6D9}"/>
    <hyperlink ref="E53" location="'13 (39)'!A1" display="[Go Page]" xr:uid="{AA1A6CFB-614E-4586-ADFD-78CF1171434A}"/>
    <hyperlink ref="E54" location="'13 (40)'!A1" display="[Go Page]" xr:uid="{50582650-0C66-406A-8096-E4E5E83DF2F7}"/>
    <hyperlink ref="E55" location="'13 (58)'!A1" display="[Go Page]" xr:uid="{694D91D2-6090-4806-B5A7-FA2B85CC6395}"/>
    <hyperlink ref="E56" location="'13 (41)'!A1" display="[Go Page]" xr:uid="{8DE1CA01-A130-4C85-A5D3-86378FEEFE51}"/>
    <hyperlink ref="E57" location="'13 (42)'!A1" display="[Go Page]" xr:uid="{0920A36E-0315-4C5F-9895-0617637AFE47}"/>
    <hyperlink ref="E58" location="'13 (43)'!A1" display="[Go Page]" xr:uid="{831CA9C7-5748-401F-85C3-050432899FAF}"/>
    <hyperlink ref="E59" location="'13 (44)'!A1" display="[Go Page]" xr:uid="{0F1CA3EC-8BB2-474E-9489-549C36E08CC0}"/>
    <hyperlink ref="E60" location="'13 (45)'!A1" display="[Go Page]" xr:uid="{21D750AF-4001-432B-BA54-CF65E3B20848}"/>
    <hyperlink ref="E61" location="'13 (46)'!A1" display="[Go Page]" xr:uid="{2A5B2113-D4D2-4FD1-8331-0BAAA3DA7C1C}"/>
    <hyperlink ref="E62" location="'13 (47)'!A1" display="[Go Page]" xr:uid="{887914B6-C92B-4287-B19F-C5F7478F9E4B}"/>
    <hyperlink ref="E63" location="'13 (48)'!A1" display="[Go Page]" xr:uid="{2564EB9C-0FF5-482A-8107-ADFE9BF96DAF}"/>
    <hyperlink ref="E64" location="'13 (49)'!A1" display="[Go Page]" xr:uid="{DE504B07-FAC5-4D29-8796-BE3CEE56F239}"/>
    <hyperlink ref="E65" location="'13 (50)'!A1" display="[Go Page]" xr:uid="{B1AA11B1-4D3B-4A12-BE13-276DC2AF46B4}"/>
    <hyperlink ref="E66" location="'13 (59)'!A1" display="[Go Page]" xr:uid="{C99D5D7D-59C6-4FEB-A2A2-DD663AF91D6D}"/>
    <hyperlink ref="E67" location="'13 (51)'!A1" display="[Go Page]" xr:uid="{660CE53B-D3B9-4BFE-A441-BF36FC3C6129}"/>
    <hyperlink ref="E68" location="'13 (52)'!A1" display="[Go Page]" xr:uid="{7F63B436-E507-42A6-8F10-B42C711D66A7}"/>
    <hyperlink ref="E69" location="'13 (61)'!A1" display="[Go Page]" xr:uid="{52E367BF-13A9-4C24-B299-C4C1EBF0E868}"/>
    <hyperlink ref="E70" location="'13 (53)'!A1" display="[Go Page]" xr:uid="{C0A7D28A-AB66-4EB0-8445-EC3B381D1639}"/>
    <hyperlink ref="E71" location="'13 (54)'!A1" display="[Go Page]" xr:uid="{2734C1A0-809C-4ABF-B169-90F8D27958FE}"/>
    <hyperlink ref="E72" location="'13 (55)'!A1" display="[Go Page]" xr:uid="{830DA010-C843-4518-B3F0-0CBB692A8894}"/>
    <hyperlink ref="E73" location="'13 (57)'!A1" display="[Go Page]" xr:uid="{D11E0669-697E-4398-8C3C-9FBC330BFF36}"/>
    <hyperlink ref="E74" location="'13 (56)'!A1" display="[Go Page]" xr:uid="{58E3161E-4B6E-4499-8904-F0CB773A6D41}"/>
    <hyperlink ref="E75" location="'13 (63)'!A1" display="[Go Page]" xr:uid="{CBB11B32-22F5-4831-8AFC-8AF335525858}"/>
    <hyperlink ref="E76" location="'13 (60)'!A1" display="[Go Page]" xr:uid="{C7823331-DC01-44D4-A15E-5C2E944A9A65}"/>
    <hyperlink ref="E77" location="'13 (62)'!A1" display="[Go Page]" xr:uid="{2D1D41B9-F6E0-4B84-8096-6F6A59A6EFD0}"/>
    <hyperlink ref="E78" location="'13 (64)'!A1" display="[Go Page]" xr:uid="{D4E2BB39-43CA-4272-81CA-39A4E9F91025}"/>
    <hyperlink ref="E79" location="'13 (65)'!A1" display="[Go Page]" xr:uid="{36D2C9EE-D354-48D3-95BF-C4F54AB02BFE}"/>
    <hyperlink ref="E80" location="'13 (66)'!A1" display="[Go Page]" xr:uid="{AD161D60-356C-456B-A347-962DEDB5A44D}"/>
    <hyperlink ref="E81" location="'13 (67)'!A1" display="[Go Page]" xr:uid="{4FBD9992-5436-499A-841D-99620D474E90}"/>
    <hyperlink ref="E82" location="'13 (68)'!A1" display="[Go Page]" xr:uid="{D00F1080-445F-499F-ABA5-E413DA79FF29}"/>
    <hyperlink ref="E83" location="'13 (69)'!A1" display="[Go Page]" xr:uid="{7F64AA55-0431-419F-8FEF-28C0CE399587}"/>
    <hyperlink ref="E84" location="'13 (70)'!A1" display="[Go Page]" xr:uid="{A4BF8267-5037-43B1-A35D-2D13803F6F13}"/>
    <hyperlink ref="E85" location="'13 (71)'!A1" display="[Go Page]" xr:uid="{2C48FB69-836B-4C3E-ABE3-05A0926C9A62}"/>
    <hyperlink ref="E86" location="'13 (72)'!A1" display="[Go Page]" xr:uid="{8E820943-88E4-42E2-8DD1-1DDC2D99F1AB}"/>
    <hyperlink ref="E87" location="'13 (73)'!A1" display="[Go Page]" xr:uid="{BCD8FC13-48DE-43AB-9204-92D4EF53F4A2}"/>
    <hyperlink ref="E88" location="'13 (74)'!A1" display="[Go Page]" xr:uid="{374F7995-61D9-422D-9FBD-1C885E08FAEE}"/>
    <hyperlink ref="E89" location="'13 (75)'!A1" display="[Go Page]" xr:uid="{4BECFD53-196C-44CE-AD77-AC21BB27F6ED}"/>
    <hyperlink ref="E90" location="'13 (76)'!A1" display="[Go Page]" xr:uid="{5D8C392D-F27E-4917-A4CC-A90EFD70FF35}"/>
    <hyperlink ref="E91" location="'13 (84)'!A1" display="[Go Page]" xr:uid="{E08BFD34-CF73-4BCD-9489-C636E0615C85}"/>
    <hyperlink ref="E92" location="'13 (77)'!A1" display="[Go Page]" xr:uid="{48F482D2-8744-4BE6-A50B-DC95C24B5DE9}"/>
    <hyperlink ref="E93" location="'13 (78)'!A1" display="[Go Page]" xr:uid="{C0A0CE7B-85B7-4E56-9AEE-9CB3AA503F40}"/>
    <hyperlink ref="E94" location="'13 (79)'!A1" display="[Go Page]" xr:uid="{90A6460E-0715-439A-BE10-9C2995E78ACC}"/>
    <hyperlink ref="E95" location="'13 (80)'!A1" display="[Go Page]" xr:uid="{2F926B93-F9A0-471C-8A27-5CC73231F1BF}"/>
    <hyperlink ref="E96" location="'13 (81)'!A1" display="[Go Page]" xr:uid="{664ED473-9321-4241-B580-20F9F9D1AC4B}"/>
    <hyperlink ref="E97" location="'13 (82)'!A1" display="[Go Page]" xr:uid="{3A1A6B59-339C-4DD7-B26E-53004CB798E7}"/>
    <hyperlink ref="E98" location="'13 (83)'!A1" display="[Go Page]" xr:uid="{B9B84DFE-1C4F-4E05-AABF-1009F6E687EA}"/>
    <hyperlink ref="E99" location="'13 (85)'!A1" display="[Go Page]" xr:uid="{00E918D6-BD0D-4003-B40A-B74E38063CFF}"/>
    <hyperlink ref="E100" location="'13 (86)'!A1" display="[Go Page]" xr:uid="{96933050-2D41-4FE3-B3B4-3D0BFC4CF915}"/>
    <hyperlink ref="E101" location="'13 (88)'!A1" display="[Go Page]" xr:uid="{A7ED21C0-FF0D-40CC-9E31-724059BDA148}"/>
    <hyperlink ref="E102" location="'13 (94)'!A1" display="[Go Page]" xr:uid="{1B43B3F6-AACB-43D8-87D2-B13D9BD13CE6}"/>
    <hyperlink ref="E103" location="'13 (87)'!A1" display="[Go Page]" xr:uid="{877B3CD4-6167-4FB6-898B-B33628AF1E85}"/>
    <hyperlink ref="E104" location="'13 (89)'!A1" display="[Go Page]" xr:uid="{BBF0EB03-3228-48D5-B88C-E2ABCB179DF4}"/>
    <hyperlink ref="E105" location="'13 (105)'!A1" display="[Go Page]" xr:uid="{55C89BA4-DFBE-4F08-BBD1-29B6F4088366}"/>
    <hyperlink ref="E106" location="'13 (90)'!A1" display="[Go Page]" xr:uid="{BD9759C4-D304-4FA9-AD1F-0B8343B08C29}"/>
    <hyperlink ref="E107" location="'13 (99)'!A1" display="[Go Page]" xr:uid="{0DFDAB40-2CA9-4BC8-8E1F-CA5330D5C432}"/>
    <hyperlink ref="E108" location="'13 (100)'!A1" display="[Go Page]" xr:uid="{D7D437F4-5A6B-44B7-866F-11CF488171EF}"/>
    <hyperlink ref="E109" location="'13 (101)'!A1" display="[Go Page]" xr:uid="{564DDEF5-5EC5-4CE2-81EE-9B66D4A96BEE}"/>
    <hyperlink ref="E110" location="'13 (103)'!A1" display="[Go Page]" xr:uid="{1920F0B3-203E-4332-B3F6-75B3E557E19B}"/>
    <hyperlink ref="E111" location="'13 (95)'!A1" display="[Go Page]" xr:uid="{9BE78D9A-EEDF-4ADA-A868-7FF8E4DCE4D6}"/>
    <hyperlink ref="E112" location="'13 (91)'!A1" display="[Go Page]" xr:uid="{AFE723E2-32B6-4804-8DF2-1B638641430C}"/>
    <hyperlink ref="E113" location="'13 (104)'!A1" display="[Go Page]" xr:uid="{85EFAB94-7BA4-458C-9829-8F2B663F3BA7}"/>
    <hyperlink ref="E114" location="'13 (102)'!A1" display="[Go Page]" xr:uid="{8A200558-AC08-4BD3-9936-090FA0DB9160}"/>
    <hyperlink ref="E115" location="'13 (108)'!A1" display="[Go Page]" xr:uid="{0B4B7337-7CC0-46D8-A362-0BE91D72582C}"/>
    <hyperlink ref="E116" location="'13 (106)'!A1" display="[Go Page]" xr:uid="{8A30C8D9-E843-49D0-BABD-F0807C9FDD59}"/>
    <hyperlink ref="E117" location="'13 (107)'!A1" display="[Go Page]" xr:uid="{668A6AD9-E084-4BDA-B312-BDEC88214151}"/>
    <hyperlink ref="E118" location="'13 (97)'!A1" display="[Go Page]" xr:uid="{71601903-1388-4D55-B2D0-94427E081E3E}"/>
    <hyperlink ref="E119" location="'13 (98)'!A1" display="[Go Page]" xr:uid="{1CE3C667-A157-4133-822D-98674603B933}"/>
    <hyperlink ref="E120" location="'13 (109)'!A1" display="[Go Page]" xr:uid="{AF8F904F-4DBF-4D48-A1E1-3E586F66DAE8}"/>
    <hyperlink ref="E121" location="'13 (110)'!A1" display="[Go Page]" xr:uid="{D488AFF5-7FAE-49E9-9AD4-58F09E5CF7A6}"/>
    <hyperlink ref="E122" location="'13 (92)'!A1" display="[Go Page]" xr:uid="{CFA61B5B-160C-49ED-8A36-26F692ADF0D7}"/>
    <hyperlink ref="E123" location="'13 (93)'!A1" display="[Go Page]" xr:uid="{8CF5F83C-BB84-4121-A7D6-B17BB65CE871}"/>
    <hyperlink ref="E124" location="'13 (111)'!A1" display="[Go Page]" xr:uid="{417F79A8-DA53-4D2D-B40E-B4A29902B6E8}"/>
    <hyperlink ref="E125" location="'13 (115)'!A1" display="[Go Page]" xr:uid="{E9EAD59C-FA8E-47C6-9501-C5EE60D66B3C}"/>
    <hyperlink ref="E126" location="'13 (116)'!A1" display="[Go Page]" xr:uid="{73CD4DE6-2283-4635-BD70-0352A33640D5}"/>
    <hyperlink ref="E127" location="'13 (117)'!A1" display="[Go Page]" xr:uid="{C85D840E-E8AA-4516-BFD4-DE755C627AA8}"/>
    <hyperlink ref="E128" location="'13 (118)'!A1" display="[Go Page]" xr:uid="{5D78B312-AA81-46DC-AFD2-D6218EB34BDE}"/>
    <hyperlink ref="E129" location="'13 (119)'!A1" display="[Go Page]" xr:uid="{5AFE843A-E8B4-4A3B-82E9-291FDAFAEB6F}"/>
    <hyperlink ref="E130" location="'13 (120)'!A1" display="[Go Page]" xr:uid="{0349A71E-D778-49BF-A63B-608E6618F511}"/>
    <hyperlink ref="E131" location="'13 (122)'!A1" display="[Go Page]" xr:uid="{547FB600-5F62-4BBB-940F-E3DD98A002B6}"/>
    <hyperlink ref="E132" location="'13 (124)'!A1" display="[Go Page]" xr:uid="{9A345C16-84E8-4466-9D51-6AC4B9962A0A}"/>
    <hyperlink ref="E133" location="'13 (121)'!A1" display="[Go Page]" xr:uid="{972E4D6E-4603-4359-807A-587B4876D7C0}"/>
    <hyperlink ref="E134" location="'13 (123)'!A1" display="[Go Page]" xr:uid="{095CA5B6-9DEA-4616-9427-5D7E5295F0DD}"/>
    <hyperlink ref="E135" location="'13 (112)'!A1" display="[Go Page]" xr:uid="{58614339-0948-42EC-85AB-2ED5E08F4FA6}"/>
    <hyperlink ref="E136" location="'13 (113)'!A1" display="[Go Page]" xr:uid="{91430A79-1A6B-44CD-8ED0-F54D617F4AE1}"/>
    <hyperlink ref="E137" location="'13 (114)'!A1" display="[Go Page]" xr:uid="{913984F2-425C-4918-AA20-BCDA38525280}"/>
    <hyperlink ref="E138" location="'13 (96)'!A1" display="[Go Page]" xr:uid="{F25C8D43-7BC5-4F1E-A60C-14AE1D1AFC78}"/>
    <hyperlink ref="E139" location="'13 (125)'!A1" display="[Go Page]" xr:uid="{6B899F85-4660-4BA9-A2FE-87ED238BC022}"/>
    <hyperlink ref="E140" location="'13 (126)'!A1" display="[Go Page]" xr:uid="{59DE623E-4EEC-4ECC-B08D-34D0FF27AD2B}"/>
    <hyperlink ref="E141" location="'13 (131)'!A1" display="[Go Page]" xr:uid="{98DBB6ED-6820-464C-9BCF-1F86C841E2E9}"/>
    <hyperlink ref="E142" location="'13 (127)'!A1" display="[Go Page]" xr:uid="{AC5C388D-4580-47D8-960A-71950DDC22C8}"/>
    <hyperlink ref="E143" location="'13 (130)'!A1" display="[Go Page]" xr:uid="{D73CC77A-6AD1-44E4-BAA6-A81EDCF47591}"/>
    <hyperlink ref="E144" location="'13 (128)'!A1" display="[Go Page]" xr:uid="{9C0069F5-7D28-453F-AA86-5DD3C26782A9}"/>
    <hyperlink ref="E145" location="'13 (129)'!A1" display="[Go Page]" xr:uid="{E09B23D6-A628-4C05-B3C2-3A4D89AB0FE6}"/>
  </hyperlinks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apNhatMucLucNangCao">
                <anchor moveWithCells="1" sizeWithCells="1">
                  <from>
                    <xdr:col>5</xdr:col>
                    <xdr:colOff>28575</xdr:colOff>
                    <xdr:row>0</xdr:row>
                    <xdr:rowOff>38100</xdr:rowOff>
                  </from>
                  <to>
                    <xdr:col>5</xdr:col>
                    <xdr:colOff>1047750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FindSheetsWithFewDifferences">
                <anchor moveWithCells="1" sizeWithCells="1">
                  <from>
                    <xdr:col>6</xdr:col>
                    <xdr:colOff>38100</xdr:colOff>
                    <xdr:row>0</xdr:row>
                    <xdr:rowOff>57150</xdr:rowOff>
                  </from>
                  <to>
                    <xdr:col>6</xdr:col>
                    <xdr:colOff>933450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891FE-A2DE-4E67-A861-6D36B7FB2D93}">
  <sheetPr codeName="Sheet2">
    <pageSetUpPr fitToPage="1"/>
  </sheetPr>
  <dimension ref="A1:K44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6.42578125" customWidth="1"/>
    <col min="5" max="5" width="6.28515625" customWidth="1"/>
    <col min="6" max="6" width="8.28515625" customWidth="1"/>
    <col min="8" max="8" width="6.85546875" customWidth="1"/>
    <col min="9" max="9" width="11.28515625" customWidth="1"/>
    <col min="10" max="10" width="13.8554687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45812</v>
      </c>
    </row>
    <row r="6" spans="1:11" s="1" customFormat="1" ht="16.5" x14ac:dyDescent="0.25">
      <c r="A6" s="1" t="s">
        <v>78</v>
      </c>
      <c r="D6" s="1" t="s">
        <v>166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13" t="s">
        <v>31</v>
      </c>
      <c r="C9" s="103" t="s">
        <v>26</v>
      </c>
      <c r="D9" s="104"/>
      <c r="E9" s="119" t="s">
        <v>25</v>
      </c>
      <c r="F9" s="120"/>
      <c r="G9" s="119" t="s">
        <v>72</v>
      </c>
      <c r="H9" s="120"/>
      <c r="I9" s="24">
        <v>250</v>
      </c>
      <c r="J9" s="115">
        <v>1</v>
      </c>
      <c r="K9" s="114" t="s">
        <v>38</v>
      </c>
    </row>
    <row r="10" spans="1:11" s="1" customFormat="1" ht="38.25" customHeight="1" x14ac:dyDescent="0.25">
      <c r="A10" s="3" t="s">
        <v>3</v>
      </c>
      <c r="B10" s="13" t="s">
        <v>32</v>
      </c>
      <c r="C10" s="103" t="s">
        <v>27</v>
      </c>
      <c r="D10" s="104"/>
      <c r="E10" s="111" t="s">
        <v>30</v>
      </c>
      <c r="F10" s="120"/>
      <c r="G10" s="119" t="s">
        <v>72</v>
      </c>
      <c r="H10" s="120"/>
      <c r="I10" s="24">
        <v>250</v>
      </c>
      <c r="J10" s="116"/>
      <c r="K10" s="114"/>
    </row>
    <row r="11" spans="1:11" s="1" customFormat="1" ht="39.75" customHeight="1" x14ac:dyDescent="0.25">
      <c r="A11" s="3" t="s">
        <v>4</v>
      </c>
      <c r="B11" s="13" t="s">
        <v>33</v>
      </c>
      <c r="C11" s="103" t="s">
        <v>28</v>
      </c>
      <c r="D11" s="104"/>
      <c r="E11" s="119" t="s">
        <v>17</v>
      </c>
      <c r="F11" s="120"/>
      <c r="G11" s="119" t="s">
        <v>72</v>
      </c>
      <c r="H11" s="120"/>
      <c r="I11" s="24">
        <v>2000</v>
      </c>
      <c r="J11" s="117"/>
      <c r="K11" s="114"/>
    </row>
    <row r="12" spans="1:11" s="1" customFormat="1" ht="36.75" customHeight="1" x14ac:dyDescent="0.25">
      <c r="A12" s="3" t="s">
        <v>5</v>
      </c>
      <c r="B12" s="14" t="s">
        <v>34</v>
      </c>
      <c r="C12" s="103" t="s">
        <v>29</v>
      </c>
      <c r="D12" s="104"/>
      <c r="E12" s="119" t="s">
        <v>17</v>
      </c>
      <c r="F12" s="120"/>
      <c r="G12" s="119" t="s">
        <v>72</v>
      </c>
      <c r="H12" s="120"/>
      <c r="I12" s="24">
        <v>1300</v>
      </c>
      <c r="J12" s="6">
        <v>1</v>
      </c>
      <c r="K12" s="6" t="s">
        <v>39</v>
      </c>
    </row>
    <row r="13" spans="1:11" s="1" customFormat="1" ht="48.75" customHeight="1" x14ac:dyDescent="0.25">
      <c r="A13" s="3" t="s">
        <v>6</v>
      </c>
      <c r="B13" s="15" t="s">
        <v>35</v>
      </c>
      <c r="C13" s="122" t="s">
        <v>40</v>
      </c>
      <c r="D13" s="123"/>
      <c r="E13" s="111" t="s">
        <v>37</v>
      </c>
      <c r="F13" s="120"/>
      <c r="G13" s="119" t="s">
        <v>72</v>
      </c>
      <c r="H13" s="120"/>
      <c r="I13" s="24">
        <v>300</v>
      </c>
      <c r="J13" s="115">
        <v>1</v>
      </c>
      <c r="K13" s="114" t="s">
        <v>42</v>
      </c>
    </row>
    <row r="14" spans="1:11" s="1" customFormat="1" ht="36.75" customHeight="1" x14ac:dyDescent="0.25">
      <c r="A14" s="3" t="s">
        <v>12</v>
      </c>
      <c r="B14" s="13" t="s">
        <v>36</v>
      </c>
      <c r="C14" s="122" t="s">
        <v>41</v>
      </c>
      <c r="D14" s="123"/>
      <c r="E14" s="119" t="s">
        <v>17</v>
      </c>
      <c r="F14" s="120"/>
      <c r="G14" s="119" t="s">
        <v>72</v>
      </c>
      <c r="H14" s="120"/>
      <c r="I14" s="24">
        <v>500</v>
      </c>
      <c r="J14" s="117"/>
      <c r="K14" s="114"/>
    </row>
    <row r="15" spans="1:11" s="1" customFormat="1" ht="39.75" customHeight="1" x14ac:dyDescent="0.25">
      <c r="A15" s="3" t="s">
        <v>13</v>
      </c>
      <c r="B15" s="15" t="s">
        <v>43</v>
      </c>
      <c r="C15" s="103" t="s">
        <v>50</v>
      </c>
      <c r="D15" s="104"/>
      <c r="E15" s="119" t="s">
        <v>25</v>
      </c>
      <c r="F15" s="120"/>
      <c r="G15" s="119" t="s">
        <v>72</v>
      </c>
      <c r="H15" s="120"/>
      <c r="I15" s="24">
        <v>1200</v>
      </c>
      <c r="J15" s="115">
        <v>1</v>
      </c>
      <c r="K15" s="114" t="s">
        <v>59</v>
      </c>
    </row>
    <row r="16" spans="1:11" s="1" customFormat="1" ht="39" customHeight="1" x14ac:dyDescent="0.25">
      <c r="A16" s="3" t="s">
        <v>14</v>
      </c>
      <c r="B16" s="16" t="s">
        <v>44</v>
      </c>
      <c r="C16" s="103" t="s">
        <v>51</v>
      </c>
      <c r="D16" s="104"/>
      <c r="E16" s="111" t="s">
        <v>30</v>
      </c>
      <c r="F16" s="120"/>
      <c r="G16" s="119" t="s">
        <v>72</v>
      </c>
      <c r="H16" s="120"/>
      <c r="I16" s="24">
        <v>1200</v>
      </c>
      <c r="J16" s="116"/>
      <c r="K16" s="114"/>
    </row>
    <row r="17" spans="1:11" s="1" customFormat="1" ht="39" customHeight="1" x14ac:dyDescent="0.25">
      <c r="A17" s="3" t="s">
        <v>15</v>
      </c>
      <c r="B17" s="16" t="s">
        <v>45</v>
      </c>
      <c r="C17" s="103" t="s">
        <v>52</v>
      </c>
      <c r="D17" s="104"/>
      <c r="E17" s="119" t="s">
        <v>17</v>
      </c>
      <c r="F17" s="120"/>
      <c r="G17" s="119" t="s">
        <v>72</v>
      </c>
      <c r="H17" s="120"/>
      <c r="I17" s="24">
        <v>3000</v>
      </c>
      <c r="J17" s="116"/>
      <c r="K17" s="114"/>
    </row>
    <row r="18" spans="1:11" s="1" customFormat="1" ht="48" customHeight="1" x14ac:dyDescent="0.25">
      <c r="A18" s="3" t="s">
        <v>16</v>
      </c>
      <c r="B18" s="16" t="s">
        <v>46</v>
      </c>
      <c r="C18" s="103" t="s">
        <v>53</v>
      </c>
      <c r="D18" s="104"/>
      <c r="E18" s="111" t="s">
        <v>58</v>
      </c>
      <c r="F18" s="120"/>
      <c r="G18" s="119" t="s">
        <v>72</v>
      </c>
      <c r="H18" s="120"/>
      <c r="I18" s="24">
        <v>300</v>
      </c>
      <c r="J18" s="117"/>
      <c r="K18" s="114"/>
    </row>
    <row r="19" spans="1:11" s="1" customFormat="1" ht="49.5" customHeight="1" x14ac:dyDescent="0.25">
      <c r="A19" s="3" t="s">
        <v>20</v>
      </c>
      <c r="B19" s="16" t="s">
        <v>47</v>
      </c>
      <c r="C19" s="103" t="s">
        <v>54</v>
      </c>
      <c r="D19" s="104"/>
      <c r="E19" s="111" t="s">
        <v>30</v>
      </c>
      <c r="F19" s="120"/>
      <c r="G19" s="119" t="s">
        <v>72</v>
      </c>
      <c r="H19" s="120"/>
      <c r="I19" s="24">
        <v>250</v>
      </c>
      <c r="J19" s="115">
        <v>1</v>
      </c>
      <c r="K19" s="114" t="s">
        <v>60</v>
      </c>
    </row>
    <row r="20" spans="1:11" s="1" customFormat="1" ht="44.25" customHeight="1" x14ac:dyDescent="0.25">
      <c r="A20" s="3" t="s">
        <v>21</v>
      </c>
      <c r="B20" s="16" t="s">
        <v>48</v>
      </c>
      <c r="C20" s="103" t="s">
        <v>55</v>
      </c>
      <c r="D20" s="104"/>
      <c r="E20" s="119" t="s">
        <v>57</v>
      </c>
      <c r="F20" s="120"/>
      <c r="G20" s="119" t="s">
        <v>72</v>
      </c>
      <c r="H20" s="120"/>
      <c r="I20" s="24">
        <v>800</v>
      </c>
      <c r="J20" s="117"/>
      <c r="K20" s="114"/>
    </row>
    <row r="21" spans="1:11" s="1" customFormat="1" ht="39.75" customHeight="1" x14ac:dyDescent="0.25">
      <c r="A21" s="3" t="s">
        <v>22</v>
      </c>
      <c r="B21" s="17" t="s">
        <v>49</v>
      </c>
      <c r="C21" s="103" t="s">
        <v>56</v>
      </c>
      <c r="D21" s="104"/>
      <c r="E21" s="119" t="s">
        <v>57</v>
      </c>
      <c r="F21" s="120"/>
      <c r="G21" s="119" t="s">
        <v>72</v>
      </c>
      <c r="H21" s="120"/>
      <c r="I21" s="24">
        <v>1400</v>
      </c>
      <c r="J21" s="6">
        <v>1</v>
      </c>
      <c r="K21" s="6" t="s">
        <v>61</v>
      </c>
    </row>
    <row r="22" spans="1:11" s="1" customFormat="1" ht="39.75" customHeight="1" x14ac:dyDescent="0.25">
      <c r="A22" s="3" t="s">
        <v>63</v>
      </c>
      <c r="B22" s="23" t="s">
        <v>67</v>
      </c>
      <c r="C22" s="103" t="s">
        <v>73</v>
      </c>
      <c r="D22" s="104"/>
      <c r="E22" s="119" t="s">
        <v>17</v>
      </c>
      <c r="F22" s="120"/>
      <c r="G22" s="111" t="s">
        <v>68</v>
      </c>
      <c r="H22" s="112"/>
      <c r="I22" s="24">
        <v>25</v>
      </c>
      <c r="J22" s="6">
        <v>1</v>
      </c>
      <c r="K22" s="6" t="s">
        <v>69</v>
      </c>
    </row>
    <row r="23" spans="1:11" s="1" customFormat="1" ht="39.75" customHeight="1" x14ac:dyDescent="0.25">
      <c r="A23" s="3" t="s">
        <v>64</v>
      </c>
      <c r="B23" s="7" t="s">
        <v>70</v>
      </c>
      <c r="C23" s="103" t="s">
        <v>74</v>
      </c>
      <c r="D23" s="104"/>
      <c r="E23" s="119" t="s">
        <v>17</v>
      </c>
      <c r="F23" s="120"/>
      <c r="G23" s="111" t="s">
        <v>68</v>
      </c>
      <c r="H23" s="112"/>
      <c r="I23" s="24">
        <v>25</v>
      </c>
      <c r="J23" s="6">
        <v>1</v>
      </c>
      <c r="K23" s="6" t="s">
        <v>71</v>
      </c>
    </row>
    <row r="24" spans="1:11" s="1" customFormat="1" ht="33" customHeight="1" x14ac:dyDescent="0.25">
      <c r="A24" s="118" t="s">
        <v>7</v>
      </c>
      <c r="B24" s="118"/>
      <c r="C24" s="118"/>
      <c r="D24" s="118"/>
      <c r="E24" s="118"/>
      <c r="F24" s="118"/>
      <c r="G24" s="118"/>
      <c r="H24" s="118"/>
      <c r="I24" s="9">
        <f>SUM(I9:I23)</f>
        <v>12800</v>
      </c>
      <c r="J24" s="9">
        <f>SUM(J9:J23)</f>
        <v>8</v>
      </c>
      <c r="K24" s="118"/>
    </row>
    <row r="25" spans="1:11" s="1" customFormat="1" ht="16.5" x14ac:dyDescent="0.25">
      <c r="A25" s="121" t="s">
        <v>19</v>
      </c>
      <c r="B25" s="121"/>
      <c r="C25" s="121"/>
      <c r="D25" s="121"/>
      <c r="E25" s="121"/>
      <c r="F25" s="121"/>
      <c r="G25" s="121"/>
      <c r="H25" s="121"/>
      <c r="I25" s="121">
        <f>I24</f>
        <v>12800</v>
      </c>
      <c r="J25" s="118">
        <f>J24</f>
        <v>8</v>
      </c>
      <c r="K25" s="118"/>
    </row>
    <row r="26" spans="1:11" ht="15" customHeight="1" x14ac:dyDescent="0.25">
      <c r="A26" s="121"/>
      <c r="B26" s="121"/>
      <c r="C26" s="121"/>
      <c r="D26" s="121"/>
      <c r="E26" s="121"/>
      <c r="F26" s="121"/>
      <c r="G26" s="121"/>
      <c r="H26" s="121"/>
      <c r="I26" s="121"/>
      <c r="J26" s="118"/>
      <c r="K26" s="118"/>
    </row>
    <row r="28" spans="1:11" x14ac:dyDescent="0.25">
      <c r="B28" s="10" t="s">
        <v>62</v>
      </c>
      <c r="H28" t="s">
        <v>23</v>
      </c>
    </row>
    <row r="29" spans="1:11" ht="101.25" customHeight="1" x14ac:dyDescent="0.25">
      <c r="B29" s="10"/>
    </row>
    <row r="30" spans="1:11" s="1" customFormat="1" ht="16.5" x14ac:dyDescent="0.25"/>
    <row r="31" spans="1:11" s="1" customFormat="1" ht="20.25" x14ac:dyDescent="0.3">
      <c r="A31" s="99"/>
      <c r="B31" s="99"/>
      <c r="C31" s="99"/>
      <c r="D31" s="99"/>
      <c r="E31" s="99"/>
      <c r="F31" s="99"/>
      <c r="G31" s="99"/>
      <c r="H31" s="99"/>
      <c r="I31" s="99"/>
      <c r="J31" s="99"/>
      <c r="K31" s="99"/>
    </row>
    <row r="32" spans="1:11" s="1" customFormat="1" ht="20.25" x14ac:dyDescent="0.3">
      <c r="A32" s="99"/>
      <c r="B32" s="99"/>
      <c r="C32" s="99"/>
      <c r="D32" s="99"/>
      <c r="E32" s="99"/>
      <c r="F32" s="99"/>
      <c r="G32" s="99"/>
      <c r="H32" s="99"/>
      <c r="I32" s="99"/>
      <c r="J32" s="99"/>
      <c r="K32" s="99"/>
    </row>
    <row r="33" spans="1:11" s="1" customFormat="1" ht="20.25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</row>
    <row r="34" spans="1:11" s="1" customFormat="1" ht="16.5" x14ac:dyDescent="0.25"/>
    <row r="35" spans="1:11" s="1" customFormat="1" ht="16.5" x14ac:dyDescent="0.25"/>
    <row r="36" spans="1:11" s="1" customFormat="1" ht="19.5" customHeight="1" x14ac:dyDescent="0.25"/>
    <row r="37" spans="1:11" s="1" customFormat="1" ht="30.75" customHeight="1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</row>
    <row r="38" spans="1:11" s="1" customFormat="1" ht="35.25" customHeight="1" x14ac:dyDescent="0.25">
      <c r="A38" s="21"/>
    </row>
    <row r="39" spans="1:11" s="1" customFormat="1" ht="35.25" customHeight="1" x14ac:dyDescent="0.25">
      <c r="A39" s="21"/>
    </row>
    <row r="40" spans="1:11" s="1" customFormat="1" ht="35.25" customHeight="1" x14ac:dyDescent="0.25">
      <c r="A40" s="21"/>
    </row>
    <row r="41" spans="1:11" s="1" customFormat="1" ht="35.25" customHeight="1" x14ac:dyDescent="0.25">
      <c r="A41" s="18"/>
      <c r="B41" s="19"/>
      <c r="C41" s="19"/>
      <c r="D41" s="19"/>
      <c r="E41" s="19"/>
      <c r="F41" s="19"/>
      <c r="G41" s="19"/>
      <c r="H41" s="19"/>
      <c r="I41" s="19"/>
      <c r="J41" s="19"/>
      <c r="K41" s="19"/>
    </row>
    <row r="42" spans="1:11" s="1" customFormat="1" ht="35.25" customHeight="1" x14ac:dyDescent="0.25">
      <c r="A42" s="3"/>
      <c r="B42" s="4"/>
      <c r="C42" s="4"/>
      <c r="D42" s="4"/>
      <c r="E42" s="4"/>
      <c r="F42" s="4"/>
      <c r="G42" s="4"/>
      <c r="H42" s="4"/>
      <c r="I42" s="4"/>
      <c r="J42" s="4"/>
      <c r="K42" s="4"/>
    </row>
    <row r="43" spans="1:11" s="1" customFormat="1" ht="16.5" x14ac:dyDescent="0.25">
      <c r="A43" s="100"/>
      <c r="B43" s="101"/>
      <c r="C43" s="11"/>
      <c r="D43" s="11"/>
      <c r="E43" s="11"/>
      <c r="F43" s="11"/>
      <c r="G43" s="11"/>
      <c r="H43" s="5"/>
      <c r="I43" s="5"/>
      <c r="J43" s="5"/>
      <c r="K43" s="5"/>
    </row>
    <row r="44" spans="1:11" s="1" customFormat="1" ht="16.5" x14ac:dyDescent="0.25">
      <c r="J44" s="102"/>
      <c r="K44" s="102"/>
    </row>
  </sheetData>
  <mergeCells count="67">
    <mergeCell ref="A2:K2"/>
    <mergeCell ref="A3:K3"/>
    <mergeCell ref="C8:D8"/>
    <mergeCell ref="E8:F8"/>
    <mergeCell ref="G8:H8"/>
    <mergeCell ref="C9:D9"/>
    <mergeCell ref="E9:F9"/>
    <mergeCell ref="G9:H9"/>
    <mergeCell ref="C10:D10"/>
    <mergeCell ref="E10:F10"/>
    <mergeCell ref="G10:H10"/>
    <mergeCell ref="C11:D11"/>
    <mergeCell ref="E11:F11"/>
    <mergeCell ref="G11:H11"/>
    <mergeCell ref="C12:D12"/>
    <mergeCell ref="E12:F12"/>
    <mergeCell ref="G12:H12"/>
    <mergeCell ref="G16:H16"/>
    <mergeCell ref="C13:D13"/>
    <mergeCell ref="E13:F13"/>
    <mergeCell ref="G13:H13"/>
    <mergeCell ref="C14:D14"/>
    <mergeCell ref="E14:F14"/>
    <mergeCell ref="G14:H14"/>
    <mergeCell ref="A24:H24"/>
    <mergeCell ref="A25:H26"/>
    <mergeCell ref="I25:I26"/>
    <mergeCell ref="A31:K31"/>
    <mergeCell ref="K19:K20"/>
    <mergeCell ref="C21:D21"/>
    <mergeCell ref="E21:F21"/>
    <mergeCell ref="G21:H21"/>
    <mergeCell ref="C19:D19"/>
    <mergeCell ref="E19:F19"/>
    <mergeCell ref="G19:H19"/>
    <mergeCell ref="J15:J18"/>
    <mergeCell ref="J19:J20"/>
    <mergeCell ref="C20:D20"/>
    <mergeCell ref="E20:F20"/>
    <mergeCell ref="G20:H20"/>
    <mergeCell ref="C17:D17"/>
    <mergeCell ref="E17:F17"/>
    <mergeCell ref="G17:H17"/>
    <mergeCell ref="C18:D18"/>
    <mergeCell ref="E18:F18"/>
    <mergeCell ref="G18:H18"/>
    <mergeCell ref="C15:D15"/>
    <mergeCell ref="E15:F15"/>
    <mergeCell ref="G15:H15"/>
    <mergeCell ref="C16:D16"/>
    <mergeCell ref="E16:F16"/>
    <mergeCell ref="A32:K32"/>
    <mergeCell ref="A43:B43"/>
    <mergeCell ref="J44:K44"/>
    <mergeCell ref="K9:K11"/>
    <mergeCell ref="K13:K14"/>
    <mergeCell ref="J9:J11"/>
    <mergeCell ref="J13:J14"/>
    <mergeCell ref="K24:K26"/>
    <mergeCell ref="J25:J26"/>
    <mergeCell ref="K15:K18"/>
    <mergeCell ref="E22:F22"/>
    <mergeCell ref="C22:D22"/>
    <mergeCell ref="G22:H22"/>
    <mergeCell ref="C23:D23"/>
    <mergeCell ref="E23:F23"/>
    <mergeCell ref="G23:H23"/>
  </mergeCells>
  <phoneticPr fontId="3" type="noConversion"/>
  <hyperlinks>
    <hyperlink ref="D5" location="'Muc Luc'!A1" display="Mr Cường" xr:uid="{A246AC44-06DF-4D3B-8274-9817C18BA1F1}"/>
  </hyperlinks>
  <pageMargins left="0.25" right="0.25" top="0.17" bottom="0.17" header="0.3" footer="0.2"/>
  <pageSetup paperSize="9" scale="37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A343F-4DF2-48BD-96F7-5F66F873D4A5}">
  <sheetPr codeName="Sheet3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6.42578125" customWidth="1"/>
    <col min="5" max="5" width="6.28515625" customWidth="1"/>
    <col min="6" max="6" width="8.28515625" customWidth="1"/>
    <col min="8" max="8" width="6.85546875" customWidth="1"/>
    <col min="9" max="9" width="11.28515625" customWidth="1"/>
    <col min="10" max="10" width="13.140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45815</v>
      </c>
    </row>
    <row r="6" spans="1:11" s="1" customFormat="1" ht="16.5" x14ac:dyDescent="0.25">
      <c r="A6" s="1" t="s">
        <v>78</v>
      </c>
      <c r="D6" s="1" t="s">
        <v>79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161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17" t="s">
        <v>80</v>
      </c>
      <c r="C9" s="103" t="s">
        <v>82</v>
      </c>
      <c r="D9" s="104"/>
      <c r="E9" s="119" t="s">
        <v>17</v>
      </c>
      <c r="F9" s="120"/>
      <c r="G9" s="119" t="s">
        <v>72</v>
      </c>
      <c r="H9" s="120"/>
      <c r="I9" s="24">
        <v>300</v>
      </c>
      <c r="J9" s="22">
        <v>1</v>
      </c>
      <c r="K9" s="6" t="s">
        <v>81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300</v>
      </c>
      <c r="J10" s="9">
        <f>SUM(J9:J9)</f>
        <v>1</v>
      </c>
      <c r="K10" s="118" t="s">
        <v>392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300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A16F7591-5EFA-438D-A32A-AFEC62F24C0A}"/>
  </hyperlinks>
  <pageMargins left="0.25" right="0.25" top="0.17" bottom="0.17" header="0.3" footer="0.2"/>
  <pageSetup paperSize="9" scale="81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52331-A4C8-49CB-9FD8-DF2BD75F4D37}">
  <sheetPr codeName="Sheet4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6.42578125" customWidth="1"/>
    <col min="5" max="5" width="6.28515625" customWidth="1"/>
    <col min="6" max="6" width="8.28515625" customWidth="1"/>
    <col min="8" max="8" width="6.85546875" customWidth="1"/>
    <col min="9" max="9" width="11.28515625" customWidth="1"/>
    <col min="10" max="10" width="13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45815</v>
      </c>
    </row>
    <row r="6" spans="1:11" s="1" customFormat="1" ht="16.5" x14ac:dyDescent="0.25">
      <c r="A6" s="1" t="s">
        <v>78</v>
      </c>
      <c r="D6" s="1" t="s">
        <v>88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161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25" t="s">
        <v>83</v>
      </c>
      <c r="C9" s="103" t="s">
        <v>86</v>
      </c>
      <c r="D9" s="104"/>
      <c r="E9" s="119" t="s">
        <v>17</v>
      </c>
      <c r="F9" s="120"/>
      <c r="G9" s="119" t="s">
        <v>68</v>
      </c>
      <c r="H9" s="120"/>
      <c r="I9" s="24">
        <v>450</v>
      </c>
      <c r="J9" s="115">
        <v>1</v>
      </c>
      <c r="K9" s="115" t="s">
        <v>85</v>
      </c>
    </row>
    <row r="10" spans="1:11" s="1" customFormat="1" ht="39" customHeight="1" x14ac:dyDescent="0.25">
      <c r="A10" s="3" t="s">
        <v>3</v>
      </c>
      <c r="B10" s="26" t="s">
        <v>84</v>
      </c>
      <c r="C10" s="103" t="s">
        <v>87</v>
      </c>
      <c r="D10" s="104"/>
      <c r="E10" s="119" t="s">
        <v>17</v>
      </c>
      <c r="F10" s="120"/>
      <c r="G10" s="119" t="s">
        <v>68</v>
      </c>
      <c r="H10" s="120"/>
      <c r="I10" s="24">
        <v>50</v>
      </c>
      <c r="J10" s="117"/>
      <c r="K10" s="117"/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500</v>
      </c>
      <c r="J11" s="9">
        <f>SUM(J9:J9)</f>
        <v>1</v>
      </c>
      <c r="K11" s="118" t="s">
        <v>392</v>
      </c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500</v>
      </c>
      <c r="J12" s="118">
        <f>J11</f>
        <v>1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2">
    <mergeCell ref="A19:K19"/>
    <mergeCell ref="A30:B30"/>
    <mergeCell ref="J31:K31"/>
    <mergeCell ref="C10:D10"/>
    <mergeCell ref="E10:F10"/>
    <mergeCell ref="G10:H10"/>
    <mergeCell ref="J9:J10"/>
    <mergeCell ref="K9:K10"/>
    <mergeCell ref="A12:H13"/>
    <mergeCell ref="I12:I13"/>
    <mergeCell ref="J12:J13"/>
    <mergeCell ref="A18:K18"/>
    <mergeCell ref="C9:D9"/>
    <mergeCell ref="A11:H11"/>
    <mergeCell ref="K11:K13"/>
    <mergeCell ref="E9:F9"/>
    <mergeCell ref="G9:H9"/>
    <mergeCell ref="A2:K2"/>
    <mergeCell ref="A3:K3"/>
    <mergeCell ref="C8:D8"/>
    <mergeCell ref="E8:F8"/>
    <mergeCell ref="G8:H8"/>
  </mergeCells>
  <phoneticPr fontId="4" type="noConversion"/>
  <hyperlinks>
    <hyperlink ref="D5" location="'Muc Luc'!A1" display="Mr Cường" xr:uid="{BA8967F4-580F-432E-B8D3-8A7B04EE2A84}"/>
  </hyperlinks>
  <pageMargins left="0.25" right="0.25" top="0.17" bottom="0.17" header="0.3" footer="0.2"/>
  <pageSetup paperSize="9" scale="81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C7048-CA54-4051-AC21-9D732A56FBF4}">
  <sheetPr codeName="Sheet5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6.42578125" customWidth="1"/>
    <col min="5" max="5" width="6.28515625" customWidth="1"/>
    <col min="6" max="6" width="8.28515625" customWidth="1"/>
    <col min="8" max="8" width="6.85546875" customWidth="1"/>
    <col min="9" max="9" width="11.28515625" customWidth="1"/>
    <col min="10" max="10" width="13.8554687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45815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161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27" t="s">
        <v>90</v>
      </c>
      <c r="C9" s="103" t="s">
        <v>91</v>
      </c>
      <c r="D9" s="104"/>
      <c r="E9" s="119" t="s">
        <v>92</v>
      </c>
      <c r="F9" s="120"/>
      <c r="G9" s="119" t="s">
        <v>93</v>
      </c>
      <c r="H9" s="120"/>
      <c r="I9" s="24">
        <v>100</v>
      </c>
      <c r="J9" s="115">
        <v>1</v>
      </c>
      <c r="K9" s="6" t="s">
        <v>95</v>
      </c>
    </row>
    <row r="10" spans="1:11" s="1" customFormat="1" ht="39" customHeight="1" x14ac:dyDescent="0.25">
      <c r="A10" s="3" t="s">
        <v>3</v>
      </c>
      <c r="B10" s="27" t="s">
        <v>90</v>
      </c>
      <c r="C10" s="103" t="s">
        <v>91</v>
      </c>
      <c r="D10" s="104"/>
      <c r="E10" s="119" t="s">
        <v>92</v>
      </c>
      <c r="F10" s="120"/>
      <c r="G10" s="119" t="s">
        <v>94</v>
      </c>
      <c r="H10" s="120"/>
      <c r="I10" s="24">
        <v>300</v>
      </c>
      <c r="J10" s="117"/>
      <c r="K10" s="6" t="s">
        <v>96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400</v>
      </c>
      <c r="J11" s="9">
        <f>SUM(J9:J9)</f>
        <v>1</v>
      </c>
      <c r="K11" s="118" t="s">
        <v>392</v>
      </c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400</v>
      </c>
      <c r="J12" s="118">
        <f>J11</f>
        <v>1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1">
    <mergeCell ref="A2:K2"/>
    <mergeCell ref="A3:K3"/>
    <mergeCell ref="C8:D8"/>
    <mergeCell ref="E8:F8"/>
    <mergeCell ref="G8:H8"/>
    <mergeCell ref="J31:K31"/>
    <mergeCell ref="C10:D10"/>
    <mergeCell ref="E10:F10"/>
    <mergeCell ref="G10:H10"/>
    <mergeCell ref="A11:H11"/>
    <mergeCell ref="A30:B30"/>
    <mergeCell ref="K11:K13"/>
    <mergeCell ref="J9:J10"/>
    <mergeCell ref="I12:I13"/>
    <mergeCell ref="A12:H13"/>
    <mergeCell ref="G9:H9"/>
    <mergeCell ref="A18:K18"/>
    <mergeCell ref="A19:K19"/>
    <mergeCell ref="J12:J13"/>
    <mergeCell ref="C9:D9"/>
    <mergeCell ref="E9:F9"/>
  </mergeCells>
  <phoneticPr fontId="4" type="noConversion"/>
  <hyperlinks>
    <hyperlink ref="D5" location="'Muc Luc'!A1" display="Mr Cường" xr:uid="{D4C650D6-98E3-4C80-9A9F-02330DBABE76}"/>
  </hyperlinks>
  <pageMargins left="0.25" right="0.25" top="0.17" bottom="0.17" header="0.3" footer="0.2"/>
  <pageSetup paperSize="9" scale="8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FCE9B-BC8F-4F95-9B4C-CA3249307D11}">
  <sheetPr codeName="Sheet6">
    <pageSetUpPr fitToPage="1"/>
  </sheetPr>
  <dimension ref="A1:K33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6.42578125" customWidth="1"/>
    <col min="5" max="5" width="6.28515625" customWidth="1"/>
    <col min="6" max="6" width="8.28515625" customWidth="1"/>
    <col min="8" max="8" width="6.85546875" customWidth="1"/>
    <col min="9" max="9" width="11.28515625" customWidth="1"/>
    <col min="10" max="10" width="13.140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45817</v>
      </c>
    </row>
    <row r="6" spans="1:11" s="1" customFormat="1" ht="16.5" x14ac:dyDescent="0.25">
      <c r="A6" s="1" t="s">
        <v>78</v>
      </c>
      <c r="D6" s="1" t="s">
        <v>97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161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25" t="s">
        <v>98</v>
      </c>
      <c r="C9" s="103" t="s">
        <v>102</v>
      </c>
      <c r="D9" s="104"/>
      <c r="E9" s="119" t="s">
        <v>106</v>
      </c>
      <c r="F9" s="120"/>
      <c r="G9" s="119" t="s">
        <v>68</v>
      </c>
      <c r="H9" s="120"/>
      <c r="I9" s="24">
        <v>400</v>
      </c>
      <c r="J9" s="114">
        <v>1</v>
      </c>
      <c r="K9" s="115" t="s">
        <v>107</v>
      </c>
    </row>
    <row r="10" spans="1:11" s="1" customFormat="1" ht="39" customHeight="1" x14ac:dyDescent="0.25">
      <c r="A10" s="3" t="s">
        <v>3</v>
      </c>
      <c r="B10" s="26" t="s">
        <v>99</v>
      </c>
      <c r="C10" s="103" t="s">
        <v>103</v>
      </c>
      <c r="D10" s="104"/>
      <c r="E10" s="119" t="s">
        <v>106</v>
      </c>
      <c r="F10" s="120"/>
      <c r="G10" s="119" t="s">
        <v>68</v>
      </c>
      <c r="H10" s="120"/>
      <c r="I10" s="24">
        <v>50</v>
      </c>
      <c r="J10" s="114"/>
      <c r="K10" s="117"/>
    </row>
    <row r="11" spans="1:11" s="1" customFormat="1" ht="39" customHeight="1" x14ac:dyDescent="0.25">
      <c r="A11" s="3" t="s">
        <v>4</v>
      </c>
      <c r="B11" s="25" t="s">
        <v>100</v>
      </c>
      <c r="C11" s="103" t="s">
        <v>104</v>
      </c>
      <c r="D11" s="104"/>
      <c r="E11" s="119" t="s">
        <v>106</v>
      </c>
      <c r="F11" s="120"/>
      <c r="G11" s="119" t="s">
        <v>68</v>
      </c>
      <c r="H11" s="120"/>
      <c r="I11" s="24">
        <v>300</v>
      </c>
      <c r="J11" s="114">
        <v>1</v>
      </c>
      <c r="K11" s="115" t="s">
        <v>71</v>
      </c>
    </row>
    <row r="12" spans="1:11" s="1" customFormat="1" ht="39" customHeight="1" x14ac:dyDescent="0.25">
      <c r="A12" s="3" t="s">
        <v>5</v>
      </c>
      <c r="B12" s="26" t="s">
        <v>101</v>
      </c>
      <c r="C12" s="103" t="s">
        <v>105</v>
      </c>
      <c r="D12" s="104"/>
      <c r="E12" s="119" t="s">
        <v>106</v>
      </c>
      <c r="F12" s="120"/>
      <c r="G12" s="119" t="s">
        <v>68</v>
      </c>
      <c r="H12" s="120"/>
      <c r="I12" s="24">
        <v>50</v>
      </c>
      <c r="J12" s="114"/>
      <c r="K12" s="117"/>
    </row>
    <row r="13" spans="1:11" s="1" customFormat="1" ht="33" customHeight="1" x14ac:dyDescent="0.25">
      <c r="A13" s="118" t="s">
        <v>7</v>
      </c>
      <c r="B13" s="118"/>
      <c r="C13" s="118"/>
      <c r="D13" s="118"/>
      <c r="E13" s="118"/>
      <c r="F13" s="118"/>
      <c r="G13" s="118"/>
      <c r="H13" s="118"/>
      <c r="I13" s="9">
        <f>SUM(I9:I12)</f>
        <v>800</v>
      </c>
      <c r="J13" s="9">
        <f>SUM(J9:J12)</f>
        <v>2</v>
      </c>
      <c r="K13" s="118" t="s">
        <v>392</v>
      </c>
    </row>
    <row r="14" spans="1:11" s="1" customFormat="1" ht="16.5" x14ac:dyDescent="0.25">
      <c r="A14" s="121" t="s">
        <v>19</v>
      </c>
      <c r="B14" s="121"/>
      <c r="C14" s="121"/>
      <c r="D14" s="121"/>
      <c r="E14" s="121"/>
      <c r="F14" s="121"/>
      <c r="G14" s="121"/>
      <c r="H14" s="121"/>
      <c r="I14" s="121">
        <f>I13</f>
        <v>800</v>
      </c>
      <c r="J14" s="118">
        <f>J13</f>
        <v>2</v>
      </c>
      <c r="K14" s="118"/>
    </row>
    <row r="15" spans="1:11" ht="15" customHeight="1" x14ac:dyDescent="0.25">
      <c r="A15" s="121"/>
      <c r="B15" s="121"/>
      <c r="C15" s="121"/>
      <c r="D15" s="121"/>
      <c r="E15" s="121"/>
      <c r="F15" s="121"/>
      <c r="G15" s="121"/>
      <c r="H15" s="121"/>
      <c r="I15" s="121"/>
      <c r="J15" s="118"/>
      <c r="K15" s="118"/>
    </row>
    <row r="17" spans="1:11" x14ac:dyDescent="0.25">
      <c r="B17" s="10" t="s">
        <v>62</v>
      </c>
      <c r="H17" t="s">
        <v>23</v>
      </c>
    </row>
    <row r="18" spans="1:11" ht="101.25" customHeight="1" x14ac:dyDescent="0.25">
      <c r="B18" s="10"/>
    </row>
    <row r="19" spans="1:11" s="1" customFormat="1" ht="16.5" x14ac:dyDescent="0.25"/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1:11" s="1" customFormat="1" ht="20.2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</row>
    <row r="23" spans="1:11" s="1" customFormat="1" ht="16.5" x14ac:dyDescent="0.25"/>
    <row r="24" spans="1:11" s="1" customFormat="1" ht="16.5" x14ac:dyDescent="0.25"/>
    <row r="25" spans="1:11" s="1" customFormat="1" ht="19.5" customHeight="1" x14ac:dyDescent="0.25"/>
    <row r="26" spans="1:11" s="1" customFormat="1" ht="30.75" customHeight="1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1" s="1" customFormat="1" ht="35.25" customHeight="1" x14ac:dyDescent="0.2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1" s="1" customFormat="1" ht="16.5" x14ac:dyDescent="0.25">
      <c r="A32" s="100"/>
      <c r="B32" s="101"/>
      <c r="C32" s="11"/>
      <c r="D32" s="11"/>
      <c r="E32" s="11"/>
      <c r="F32" s="11"/>
      <c r="G32" s="11"/>
      <c r="H32" s="5"/>
      <c r="I32" s="5"/>
      <c r="J32" s="5"/>
      <c r="K32" s="5"/>
    </row>
    <row r="33" spans="10:11" s="1" customFormat="1" ht="16.5" x14ac:dyDescent="0.25">
      <c r="J33" s="102"/>
      <c r="K33" s="102"/>
    </row>
  </sheetData>
  <mergeCells count="30">
    <mergeCell ref="J14:J15"/>
    <mergeCell ref="A2:K2"/>
    <mergeCell ref="A3:K3"/>
    <mergeCell ref="C8:D8"/>
    <mergeCell ref="E8:F8"/>
    <mergeCell ref="G8:H8"/>
    <mergeCell ref="C9:D9"/>
    <mergeCell ref="E9:F9"/>
    <mergeCell ref="G9:H9"/>
    <mergeCell ref="C12:D12"/>
    <mergeCell ref="A13:H13"/>
    <mergeCell ref="K13:K15"/>
    <mergeCell ref="A14:H15"/>
    <mergeCell ref="I14:I15"/>
    <mergeCell ref="A32:B32"/>
    <mergeCell ref="J33:K33"/>
    <mergeCell ref="C10:D10"/>
    <mergeCell ref="C11:D11"/>
    <mergeCell ref="E10:F10"/>
    <mergeCell ref="E11:F11"/>
    <mergeCell ref="G10:H10"/>
    <mergeCell ref="G11:H11"/>
    <mergeCell ref="E12:F12"/>
    <mergeCell ref="G12:H12"/>
    <mergeCell ref="J9:J10"/>
    <mergeCell ref="J11:J12"/>
    <mergeCell ref="K9:K10"/>
    <mergeCell ref="K11:K12"/>
    <mergeCell ref="A20:K20"/>
    <mergeCell ref="A21:K21"/>
  </mergeCells>
  <phoneticPr fontId="5" type="noConversion"/>
  <hyperlinks>
    <hyperlink ref="D5" location="'Muc Luc'!A1" display="Mr Cường" xr:uid="{400FE940-16AC-4F8A-9421-32E01256B9FD}"/>
  </hyperlinks>
  <pageMargins left="0.25" right="0.25" top="0.17" bottom="0.17" header="0.3" footer="0.2"/>
  <pageSetup paperSize="9" scale="81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E5A48-E405-4A60-A819-64D3CA0A6075}">
  <sheetPr codeName="Sheet7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3.140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162</v>
      </c>
      <c r="J5" s="1" t="s">
        <v>163</v>
      </c>
    </row>
    <row r="6" spans="1:11" s="1" customFormat="1" ht="16.5" x14ac:dyDescent="0.25">
      <c r="A6" s="1" t="s">
        <v>78</v>
      </c>
      <c r="D6" s="1" t="s">
        <v>124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161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25" t="s">
        <v>125</v>
      </c>
      <c r="C9" s="103" t="s">
        <v>126</v>
      </c>
      <c r="D9" s="104"/>
      <c r="E9" s="119" t="s">
        <v>106</v>
      </c>
      <c r="F9" s="120"/>
      <c r="G9" s="119" t="s">
        <v>68</v>
      </c>
      <c r="H9" s="120"/>
      <c r="I9" s="24">
        <v>150</v>
      </c>
      <c r="J9" s="6">
        <v>1</v>
      </c>
      <c r="K9" s="22" t="s">
        <v>127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150</v>
      </c>
      <c r="J10" s="9">
        <f>SUM(J9:J9)</f>
        <v>1</v>
      </c>
      <c r="K10" s="118" t="s">
        <v>392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150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7:K17"/>
    <mergeCell ref="A18:K18"/>
    <mergeCell ref="A29:B29"/>
    <mergeCell ref="J30:K30"/>
    <mergeCell ref="A10:H10"/>
    <mergeCell ref="K10:K12"/>
    <mergeCell ref="A11:H12"/>
    <mergeCell ref="I11:I12"/>
    <mergeCell ref="J11:J12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662CFBD6-FCAB-4CD5-944B-B49ED5AA3692}"/>
  </hyperlinks>
  <pageMargins left="0.25" right="0.25" top="0.17" bottom="0.17" header="0.3" footer="0.2"/>
  <pageSetup paperSize="9" scale="81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F4A8C-BCB1-4CFD-9C32-AD8DEBA1639C}">
  <sheetPr codeName="Sheet8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2.8554687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45818</v>
      </c>
    </row>
    <row r="6" spans="1:11" s="1" customFormat="1" ht="16.5" x14ac:dyDescent="0.25">
      <c r="A6" s="1" t="s">
        <v>78</v>
      </c>
      <c r="D6" s="1" t="s">
        <v>123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161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29" t="s">
        <v>129</v>
      </c>
      <c r="C9" s="103" t="s">
        <v>131</v>
      </c>
      <c r="D9" s="104"/>
      <c r="E9" s="119" t="s">
        <v>130</v>
      </c>
      <c r="F9" s="120"/>
      <c r="G9" s="119" t="s">
        <v>128</v>
      </c>
      <c r="H9" s="120"/>
      <c r="I9" s="24">
        <v>400</v>
      </c>
      <c r="J9" s="6">
        <v>1</v>
      </c>
      <c r="K9" s="22" t="s">
        <v>135</v>
      </c>
    </row>
    <row r="10" spans="1:11" s="1" customFormat="1" ht="39" customHeight="1" x14ac:dyDescent="0.25">
      <c r="A10" s="3" t="s">
        <v>3</v>
      </c>
      <c r="B10" s="29" t="s">
        <v>132</v>
      </c>
      <c r="C10" s="103" t="s">
        <v>133</v>
      </c>
      <c r="D10" s="104"/>
      <c r="E10" s="119" t="s">
        <v>17</v>
      </c>
      <c r="F10" s="120"/>
      <c r="G10" s="119" t="s">
        <v>128</v>
      </c>
      <c r="H10" s="120"/>
      <c r="I10" s="24">
        <v>500</v>
      </c>
      <c r="J10" s="6">
        <v>1</v>
      </c>
      <c r="K10" s="22" t="s">
        <v>134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900</v>
      </c>
      <c r="J11" s="9">
        <f>SUM(J9:J10)</f>
        <v>2</v>
      </c>
      <c r="K11" s="118" t="s">
        <v>392</v>
      </c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900</v>
      </c>
      <c r="J12" s="118">
        <f>J11</f>
        <v>2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A19:K19"/>
    <mergeCell ref="A30:B30"/>
    <mergeCell ref="J31:K31"/>
    <mergeCell ref="C10:D10"/>
    <mergeCell ref="E10:F10"/>
    <mergeCell ref="G10:H10"/>
    <mergeCell ref="A11:H11"/>
    <mergeCell ref="K11:K13"/>
    <mergeCell ref="A12:H13"/>
    <mergeCell ref="I12:I13"/>
    <mergeCell ref="J12:J13"/>
    <mergeCell ref="A18:K18"/>
    <mergeCell ref="C9:D9"/>
    <mergeCell ref="E9:F9"/>
    <mergeCell ref="G9:H9"/>
    <mergeCell ref="A2:K2"/>
    <mergeCell ref="A3:K3"/>
    <mergeCell ref="C8:D8"/>
    <mergeCell ref="E8:F8"/>
    <mergeCell ref="G8:H8"/>
  </mergeCells>
  <phoneticPr fontId="6" type="noConversion"/>
  <hyperlinks>
    <hyperlink ref="D5" location="'Muc Luc'!A1" display="Mr Cường" xr:uid="{3DC93888-ABD5-4253-BFA9-FC4AF80A94B7}"/>
  </hyperlinks>
  <pageMargins left="0.25" right="0.25" top="0.17" bottom="0.17" header="0.3" footer="0.2"/>
  <pageSetup paperSize="9" scale="81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69079-6465-45CA-A06A-722CEDCCE4D8}">
  <sheetPr codeName="Sheet9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710937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45819</v>
      </c>
    </row>
    <row r="6" spans="1:11" s="1" customFormat="1" ht="16.5" x14ac:dyDescent="0.25">
      <c r="A6" s="1" t="s">
        <v>78</v>
      </c>
      <c r="D6" s="1" t="s">
        <v>147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27" t="s">
        <v>149</v>
      </c>
      <c r="C9" s="103" t="s">
        <v>150</v>
      </c>
      <c r="D9" s="104"/>
      <c r="E9" s="119" t="s">
        <v>17</v>
      </c>
      <c r="F9" s="120"/>
      <c r="G9" s="119" t="s">
        <v>93</v>
      </c>
      <c r="H9" s="120"/>
      <c r="I9" s="24">
        <v>100</v>
      </c>
      <c r="J9" s="6">
        <v>1</v>
      </c>
      <c r="K9" s="31" t="s">
        <v>148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100</v>
      </c>
      <c r="J10" s="9">
        <f>SUM(J9:J9)</f>
        <v>1</v>
      </c>
      <c r="K10" s="118" t="s">
        <v>392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100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7:K17"/>
    <mergeCell ref="A18:K18"/>
    <mergeCell ref="A29:B29"/>
    <mergeCell ref="J30:K30"/>
    <mergeCell ref="A10:H10"/>
    <mergeCell ref="K10:K12"/>
    <mergeCell ref="A11:H12"/>
    <mergeCell ref="I11:I12"/>
    <mergeCell ref="J11:J12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6F836041-96F4-440D-B2EE-D383FEC728C0}"/>
  </hyperlinks>
  <pageMargins left="0.25" right="0.25" top="0.17" bottom="0.17" header="0.3" footer="0.2"/>
  <pageSetup paperSize="9" scale="81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C84F0-7EC6-4C96-8531-8295E0B87D70}">
  <sheetPr codeName="Sheet10">
    <pageSetUpPr fitToPage="1"/>
  </sheetPr>
  <dimension ref="A1:K35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6.42578125" customWidth="1"/>
    <col min="5" max="5" width="6.28515625" customWidth="1"/>
    <col min="6" max="6" width="8.28515625" customWidth="1"/>
    <col min="8" max="8" width="6.85546875" customWidth="1"/>
    <col min="9" max="9" width="11.28515625" customWidth="1"/>
    <col min="10" max="10" width="14.140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45846</v>
      </c>
    </row>
    <row r="6" spans="1:11" s="1" customFormat="1" ht="16.5" x14ac:dyDescent="0.25">
      <c r="A6" s="1" t="s">
        <v>78</v>
      </c>
      <c r="D6" s="1" t="s">
        <v>108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161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28" t="s">
        <v>109</v>
      </c>
      <c r="C9" s="103" t="s">
        <v>117</v>
      </c>
      <c r="D9" s="104"/>
      <c r="E9" s="119" t="s">
        <v>106</v>
      </c>
      <c r="F9" s="120"/>
      <c r="G9" s="119" t="s">
        <v>68</v>
      </c>
      <c r="H9" s="120"/>
      <c r="I9" s="24">
        <v>200</v>
      </c>
      <c r="J9" s="114">
        <v>1</v>
      </c>
      <c r="K9" s="115" t="s">
        <v>116</v>
      </c>
    </row>
    <row r="10" spans="1:11" s="1" customFormat="1" ht="39" customHeight="1" x14ac:dyDescent="0.25">
      <c r="A10" s="3" t="s">
        <v>3</v>
      </c>
      <c r="B10" s="25" t="s">
        <v>110</v>
      </c>
      <c r="C10" s="103" t="s">
        <v>118</v>
      </c>
      <c r="D10" s="104"/>
      <c r="E10" s="119" t="s">
        <v>106</v>
      </c>
      <c r="F10" s="120"/>
      <c r="G10" s="119" t="s">
        <v>68</v>
      </c>
      <c r="H10" s="120"/>
      <c r="I10" s="24">
        <v>50</v>
      </c>
      <c r="J10" s="114"/>
      <c r="K10" s="117"/>
    </row>
    <row r="11" spans="1:11" s="1" customFormat="1" ht="39" customHeight="1" x14ac:dyDescent="0.25">
      <c r="A11" s="3" t="s">
        <v>4</v>
      </c>
      <c r="B11" s="25" t="s">
        <v>111</v>
      </c>
      <c r="C11" s="103" t="s">
        <v>119</v>
      </c>
      <c r="D11" s="104"/>
      <c r="E11" s="119" t="s">
        <v>106</v>
      </c>
      <c r="F11" s="120"/>
      <c r="G11" s="119" t="s">
        <v>68</v>
      </c>
      <c r="H11" s="120"/>
      <c r="I11" s="24">
        <v>150</v>
      </c>
      <c r="J11" s="115">
        <v>1</v>
      </c>
      <c r="K11" s="115" t="s">
        <v>115</v>
      </c>
    </row>
    <row r="12" spans="1:11" s="1" customFormat="1" ht="39" customHeight="1" x14ac:dyDescent="0.25">
      <c r="A12" s="3" t="s">
        <v>5</v>
      </c>
      <c r="B12" s="28" t="s">
        <v>112</v>
      </c>
      <c r="C12" s="103" t="s">
        <v>120</v>
      </c>
      <c r="D12" s="104"/>
      <c r="E12" s="119" t="s">
        <v>106</v>
      </c>
      <c r="F12" s="120"/>
      <c r="G12" s="119" t="s">
        <v>68</v>
      </c>
      <c r="H12" s="120"/>
      <c r="I12" s="24">
        <v>150</v>
      </c>
      <c r="J12" s="116"/>
      <c r="K12" s="116"/>
    </row>
    <row r="13" spans="1:11" s="1" customFormat="1" ht="39" customHeight="1" x14ac:dyDescent="0.25">
      <c r="A13" s="3" t="s">
        <v>6</v>
      </c>
      <c r="B13" s="28" t="s">
        <v>113</v>
      </c>
      <c r="C13" s="103" t="s">
        <v>121</v>
      </c>
      <c r="D13" s="104"/>
      <c r="E13" s="119" t="s">
        <v>106</v>
      </c>
      <c r="F13" s="120"/>
      <c r="G13" s="119" t="s">
        <v>68</v>
      </c>
      <c r="H13" s="120"/>
      <c r="I13" s="24">
        <v>150</v>
      </c>
      <c r="J13" s="116"/>
      <c r="K13" s="116"/>
    </row>
    <row r="14" spans="1:11" s="1" customFormat="1" ht="39" customHeight="1" x14ac:dyDescent="0.25">
      <c r="A14" s="3" t="s">
        <v>12</v>
      </c>
      <c r="B14" s="28" t="s">
        <v>114</v>
      </c>
      <c r="C14" s="103" t="s">
        <v>122</v>
      </c>
      <c r="D14" s="104"/>
      <c r="E14" s="119" t="s">
        <v>106</v>
      </c>
      <c r="F14" s="120"/>
      <c r="G14" s="119" t="s">
        <v>68</v>
      </c>
      <c r="H14" s="120"/>
      <c r="I14" s="24">
        <v>100</v>
      </c>
      <c r="J14" s="117"/>
      <c r="K14" s="117"/>
    </row>
    <row r="15" spans="1:11" s="1" customFormat="1" ht="33" customHeight="1" x14ac:dyDescent="0.25">
      <c r="A15" s="118" t="s">
        <v>7</v>
      </c>
      <c r="B15" s="118"/>
      <c r="C15" s="118"/>
      <c r="D15" s="118"/>
      <c r="E15" s="118"/>
      <c r="F15" s="118"/>
      <c r="G15" s="118"/>
      <c r="H15" s="118"/>
      <c r="I15" s="9">
        <f>SUM(I9:I14)</f>
        <v>800</v>
      </c>
      <c r="J15" s="9">
        <f>SUM(J9:J14)</f>
        <v>2</v>
      </c>
      <c r="K15" s="118"/>
    </row>
    <row r="16" spans="1:11" s="1" customFormat="1" ht="16.5" x14ac:dyDescent="0.25">
      <c r="A16" s="121" t="s">
        <v>19</v>
      </c>
      <c r="B16" s="121"/>
      <c r="C16" s="121"/>
      <c r="D16" s="121"/>
      <c r="E16" s="121"/>
      <c r="F16" s="121"/>
      <c r="G16" s="121"/>
      <c r="H16" s="121"/>
      <c r="I16" s="121">
        <f>I15</f>
        <v>800</v>
      </c>
      <c r="J16" s="118">
        <f>J15</f>
        <v>2</v>
      </c>
      <c r="K16" s="118"/>
    </row>
    <row r="17" spans="1:11" ht="15" customHeight="1" x14ac:dyDescent="0.25">
      <c r="A17" s="121"/>
      <c r="B17" s="121"/>
      <c r="C17" s="121"/>
      <c r="D17" s="121"/>
      <c r="E17" s="121"/>
      <c r="F17" s="121"/>
      <c r="G17" s="121"/>
      <c r="H17" s="121"/>
      <c r="I17" s="121"/>
      <c r="J17" s="118"/>
      <c r="K17" s="118"/>
    </row>
    <row r="19" spans="1:11" x14ac:dyDescent="0.25">
      <c r="B19" s="10" t="s">
        <v>62</v>
      </c>
      <c r="H19" t="s">
        <v>23</v>
      </c>
    </row>
    <row r="20" spans="1:11" ht="101.25" customHeight="1" x14ac:dyDescent="0.25">
      <c r="B20" s="10"/>
    </row>
    <row r="21" spans="1:11" s="1" customFormat="1" ht="16.5" x14ac:dyDescent="0.25"/>
    <row r="22" spans="1:11" s="1" customFormat="1" ht="20.25" x14ac:dyDescent="0.3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</row>
    <row r="23" spans="1:11" s="1" customFormat="1" ht="20.25" x14ac:dyDescent="0.3">
      <c r="A23" s="99"/>
      <c r="B23" s="99"/>
      <c r="C23" s="99"/>
      <c r="D23" s="99"/>
      <c r="E23" s="99"/>
      <c r="F23" s="99"/>
      <c r="G23" s="99"/>
      <c r="H23" s="99"/>
      <c r="I23" s="99"/>
      <c r="J23" s="99"/>
      <c r="K23" s="99"/>
    </row>
    <row r="24" spans="1:11" s="1" customFormat="1" ht="20.2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</row>
    <row r="25" spans="1:11" s="1" customFormat="1" ht="16.5" x14ac:dyDescent="0.25"/>
    <row r="26" spans="1:11" s="1" customFormat="1" ht="16.5" x14ac:dyDescent="0.25"/>
    <row r="27" spans="1:11" s="1" customFormat="1" ht="19.5" customHeight="1" x14ac:dyDescent="0.25"/>
    <row r="28" spans="1:11" s="1" customFormat="1" ht="30.75" customHeight="1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21"/>
    </row>
    <row r="31" spans="1:11" s="1" customFormat="1" ht="35.25" customHeight="1" x14ac:dyDescent="0.25">
      <c r="A31" s="21"/>
    </row>
    <row r="32" spans="1:11" s="1" customFormat="1" ht="35.25" customHeight="1" x14ac:dyDescent="0.25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19"/>
    </row>
    <row r="33" spans="1:11" s="1" customFormat="1" ht="35.25" customHeight="1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</row>
    <row r="34" spans="1:11" s="1" customFormat="1" ht="16.5" x14ac:dyDescent="0.25">
      <c r="A34" s="100"/>
      <c r="B34" s="101"/>
      <c r="C34" s="11"/>
      <c r="D34" s="11"/>
      <c r="E34" s="11"/>
      <c r="F34" s="11"/>
      <c r="G34" s="11"/>
      <c r="H34" s="5"/>
      <c r="I34" s="5"/>
      <c r="J34" s="5"/>
      <c r="K34" s="5"/>
    </row>
    <row r="35" spans="1:11" s="1" customFormat="1" ht="16.5" x14ac:dyDescent="0.25">
      <c r="J35" s="102"/>
      <c r="K35" s="102"/>
    </row>
  </sheetData>
  <mergeCells count="36">
    <mergeCell ref="J9:J10"/>
    <mergeCell ref="K9:K10"/>
    <mergeCell ref="A2:K2"/>
    <mergeCell ref="A3:K3"/>
    <mergeCell ref="C8:D8"/>
    <mergeCell ref="E8:F8"/>
    <mergeCell ref="G8:H8"/>
    <mergeCell ref="G14:H14"/>
    <mergeCell ref="A15:H15"/>
    <mergeCell ref="C9:D9"/>
    <mergeCell ref="E9:F9"/>
    <mergeCell ref="G9:H9"/>
    <mergeCell ref="C10:D10"/>
    <mergeCell ref="E10:F10"/>
    <mergeCell ref="G10:H10"/>
    <mergeCell ref="C13:D13"/>
    <mergeCell ref="E13:F13"/>
    <mergeCell ref="G13:H13"/>
    <mergeCell ref="G11:H11"/>
    <mergeCell ref="G12:H12"/>
    <mergeCell ref="J35:K35"/>
    <mergeCell ref="E11:F11"/>
    <mergeCell ref="E12:F12"/>
    <mergeCell ref="C11:D11"/>
    <mergeCell ref="C12:D12"/>
    <mergeCell ref="J11:J14"/>
    <mergeCell ref="K11:K14"/>
    <mergeCell ref="A22:K22"/>
    <mergeCell ref="A23:K23"/>
    <mergeCell ref="A34:B34"/>
    <mergeCell ref="K15:K17"/>
    <mergeCell ref="A16:H17"/>
    <mergeCell ref="I16:I17"/>
    <mergeCell ref="J16:J17"/>
    <mergeCell ref="C14:D14"/>
    <mergeCell ref="E14:F14"/>
  </mergeCells>
  <phoneticPr fontId="5" type="noConversion"/>
  <hyperlinks>
    <hyperlink ref="D5" location="'Muc Luc'!A1" display="Mr Cường" xr:uid="{C440B0B4-439C-453E-BF99-D5686A51A144}"/>
  </hyperlinks>
  <pageMargins left="0.25" right="0.25" top="0.17" bottom="0.17" header="0.3" footer="0.2"/>
  <pageSetup paperSize="9" scale="79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422AE-4789-49F4-B2F3-B7F87E05EA42}">
  <sheetPr codeName="Sheet11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3.8554687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45820</v>
      </c>
    </row>
    <row r="6" spans="1:11" s="1" customFormat="1" ht="16.5" x14ac:dyDescent="0.25">
      <c r="A6" s="1" t="s">
        <v>78</v>
      </c>
      <c r="D6" s="1" t="s">
        <v>154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161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7" t="s">
        <v>151</v>
      </c>
      <c r="C9" s="103" t="s">
        <v>153</v>
      </c>
      <c r="D9" s="104"/>
      <c r="E9" s="119" t="s">
        <v>92</v>
      </c>
      <c r="F9" s="120"/>
      <c r="G9" s="119" t="s">
        <v>93</v>
      </c>
      <c r="H9" s="120"/>
      <c r="I9" s="24">
        <v>200</v>
      </c>
      <c r="J9" s="6">
        <v>1</v>
      </c>
      <c r="K9" s="31" t="s">
        <v>152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200</v>
      </c>
      <c r="J10" s="9">
        <f>SUM(J9:J9)</f>
        <v>1</v>
      </c>
      <c r="K10" s="118"/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200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2:K2"/>
    <mergeCell ref="A3:K3"/>
    <mergeCell ref="C8:D8"/>
    <mergeCell ref="E8:F8"/>
    <mergeCell ref="G8:H8"/>
    <mergeCell ref="C9:D9"/>
    <mergeCell ref="E9:F9"/>
    <mergeCell ref="G9:H9"/>
    <mergeCell ref="A17:K17"/>
    <mergeCell ref="A18:K18"/>
    <mergeCell ref="A29:B29"/>
    <mergeCell ref="J30:K30"/>
    <mergeCell ref="A10:H10"/>
    <mergeCell ref="K10:K12"/>
    <mergeCell ref="A11:H12"/>
    <mergeCell ref="I11:I12"/>
    <mergeCell ref="J11:J12"/>
  </mergeCells>
  <hyperlinks>
    <hyperlink ref="D5" location="'Muc Luc'!A1" display="Mr Cường" xr:uid="{185E6128-B380-4E27-A2E6-4B533BBBF89F}"/>
  </hyperlinks>
  <pageMargins left="0.25" right="0.25" top="0.17" bottom="0.17" header="0.3" footer="0.2"/>
  <pageSetup paperSize="9" scale="8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15479-C83B-49B1-9DC5-5045696A911D}">
  <sheetPr codeName="Sheet12">
    <pageSetUpPr fitToPage="1"/>
  </sheetPr>
  <dimension ref="A1:K30"/>
  <sheetViews>
    <sheetView zoomScaleNormal="100" workbookViewId="0">
      <selection activeCell="B9" sqref="B9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3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45820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25" t="s">
        <v>157</v>
      </c>
      <c r="C9" s="103" t="s">
        <v>158</v>
      </c>
      <c r="D9" s="104"/>
      <c r="E9" s="119" t="s">
        <v>92</v>
      </c>
      <c r="F9" s="120"/>
      <c r="G9" s="119" t="s">
        <v>93</v>
      </c>
      <c r="H9" s="120"/>
      <c r="I9" s="24">
        <v>100</v>
      </c>
      <c r="J9" s="6">
        <v>1</v>
      </c>
      <c r="K9" s="31" t="s">
        <v>156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100</v>
      </c>
      <c r="J10" s="9">
        <f>SUM(J9:J9)</f>
        <v>1</v>
      </c>
      <c r="K10" s="118"/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100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EE6740EA-A1C6-49E1-9EC2-00185D88E57A}"/>
  </hyperlinks>
  <pageMargins left="0.25" right="0.25" top="0.17" bottom="0.17" header="0.3" footer="0.2"/>
  <pageSetup paperSize="9" scale="8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263C8-509D-4229-83F3-4A613C187763}">
  <sheetPr codeName="Sheet13">
    <pageSetUpPr fitToPage="1"/>
  </sheetPr>
  <dimension ref="A1:K33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45822</v>
      </c>
    </row>
    <row r="6" spans="1:11" s="1" customFormat="1" ht="16.5" x14ac:dyDescent="0.25">
      <c r="A6" s="1" t="s">
        <v>78</v>
      </c>
      <c r="D6" s="1" t="s">
        <v>136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30" t="s">
        <v>137</v>
      </c>
      <c r="C9" s="103" t="s">
        <v>139</v>
      </c>
      <c r="D9" s="104"/>
      <c r="E9" s="119" t="s">
        <v>17</v>
      </c>
      <c r="F9" s="120"/>
      <c r="G9" s="119" t="s">
        <v>93</v>
      </c>
      <c r="H9" s="120"/>
      <c r="I9" s="24">
        <v>500</v>
      </c>
      <c r="J9" s="6">
        <v>1</v>
      </c>
      <c r="K9" s="22" t="s">
        <v>143</v>
      </c>
    </row>
    <row r="10" spans="1:11" s="1" customFormat="1" ht="39" customHeight="1" x14ac:dyDescent="0.25">
      <c r="A10" s="3" t="s">
        <v>3</v>
      </c>
      <c r="B10" s="30" t="s">
        <v>137</v>
      </c>
      <c r="C10" s="103" t="s">
        <v>140</v>
      </c>
      <c r="D10" s="104"/>
      <c r="E10" s="119" t="s">
        <v>17</v>
      </c>
      <c r="F10" s="120"/>
      <c r="G10" s="119" t="s">
        <v>93</v>
      </c>
      <c r="H10" s="120"/>
      <c r="I10" s="24">
        <v>500</v>
      </c>
      <c r="J10" s="6">
        <v>1</v>
      </c>
      <c r="K10" s="22" t="s">
        <v>144</v>
      </c>
    </row>
    <row r="11" spans="1:11" s="1" customFormat="1" ht="39" customHeight="1" x14ac:dyDescent="0.25">
      <c r="A11" s="3" t="s">
        <v>4</v>
      </c>
      <c r="B11" s="30" t="s">
        <v>138</v>
      </c>
      <c r="C11" s="103" t="s">
        <v>141</v>
      </c>
      <c r="D11" s="104"/>
      <c r="E11" s="119" t="s">
        <v>92</v>
      </c>
      <c r="F11" s="120"/>
      <c r="G11" s="119" t="s">
        <v>93</v>
      </c>
      <c r="H11" s="120"/>
      <c r="I11" s="24">
        <v>500</v>
      </c>
      <c r="J11" s="6">
        <v>1</v>
      </c>
      <c r="K11" s="22" t="s">
        <v>145</v>
      </c>
    </row>
    <row r="12" spans="1:11" s="1" customFormat="1" ht="39" customHeight="1" x14ac:dyDescent="0.25">
      <c r="A12" s="3" t="s">
        <v>5</v>
      </c>
      <c r="B12" s="30" t="s">
        <v>138</v>
      </c>
      <c r="C12" s="103" t="s">
        <v>142</v>
      </c>
      <c r="D12" s="104"/>
      <c r="E12" s="119" t="s">
        <v>92</v>
      </c>
      <c r="F12" s="120"/>
      <c r="G12" s="119" t="s">
        <v>93</v>
      </c>
      <c r="H12" s="120"/>
      <c r="I12" s="24">
        <v>500</v>
      </c>
      <c r="J12" s="6">
        <v>1</v>
      </c>
      <c r="K12" s="22" t="s">
        <v>146</v>
      </c>
    </row>
    <row r="13" spans="1:11" s="1" customFormat="1" ht="33" customHeight="1" x14ac:dyDescent="0.25">
      <c r="A13" s="118" t="s">
        <v>7</v>
      </c>
      <c r="B13" s="118"/>
      <c r="C13" s="118"/>
      <c r="D13" s="118"/>
      <c r="E13" s="118"/>
      <c r="F13" s="118"/>
      <c r="G13" s="118"/>
      <c r="H13" s="118"/>
      <c r="I13" s="9">
        <f>SUM(I9:I12)</f>
        <v>2000</v>
      </c>
      <c r="J13" s="9">
        <f>SUM(J9:J12)</f>
        <v>4</v>
      </c>
      <c r="K13" s="118"/>
    </row>
    <row r="14" spans="1:11" s="1" customFormat="1" ht="16.5" x14ac:dyDescent="0.25">
      <c r="A14" s="121" t="s">
        <v>19</v>
      </c>
      <c r="B14" s="121"/>
      <c r="C14" s="121"/>
      <c r="D14" s="121"/>
      <c r="E14" s="121"/>
      <c r="F14" s="121"/>
      <c r="G14" s="121"/>
      <c r="H14" s="121"/>
      <c r="I14" s="121">
        <f>I13</f>
        <v>2000</v>
      </c>
      <c r="J14" s="118">
        <f>J13</f>
        <v>4</v>
      </c>
      <c r="K14" s="118"/>
    </row>
    <row r="15" spans="1:11" ht="15" customHeight="1" x14ac:dyDescent="0.25">
      <c r="A15" s="121"/>
      <c r="B15" s="121"/>
      <c r="C15" s="121"/>
      <c r="D15" s="121"/>
      <c r="E15" s="121"/>
      <c r="F15" s="121"/>
      <c r="G15" s="121"/>
      <c r="H15" s="121"/>
      <c r="I15" s="121"/>
      <c r="J15" s="118"/>
      <c r="K15" s="118"/>
    </row>
    <row r="17" spans="1:11" x14ac:dyDescent="0.25">
      <c r="B17" s="10" t="s">
        <v>62</v>
      </c>
      <c r="H17" t="s">
        <v>23</v>
      </c>
    </row>
    <row r="18" spans="1:11" ht="101.25" customHeight="1" x14ac:dyDescent="0.25">
      <c r="B18" s="10"/>
    </row>
    <row r="19" spans="1:11" s="1" customFormat="1" ht="16.5" x14ac:dyDescent="0.25"/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1:11" s="1" customFormat="1" ht="20.2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</row>
    <row r="23" spans="1:11" s="1" customFormat="1" ht="16.5" x14ac:dyDescent="0.25"/>
    <row r="24" spans="1:11" s="1" customFormat="1" ht="16.5" x14ac:dyDescent="0.25"/>
    <row r="25" spans="1:11" s="1" customFormat="1" ht="19.5" customHeight="1" x14ac:dyDescent="0.25"/>
    <row r="26" spans="1:11" s="1" customFormat="1" ht="30.75" customHeight="1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1" s="1" customFormat="1" ht="35.25" customHeight="1" x14ac:dyDescent="0.2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1" s="1" customFormat="1" ht="16.5" x14ac:dyDescent="0.25">
      <c r="A32" s="100"/>
      <c r="B32" s="101"/>
      <c r="C32" s="11"/>
      <c r="D32" s="11"/>
      <c r="E32" s="11"/>
      <c r="F32" s="11"/>
      <c r="G32" s="11"/>
      <c r="H32" s="5"/>
      <c r="I32" s="5"/>
      <c r="J32" s="5"/>
      <c r="K32" s="5"/>
    </row>
    <row r="33" spans="10:11" s="1" customFormat="1" ht="16.5" x14ac:dyDescent="0.25">
      <c r="J33" s="102"/>
      <c r="K33" s="102"/>
    </row>
  </sheetData>
  <mergeCells count="26">
    <mergeCell ref="A2:K2"/>
    <mergeCell ref="A3:K3"/>
    <mergeCell ref="C8:D8"/>
    <mergeCell ref="E8:F8"/>
    <mergeCell ref="G8:H8"/>
    <mergeCell ref="C9:D9"/>
    <mergeCell ref="E9:F9"/>
    <mergeCell ref="G9:H9"/>
    <mergeCell ref="C12:D12"/>
    <mergeCell ref="E12:F12"/>
    <mergeCell ref="G12:H12"/>
    <mergeCell ref="A20:K20"/>
    <mergeCell ref="A21:K21"/>
    <mergeCell ref="A32:B32"/>
    <mergeCell ref="J33:K33"/>
    <mergeCell ref="C10:D10"/>
    <mergeCell ref="C11:D11"/>
    <mergeCell ref="E10:F10"/>
    <mergeCell ref="E11:F11"/>
    <mergeCell ref="G10:H10"/>
    <mergeCell ref="G11:H11"/>
    <mergeCell ref="A13:H13"/>
    <mergeCell ref="K13:K15"/>
    <mergeCell ref="A14:H15"/>
    <mergeCell ref="I14:I15"/>
    <mergeCell ref="J14:J15"/>
  </mergeCells>
  <phoneticPr fontId="7" type="noConversion"/>
  <hyperlinks>
    <hyperlink ref="D5" location="'Muc Luc'!A1" display="Mr Cường" xr:uid="{9D4F2799-36FD-4D01-B780-6E3B9D04EEAE}"/>
  </hyperlinks>
  <pageMargins left="0.25" right="0.25" top="0.17" bottom="0.17" header="0.3" footer="0.2"/>
  <pageSetup paperSize="9" scale="81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0FEDA-9EC5-4297-B0F2-E9103F3D96D3}">
  <sheetPr codeName="Sheet14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45821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36" t="s">
        <v>167</v>
      </c>
      <c r="C9" s="103" t="s">
        <v>171</v>
      </c>
      <c r="D9" s="104"/>
      <c r="E9" s="119" t="s">
        <v>92</v>
      </c>
      <c r="F9" s="120"/>
      <c r="G9" s="119" t="s">
        <v>93</v>
      </c>
      <c r="H9" s="120"/>
      <c r="I9" s="24">
        <v>500</v>
      </c>
      <c r="J9" s="6">
        <v>1</v>
      </c>
      <c r="K9" s="31" t="s">
        <v>168</v>
      </c>
    </row>
    <row r="10" spans="1:11" s="1" customFormat="1" ht="39" customHeight="1" x14ac:dyDescent="0.25">
      <c r="A10" s="3" t="s">
        <v>3</v>
      </c>
      <c r="B10" s="27" t="s">
        <v>169</v>
      </c>
      <c r="C10" s="103" t="s">
        <v>172</v>
      </c>
      <c r="D10" s="104"/>
      <c r="E10" s="119" t="s">
        <v>92</v>
      </c>
      <c r="F10" s="120"/>
      <c r="G10" s="119" t="s">
        <v>93</v>
      </c>
      <c r="H10" s="120"/>
      <c r="I10" s="24">
        <v>100</v>
      </c>
      <c r="J10" s="6">
        <v>1</v>
      </c>
      <c r="K10" s="31" t="s">
        <v>170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600</v>
      </c>
      <c r="J11" s="9">
        <f>SUM(J9:J10)</f>
        <v>2</v>
      </c>
      <c r="K11" s="118"/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600</v>
      </c>
      <c r="J12" s="118">
        <f>J11</f>
        <v>2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E9:F9"/>
    <mergeCell ref="A18:K18"/>
    <mergeCell ref="A19:K19"/>
    <mergeCell ref="A30:B30"/>
    <mergeCell ref="J31:K31"/>
    <mergeCell ref="A11:H11"/>
    <mergeCell ref="K11:K13"/>
    <mergeCell ref="A12:H13"/>
    <mergeCell ref="I12:I13"/>
    <mergeCell ref="J12:J13"/>
    <mergeCell ref="G9:H9"/>
    <mergeCell ref="C10:D10"/>
    <mergeCell ref="E10:F10"/>
    <mergeCell ref="G10:H10"/>
    <mergeCell ref="C9:D9"/>
    <mergeCell ref="A2:K2"/>
    <mergeCell ref="A3:K3"/>
    <mergeCell ref="C8:D8"/>
    <mergeCell ref="E8:F8"/>
    <mergeCell ref="G8:H8"/>
  </mergeCells>
  <hyperlinks>
    <hyperlink ref="D5" location="'Muc Luc'!A1" display="Mr Cường" xr:uid="{DF4EE010-E4FA-4B24-BAD3-BA0680AE0CDB}"/>
  </hyperlinks>
  <pageMargins left="0.25" right="0.25" top="0.17" bottom="0.17" header="0.3" footer="0.2"/>
  <pageSetup paperSize="9" scale="79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AB5DC-5E35-467B-9F32-56DA2E099CBC}">
  <sheetPr codeName="Sheet15">
    <pageSetUpPr fitToPage="1"/>
  </sheetPr>
  <dimension ref="A1:K31"/>
  <sheetViews>
    <sheetView zoomScaleNormal="100" workbookViewId="0">
      <selection activeCell="P10" sqref="P10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45825</v>
      </c>
    </row>
    <row r="6" spans="1:11" s="1" customFormat="1" ht="16.5" x14ac:dyDescent="0.25">
      <c r="A6" s="1" t="s">
        <v>78</v>
      </c>
      <c r="D6" s="1" t="s">
        <v>173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39" t="s">
        <v>174</v>
      </c>
      <c r="C9" s="103" t="s">
        <v>176</v>
      </c>
      <c r="D9" s="104"/>
      <c r="E9" s="119" t="s">
        <v>92</v>
      </c>
      <c r="F9" s="120"/>
      <c r="G9" s="119" t="s">
        <v>93</v>
      </c>
      <c r="H9" s="120"/>
      <c r="I9" s="24">
        <v>500</v>
      </c>
      <c r="J9" s="6">
        <v>1</v>
      </c>
      <c r="K9" s="31" t="s">
        <v>184</v>
      </c>
    </row>
    <row r="10" spans="1:11" s="1" customFormat="1" ht="39" customHeight="1" x14ac:dyDescent="0.25">
      <c r="A10" s="3" t="s">
        <v>3</v>
      </c>
      <c r="B10" s="39" t="s">
        <v>174</v>
      </c>
      <c r="C10" s="103" t="s">
        <v>175</v>
      </c>
      <c r="D10" s="104"/>
      <c r="E10" s="119" t="s">
        <v>92</v>
      </c>
      <c r="F10" s="120"/>
      <c r="G10" s="119" t="s">
        <v>93</v>
      </c>
      <c r="H10" s="120"/>
      <c r="I10" s="24">
        <v>500</v>
      </c>
      <c r="J10" s="6">
        <v>1</v>
      </c>
      <c r="K10" s="31" t="s">
        <v>185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1000</v>
      </c>
      <c r="J11" s="9">
        <f>SUM(J9:J10)</f>
        <v>2</v>
      </c>
      <c r="K11" s="118"/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1000</v>
      </c>
      <c r="J12" s="118">
        <f>J11</f>
        <v>2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A18:K18"/>
    <mergeCell ref="A19:K19"/>
    <mergeCell ref="A30:B30"/>
    <mergeCell ref="J31:K31"/>
    <mergeCell ref="C10:D10"/>
    <mergeCell ref="E10:F10"/>
    <mergeCell ref="G10:H10"/>
    <mergeCell ref="A11:H11"/>
    <mergeCell ref="K11:K13"/>
    <mergeCell ref="A12:H13"/>
    <mergeCell ref="I12:I13"/>
    <mergeCell ref="J12:J13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7FFF3BED-35D2-48C3-BF9E-1F02F8ADB12D}"/>
  </hyperlinks>
  <pageMargins left="0.25" right="0.25" top="0.17" bottom="0.17" header="0.3" footer="0.2"/>
  <pageSetup paperSize="9" scale="79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7E1DB-2018-4539-A956-43AC553EC686}">
  <sheetPr codeName="Sheet16">
    <pageSetUpPr fitToPage="1"/>
  </sheetPr>
  <dimension ref="A1:K30"/>
  <sheetViews>
    <sheetView zoomScaleNormal="100" workbookViewId="0">
      <selection activeCell="K13" sqref="K13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45825</v>
      </c>
    </row>
    <row r="6" spans="1:11" s="1" customFormat="1" ht="16.5" x14ac:dyDescent="0.25">
      <c r="A6" s="1" t="s">
        <v>78</v>
      </c>
      <c r="D6" s="1" t="s">
        <v>177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7" t="s">
        <v>151</v>
      </c>
      <c r="C9" s="103" t="s">
        <v>180</v>
      </c>
      <c r="D9" s="104"/>
      <c r="E9" s="119" t="s">
        <v>92</v>
      </c>
      <c r="F9" s="120"/>
      <c r="G9" s="119" t="s">
        <v>93</v>
      </c>
      <c r="H9" s="120"/>
      <c r="I9" s="24">
        <v>200</v>
      </c>
      <c r="J9" s="6">
        <v>1</v>
      </c>
      <c r="K9" s="31" t="s">
        <v>189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200</v>
      </c>
      <c r="J10" s="9">
        <f>SUM(J9:J9)</f>
        <v>1</v>
      </c>
      <c r="K10" s="118"/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200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7:K17"/>
    <mergeCell ref="A18:K18"/>
    <mergeCell ref="A29:B29"/>
    <mergeCell ref="J30:K30"/>
    <mergeCell ref="A10:H10"/>
    <mergeCell ref="K10:K12"/>
    <mergeCell ref="A11:H12"/>
    <mergeCell ref="I11:I12"/>
    <mergeCell ref="J11:J12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C3646430-A8A7-42FB-913B-C192889695C5}"/>
  </hyperlinks>
  <pageMargins left="0.25" right="0.25" top="0.17" bottom="0.17" header="0.3" footer="0.2"/>
  <pageSetup paperSize="9" scale="79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1B56-8C78-47F9-A84B-9671B8A8C659}">
  <sheetPr codeName="Sheet17">
    <pageSetUpPr fitToPage="1"/>
  </sheetPr>
  <dimension ref="A1:K30"/>
  <sheetViews>
    <sheetView zoomScaleNormal="100" workbookViewId="0">
      <selection activeCell="K14" sqref="K14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45827</v>
      </c>
    </row>
    <row r="6" spans="1:11" s="1" customFormat="1" ht="16.5" x14ac:dyDescent="0.25">
      <c r="A6" s="1" t="s">
        <v>78</v>
      </c>
      <c r="D6" s="1" t="s">
        <v>178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40" t="s">
        <v>181</v>
      </c>
      <c r="C9" s="103" t="s">
        <v>182</v>
      </c>
      <c r="D9" s="104"/>
      <c r="E9" s="119" t="s">
        <v>92</v>
      </c>
      <c r="F9" s="120"/>
      <c r="G9" s="119" t="s">
        <v>128</v>
      </c>
      <c r="H9" s="120"/>
      <c r="I9" s="24">
        <v>400</v>
      </c>
      <c r="J9" s="6">
        <v>1</v>
      </c>
      <c r="K9" s="31" t="s">
        <v>183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400</v>
      </c>
      <c r="J10" s="9">
        <f>SUM(J9:J9)</f>
        <v>1</v>
      </c>
      <c r="K10" s="118"/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400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7:K17"/>
    <mergeCell ref="A18:K18"/>
    <mergeCell ref="A29:B29"/>
    <mergeCell ref="J30:K30"/>
    <mergeCell ref="A10:H10"/>
    <mergeCell ref="K10:K12"/>
    <mergeCell ref="A11:H12"/>
    <mergeCell ref="I11:I12"/>
    <mergeCell ref="J11:J12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3669FC03-A975-413C-A320-D427A613B732}"/>
  </hyperlinks>
  <pageMargins left="0.25" right="0.25" top="0.17" bottom="0.17" header="0.3" footer="0.2"/>
  <pageSetup paperSize="9" scale="79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D9546-3CC5-4011-92D7-BAB88C5BE1D2}">
  <sheetPr codeName="Sheet18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45826</v>
      </c>
    </row>
    <row r="6" spans="1:11" s="1" customFormat="1" ht="16.5" x14ac:dyDescent="0.25">
      <c r="A6" s="1" t="s">
        <v>78</v>
      </c>
      <c r="D6" s="1" t="s">
        <v>179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25" t="s">
        <v>187</v>
      </c>
      <c r="C9" s="103" t="s">
        <v>186</v>
      </c>
      <c r="D9" s="104"/>
      <c r="E9" s="119" t="s">
        <v>92</v>
      </c>
      <c r="F9" s="120"/>
      <c r="G9" s="119" t="s">
        <v>128</v>
      </c>
      <c r="H9" s="120"/>
      <c r="I9" s="24">
        <v>200</v>
      </c>
      <c r="J9" s="6">
        <v>1</v>
      </c>
      <c r="K9" s="31" t="s">
        <v>188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200</v>
      </c>
      <c r="J10" s="9">
        <f>SUM(J9:J9)</f>
        <v>1</v>
      </c>
      <c r="K10" s="118"/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200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7:K17"/>
    <mergeCell ref="A18:K18"/>
    <mergeCell ref="A29:B29"/>
    <mergeCell ref="J30:K30"/>
    <mergeCell ref="A10:H10"/>
    <mergeCell ref="K10:K12"/>
    <mergeCell ref="A11:H12"/>
    <mergeCell ref="I11:I12"/>
    <mergeCell ref="J11:J12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E564E94D-2B8A-444C-AB6D-3199A805DE6E}"/>
  </hyperlinks>
  <pageMargins left="0.25" right="0.25" top="0.17" bottom="0.17" header="0.3" footer="0.2"/>
  <pageSetup paperSize="9" scale="79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E81F3-B24F-4F16-ACAB-B6667298B643}">
  <sheetPr codeName="Sheet19">
    <pageSetUpPr fitToPage="1"/>
  </sheetPr>
  <dimension ref="A1:K30"/>
  <sheetViews>
    <sheetView zoomScaleNormal="100" workbookViewId="0">
      <selection activeCell="K15" sqref="K1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45827</v>
      </c>
    </row>
    <row r="6" spans="1:11" s="1" customFormat="1" ht="16.5" x14ac:dyDescent="0.25">
      <c r="A6" s="1" t="s">
        <v>78</v>
      </c>
      <c r="D6" s="1" t="s">
        <v>154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41" t="s">
        <v>194</v>
      </c>
      <c r="C9" s="103" t="s">
        <v>195</v>
      </c>
      <c r="D9" s="104"/>
      <c r="E9" s="119" t="s">
        <v>92</v>
      </c>
      <c r="F9" s="120"/>
      <c r="G9" s="119" t="s">
        <v>93</v>
      </c>
      <c r="H9" s="120"/>
      <c r="I9" s="24">
        <v>300</v>
      </c>
      <c r="J9" s="6">
        <v>1</v>
      </c>
      <c r="K9" s="31" t="s">
        <v>196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300</v>
      </c>
      <c r="J10" s="9">
        <f>SUM(J9:J9)</f>
        <v>1</v>
      </c>
      <c r="K10" s="118"/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300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214E1217-0EAE-4CA8-B3DC-13779421A236}"/>
  </hyperlinks>
  <pageMargins left="0.25" right="0.25" top="0.17" bottom="0.17" header="0.3" footer="0.2"/>
  <pageSetup paperSize="9" scale="79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CD862-89BD-43F9-B2A9-363F5EFF9146}">
  <sheetPr codeName="Sheet20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45826</v>
      </c>
    </row>
    <row r="6" spans="1:11" s="1" customFormat="1" ht="16.5" x14ac:dyDescent="0.25">
      <c r="A6" s="1" t="s">
        <v>78</v>
      </c>
      <c r="D6" s="1" t="s">
        <v>190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26" t="s">
        <v>193</v>
      </c>
      <c r="C9" s="103" t="s">
        <v>192</v>
      </c>
      <c r="D9" s="104"/>
      <c r="E9" s="119" t="s">
        <v>92</v>
      </c>
      <c r="F9" s="120"/>
      <c r="G9" s="119" t="s">
        <v>93</v>
      </c>
      <c r="H9" s="120"/>
      <c r="I9" s="24">
        <v>500</v>
      </c>
      <c r="J9" s="6">
        <v>1</v>
      </c>
      <c r="K9" s="31" t="s">
        <v>191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500</v>
      </c>
      <c r="J10" s="9">
        <f>SUM(J9:J9)</f>
        <v>1</v>
      </c>
      <c r="K10" s="118"/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500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C1BB8EC3-7C2F-4A4B-8945-71C986FEB68E}"/>
  </hyperlinks>
  <pageMargins left="0.25" right="0.25" top="0.17" bottom="0.17" header="0.3" footer="0.2"/>
  <pageSetup paperSize="9" scale="79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9B3CA-DBBA-4FF6-93A6-DB2717074BFE}">
  <sheetPr codeName="Sheet21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45828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25" t="s">
        <v>157</v>
      </c>
      <c r="C9" s="103" t="s">
        <v>197</v>
      </c>
      <c r="D9" s="104"/>
      <c r="E9" s="119" t="s">
        <v>92</v>
      </c>
      <c r="F9" s="120"/>
      <c r="G9" s="119" t="s">
        <v>93</v>
      </c>
      <c r="H9" s="120"/>
      <c r="I9" s="24">
        <v>100</v>
      </c>
      <c r="J9" s="6">
        <v>1</v>
      </c>
      <c r="K9" s="31" t="s">
        <v>199</v>
      </c>
    </row>
    <row r="10" spans="1:11" s="1" customFormat="1" ht="39" customHeight="1" x14ac:dyDescent="0.25">
      <c r="A10" s="3" t="s">
        <v>3</v>
      </c>
      <c r="B10" s="25" t="s">
        <v>157</v>
      </c>
      <c r="C10" s="103" t="s">
        <v>198</v>
      </c>
      <c r="D10" s="104"/>
      <c r="E10" s="119" t="s">
        <v>92</v>
      </c>
      <c r="F10" s="120"/>
      <c r="G10" s="119" t="s">
        <v>93</v>
      </c>
      <c r="H10" s="120"/>
      <c r="I10" s="24">
        <v>100</v>
      </c>
      <c r="J10" s="6">
        <v>1</v>
      </c>
      <c r="K10" s="31" t="s">
        <v>200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200</v>
      </c>
      <c r="J11" s="9">
        <f>SUM(J9:J10)</f>
        <v>2</v>
      </c>
      <c r="K11" s="118"/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200</v>
      </c>
      <c r="J12" s="118">
        <f>J11</f>
        <v>2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A19:K19"/>
    <mergeCell ref="A30:B30"/>
    <mergeCell ref="J31:K31"/>
    <mergeCell ref="E10:F10"/>
    <mergeCell ref="G10:H10"/>
    <mergeCell ref="C10:D10"/>
    <mergeCell ref="A11:H11"/>
    <mergeCell ref="K11:K13"/>
    <mergeCell ref="A12:H13"/>
    <mergeCell ref="I12:I13"/>
    <mergeCell ref="J12:J13"/>
    <mergeCell ref="A18:K18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1BF9AD69-DD3A-4914-8F71-2B1074EA240F}"/>
  </hyperlinks>
  <pageMargins left="0.25" right="0.25" top="0.17" bottom="0.17" header="0.3" footer="0.2"/>
  <pageSetup paperSize="9" scale="79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B3BD-7EF4-498B-A18C-AA5379EADC7D}">
  <sheetPr codeName="Sheet22">
    <pageSetUpPr fitToPage="1"/>
  </sheetPr>
  <dimension ref="A1:K38"/>
  <sheetViews>
    <sheetView zoomScaleNormal="100" workbookViewId="0">
      <selection activeCell="B14" sqref="B14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45845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47" t="s">
        <v>201</v>
      </c>
      <c r="C9" s="103" t="s">
        <v>207</v>
      </c>
      <c r="D9" s="104"/>
      <c r="E9" s="119" t="s">
        <v>92</v>
      </c>
      <c r="F9" s="120"/>
      <c r="G9" s="119" t="s">
        <v>93</v>
      </c>
      <c r="H9" s="120"/>
      <c r="I9" s="24">
        <v>200</v>
      </c>
      <c r="J9" s="6">
        <v>1</v>
      </c>
      <c r="K9" s="31" t="s">
        <v>202</v>
      </c>
    </row>
    <row r="10" spans="1:11" s="1" customFormat="1" ht="39" customHeight="1" x14ac:dyDescent="0.25">
      <c r="A10" s="3" t="s">
        <v>3</v>
      </c>
      <c r="B10" s="48" t="s">
        <v>203</v>
      </c>
      <c r="C10" s="103" t="s">
        <v>208</v>
      </c>
      <c r="D10" s="104"/>
      <c r="E10" s="119" t="s">
        <v>17</v>
      </c>
      <c r="F10" s="120"/>
      <c r="G10" s="119" t="s">
        <v>93</v>
      </c>
      <c r="H10" s="120"/>
      <c r="I10" s="24">
        <v>150</v>
      </c>
      <c r="J10" s="6">
        <v>1</v>
      </c>
      <c r="K10" s="31" t="s">
        <v>204</v>
      </c>
    </row>
    <row r="11" spans="1:11" s="1" customFormat="1" ht="39" customHeight="1" x14ac:dyDescent="0.25">
      <c r="A11" s="3" t="s">
        <v>4</v>
      </c>
      <c r="B11" s="49" t="s">
        <v>205</v>
      </c>
      <c r="C11" s="103" t="s">
        <v>209</v>
      </c>
      <c r="D11" s="104"/>
      <c r="E11" s="119" t="s">
        <v>92</v>
      </c>
      <c r="F11" s="120"/>
      <c r="G11" s="119" t="s">
        <v>93</v>
      </c>
      <c r="H11" s="120"/>
      <c r="I11" s="24">
        <v>200</v>
      </c>
      <c r="J11" s="6">
        <v>1</v>
      </c>
      <c r="K11" s="31" t="s">
        <v>206</v>
      </c>
    </row>
    <row r="12" spans="1:11" s="1" customFormat="1" ht="39" customHeight="1" x14ac:dyDescent="0.25">
      <c r="A12" s="3" t="s">
        <v>5</v>
      </c>
      <c r="B12" s="29" t="s">
        <v>210</v>
      </c>
      <c r="C12" s="103" t="s">
        <v>211</v>
      </c>
      <c r="D12" s="104"/>
      <c r="E12" s="119" t="s">
        <v>92</v>
      </c>
      <c r="F12" s="120"/>
      <c r="G12" s="119" t="s">
        <v>93</v>
      </c>
      <c r="H12" s="120"/>
      <c r="I12" s="24">
        <v>340</v>
      </c>
      <c r="J12" s="6">
        <v>1</v>
      </c>
      <c r="K12" s="31" t="s">
        <v>235</v>
      </c>
    </row>
    <row r="13" spans="1:11" s="1" customFormat="1" ht="39" customHeight="1" x14ac:dyDescent="0.25">
      <c r="A13" s="3" t="s">
        <v>6</v>
      </c>
      <c r="B13" s="27" t="s">
        <v>212</v>
      </c>
      <c r="C13" s="103" t="s">
        <v>213</v>
      </c>
      <c r="D13" s="104"/>
      <c r="E13" s="119" t="s">
        <v>92</v>
      </c>
      <c r="F13" s="120"/>
      <c r="G13" s="119" t="s">
        <v>93</v>
      </c>
      <c r="H13" s="120"/>
      <c r="I13" s="24">
        <v>50</v>
      </c>
      <c r="J13" s="6">
        <v>1</v>
      </c>
      <c r="K13" s="31" t="s">
        <v>236</v>
      </c>
    </row>
    <row r="14" spans="1:11" s="1" customFormat="1" ht="39" customHeight="1" x14ac:dyDescent="0.25">
      <c r="A14" s="3" t="s">
        <v>12</v>
      </c>
      <c r="B14" s="42" t="s">
        <v>216</v>
      </c>
      <c r="C14" s="103" t="s">
        <v>218</v>
      </c>
      <c r="D14" s="104"/>
      <c r="E14" s="119" t="s">
        <v>214</v>
      </c>
      <c r="F14" s="120"/>
      <c r="G14" s="119" t="s">
        <v>215</v>
      </c>
      <c r="H14" s="120"/>
      <c r="I14" s="24">
        <v>30</v>
      </c>
      <c r="J14" s="6">
        <v>1</v>
      </c>
      <c r="K14" s="31" t="s">
        <v>217</v>
      </c>
    </row>
    <row r="15" spans="1:11" s="1" customFormat="1" ht="39" customHeight="1" x14ac:dyDescent="0.25">
      <c r="A15" s="3" t="s">
        <v>13</v>
      </c>
      <c r="B15" s="14" t="s">
        <v>273</v>
      </c>
      <c r="C15" s="103" t="s">
        <v>275</v>
      </c>
      <c r="D15" s="104"/>
      <c r="E15" s="119" t="s">
        <v>92</v>
      </c>
      <c r="F15" s="120"/>
      <c r="G15" s="119" t="s">
        <v>93</v>
      </c>
      <c r="H15" s="120"/>
      <c r="I15" s="24">
        <v>400</v>
      </c>
      <c r="J15" s="6">
        <v>1</v>
      </c>
      <c r="K15" s="31" t="s">
        <v>274</v>
      </c>
    </row>
    <row r="16" spans="1:11" s="1" customFormat="1" ht="39" customHeight="1" x14ac:dyDescent="0.25">
      <c r="A16" s="3" t="s">
        <v>14</v>
      </c>
      <c r="B16" s="29" t="s">
        <v>276</v>
      </c>
      <c r="C16" s="103" t="s">
        <v>277</v>
      </c>
      <c r="D16" s="104"/>
      <c r="E16" s="119" t="s">
        <v>17</v>
      </c>
      <c r="F16" s="120"/>
      <c r="G16" s="119" t="s">
        <v>93</v>
      </c>
      <c r="H16" s="120"/>
      <c r="I16" s="24">
        <v>100</v>
      </c>
      <c r="J16" s="6">
        <v>1</v>
      </c>
      <c r="K16" s="31" t="s">
        <v>278</v>
      </c>
    </row>
    <row r="17" spans="1:11" s="1" customFormat="1" ht="39" customHeight="1" x14ac:dyDescent="0.25">
      <c r="A17" s="3" t="s">
        <v>15</v>
      </c>
      <c r="B17" s="14" t="s">
        <v>273</v>
      </c>
      <c r="C17" s="103" t="s">
        <v>275</v>
      </c>
      <c r="D17" s="104"/>
      <c r="E17" s="119" t="s">
        <v>92</v>
      </c>
      <c r="F17" s="120"/>
      <c r="G17" s="119" t="s">
        <v>266</v>
      </c>
      <c r="H17" s="120"/>
      <c r="I17" s="24">
        <v>400</v>
      </c>
      <c r="J17" s="6">
        <v>1</v>
      </c>
      <c r="K17" s="31" t="s">
        <v>272</v>
      </c>
    </row>
    <row r="18" spans="1:11" s="1" customFormat="1" ht="33" customHeight="1" x14ac:dyDescent="0.25">
      <c r="A18" s="118" t="s">
        <v>7</v>
      </c>
      <c r="B18" s="118"/>
      <c r="C18" s="118"/>
      <c r="D18" s="118"/>
      <c r="E18" s="118"/>
      <c r="F18" s="118"/>
      <c r="G18" s="118"/>
      <c r="H18" s="118"/>
      <c r="I18" s="9">
        <f>SUM(I9:I17)</f>
        <v>1870</v>
      </c>
      <c r="J18" s="9">
        <f>SUM(J9:J17)</f>
        <v>9</v>
      </c>
      <c r="K18" s="118"/>
    </row>
    <row r="19" spans="1:11" s="1" customFormat="1" ht="16.5" x14ac:dyDescent="0.25">
      <c r="A19" s="121" t="s">
        <v>19</v>
      </c>
      <c r="B19" s="121"/>
      <c r="C19" s="121"/>
      <c r="D19" s="121"/>
      <c r="E19" s="121"/>
      <c r="F19" s="121"/>
      <c r="G19" s="121"/>
      <c r="H19" s="121"/>
      <c r="I19" s="121">
        <f>I18</f>
        <v>1870</v>
      </c>
      <c r="J19" s="118">
        <f>J18</f>
        <v>9</v>
      </c>
      <c r="K19" s="118"/>
    </row>
    <row r="20" spans="1:11" ht="15" customHeight="1" x14ac:dyDescent="0.25">
      <c r="A20" s="121"/>
      <c r="B20" s="121"/>
      <c r="C20" s="121"/>
      <c r="D20" s="121"/>
      <c r="E20" s="121"/>
      <c r="F20" s="121"/>
      <c r="G20" s="121"/>
      <c r="H20" s="121"/>
      <c r="I20" s="121"/>
      <c r="J20" s="118"/>
      <c r="K20" s="118"/>
    </row>
    <row r="22" spans="1:11" x14ac:dyDescent="0.25">
      <c r="B22" s="10" t="s">
        <v>62</v>
      </c>
      <c r="H22" t="s">
        <v>23</v>
      </c>
    </row>
    <row r="23" spans="1:11" ht="101.25" customHeight="1" x14ac:dyDescent="0.25">
      <c r="B23" s="10"/>
    </row>
    <row r="24" spans="1:11" s="1" customFormat="1" ht="16.5" x14ac:dyDescent="0.25"/>
    <row r="25" spans="1:11" s="1" customFormat="1" ht="20.25" x14ac:dyDescent="0.3">
      <c r="A25" s="99"/>
      <c r="B25" s="99"/>
      <c r="C25" s="99"/>
      <c r="D25" s="99"/>
      <c r="E25" s="99"/>
      <c r="F25" s="99"/>
      <c r="G25" s="99"/>
      <c r="H25" s="99"/>
      <c r="I25" s="99"/>
      <c r="J25" s="99"/>
      <c r="K25" s="99"/>
    </row>
    <row r="26" spans="1:11" s="1" customFormat="1" ht="20.25" x14ac:dyDescent="0.3">
      <c r="A26" s="99"/>
      <c r="B26" s="99"/>
      <c r="C26" s="99"/>
      <c r="D26" s="99"/>
      <c r="E26" s="99"/>
      <c r="F26" s="99"/>
      <c r="G26" s="99"/>
      <c r="H26" s="99"/>
      <c r="I26" s="99"/>
      <c r="J26" s="99"/>
      <c r="K26" s="99"/>
    </row>
    <row r="27" spans="1:11" s="1" customFormat="1" ht="20.25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</row>
    <row r="28" spans="1:11" s="1" customFormat="1" ht="16.5" x14ac:dyDescent="0.25"/>
    <row r="29" spans="1:11" s="1" customFormat="1" ht="16.5" x14ac:dyDescent="0.25"/>
    <row r="30" spans="1:11" s="1" customFormat="1" ht="19.5" customHeight="1" x14ac:dyDescent="0.25"/>
    <row r="31" spans="1:11" s="1" customFormat="1" ht="30.75" customHeight="1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</row>
    <row r="32" spans="1:11" s="1" customFormat="1" ht="35.25" customHeight="1" x14ac:dyDescent="0.25">
      <c r="A32" s="21"/>
    </row>
    <row r="33" spans="1:11" s="1" customFormat="1" ht="35.25" customHeight="1" x14ac:dyDescent="0.25">
      <c r="A33" s="21"/>
    </row>
    <row r="34" spans="1:11" s="1" customFormat="1" ht="35.25" customHeight="1" x14ac:dyDescent="0.25">
      <c r="A34" s="21"/>
    </row>
    <row r="35" spans="1:11" s="1" customFormat="1" ht="35.25" customHeight="1" x14ac:dyDescent="0.25">
      <c r="A35" s="18"/>
      <c r="B35" s="19"/>
      <c r="C35" s="19"/>
      <c r="D35" s="19"/>
      <c r="E35" s="19"/>
      <c r="F35" s="19"/>
      <c r="G35" s="19"/>
      <c r="H35" s="19"/>
      <c r="I35" s="19"/>
      <c r="J35" s="19"/>
      <c r="K35" s="19"/>
    </row>
    <row r="36" spans="1:11" s="1" customFormat="1" ht="35.25" customHeight="1" x14ac:dyDescent="0.25">
      <c r="A36" s="3"/>
      <c r="B36" s="4"/>
      <c r="C36" s="4"/>
      <c r="D36" s="4"/>
      <c r="E36" s="4"/>
      <c r="F36" s="4"/>
      <c r="G36" s="4"/>
      <c r="H36" s="4"/>
      <c r="I36" s="4"/>
      <c r="J36" s="4"/>
      <c r="K36" s="4"/>
    </row>
    <row r="37" spans="1:11" s="1" customFormat="1" ht="16.5" x14ac:dyDescent="0.25">
      <c r="A37" s="100"/>
      <c r="B37" s="101"/>
      <c r="C37" s="11"/>
      <c r="D37" s="11"/>
      <c r="E37" s="11"/>
      <c r="F37" s="11"/>
      <c r="G37" s="11"/>
      <c r="H37" s="5"/>
      <c r="I37" s="5"/>
      <c r="J37" s="5"/>
      <c r="K37" s="5"/>
    </row>
    <row r="38" spans="1:11" s="1" customFormat="1" ht="16.5" x14ac:dyDescent="0.25">
      <c r="J38" s="102"/>
      <c r="K38" s="102"/>
    </row>
  </sheetData>
  <mergeCells count="41">
    <mergeCell ref="G15:H15"/>
    <mergeCell ref="G16:H16"/>
    <mergeCell ref="G17:H17"/>
    <mergeCell ref="C15:D15"/>
    <mergeCell ref="C16:D16"/>
    <mergeCell ref="C17:D17"/>
    <mergeCell ref="E15:F15"/>
    <mergeCell ref="E16:F16"/>
    <mergeCell ref="E17:F17"/>
    <mergeCell ref="G12:H12"/>
    <mergeCell ref="G13:H13"/>
    <mergeCell ref="G14:H14"/>
    <mergeCell ref="C13:D13"/>
    <mergeCell ref="C14:D14"/>
    <mergeCell ref="E12:F12"/>
    <mergeCell ref="E13:F13"/>
    <mergeCell ref="E14:F14"/>
    <mergeCell ref="A25:K25"/>
    <mergeCell ref="A26:K26"/>
    <mergeCell ref="A37:B37"/>
    <mergeCell ref="J38:K38"/>
    <mergeCell ref="E10:F10"/>
    <mergeCell ref="G10:H10"/>
    <mergeCell ref="C10:D10"/>
    <mergeCell ref="C11:D11"/>
    <mergeCell ref="E11:F11"/>
    <mergeCell ref="G11:H11"/>
    <mergeCell ref="A18:H18"/>
    <mergeCell ref="K18:K20"/>
    <mergeCell ref="A19:H20"/>
    <mergeCell ref="I19:I20"/>
    <mergeCell ref="J19:J20"/>
    <mergeCell ref="C12:D12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799BF8B8-1EF6-4DB0-ACDB-56005CCE6D10}"/>
  </hyperlinks>
  <pageMargins left="0.25" right="0.25" top="0.17" bottom="0.17" header="0.3" footer="0.2"/>
  <pageSetup paperSize="9" scale="79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6CA97-BF2E-438C-8249-4FDF382B23DC}">
  <sheetPr codeName="Sheet23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45833</v>
      </c>
    </row>
    <row r="6" spans="1:11" s="1" customFormat="1" ht="16.5" x14ac:dyDescent="0.25">
      <c r="A6" s="1" t="s">
        <v>78</v>
      </c>
      <c r="D6" s="1" t="s">
        <v>177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43" t="s">
        <v>219</v>
      </c>
      <c r="C9" s="103" t="s">
        <v>220</v>
      </c>
      <c r="D9" s="104"/>
      <c r="E9" s="119" t="s">
        <v>17</v>
      </c>
      <c r="F9" s="120"/>
      <c r="G9" s="119" t="s">
        <v>93</v>
      </c>
      <c r="H9" s="120"/>
      <c r="I9" s="24">
        <v>200</v>
      </c>
      <c r="J9" s="6">
        <v>1</v>
      </c>
      <c r="K9" s="31" t="s">
        <v>234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200</v>
      </c>
      <c r="J10" s="9">
        <f>SUM(J9:J9)</f>
        <v>1</v>
      </c>
      <c r="K10" s="118"/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200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25467634-2429-4830-B2BA-D43756CE9F16}"/>
  </hyperlinks>
  <pageMargins left="0.25" right="0.25" top="0.17" bottom="0.17" header="0.3" footer="0.2"/>
  <pageSetup paperSize="9" scale="79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B41D-B199-4886-9F9A-362876D1B10D}">
  <sheetPr codeName="Sheet24">
    <pageSetUpPr fitToPage="1"/>
  </sheetPr>
  <dimension ref="A1:K31"/>
  <sheetViews>
    <sheetView zoomScaleNormal="100" workbookViewId="0">
      <selection activeCell="K10" sqref="K10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45838</v>
      </c>
    </row>
    <row r="6" spans="1:11" s="1" customFormat="1" ht="16.5" x14ac:dyDescent="0.25">
      <c r="A6" s="1" t="s">
        <v>78</v>
      </c>
      <c r="D6" s="1" t="s">
        <v>147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27" t="s">
        <v>221</v>
      </c>
      <c r="C9" s="103" t="s">
        <v>223</v>
      </c>
      <c r="D9" s="104"/>
      <c r="E9" s="119" t="s">
        <v>17</v>
      </c>
      <c r="F9" s="120"/>
      <c r="G9" s="119" t="s">
        <v>231</v>
      </c>
      <c r="H9" s="120"/>
      <c r="I9" s="24">
        <v>200</v>
      </c>
      <c r="J9" s="6">
        <v>1</v>
      </c>
      <c r="K9" s="31" t="s">
        <v>232</v>
      </c>
    </row>
    <row r="10" spans="1:11" s="1" customFormat="1" ht="39" customHeight="1" x14ac:dyDescent="0.25">
      <c r="A10" s="3" t="s">
        <v>3</v>
      </c>
      <c r="B10" s="17" t="s">
        <v>222</v>
      </c>
      <c r="C10" s="103" t="s">
        <v>224</v>
      </c>
      <c r="D10" s="104"/>
      <c r="E10" s="119" t="s">
        <v>92</v>
      </c>
      <c r="F10" s="120"/>
      <c r="G10" s="111" t="s">
        <v>225</v>
      </c>
      <c r="H10" s="120"/>
      <c r="I10" s="24">
        <v>200</v>
      </c>
      <c r="J10" s="6">
        <v>1</v>
      </c>
      <c r="K10" s="31" t="s">
        <v>233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400</v>
      </c>
      <c r="J11" s="9">
        <f>SUM(J9:J10)</f>
        <v>2</v>
      </c>
      <c r="K11" s="118"/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400</v>
      </c>
      <c r="J12" s="118">
        <f>J11</f>
        <v>2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A19:K19"/>
    <mergeCell ref="A30:B30"/>
    <mergeCell ref="J31:K31"/>
    <mergeCell ref="A11:H11"/>
    <mergeCell ref="K11:K13"/>
    <mergeCell ref="A12:H13"/>
    <mergeCell ref="I12:I13"/>
    <mergeCell ref="J12:J13"/>
    <mergeCell ref="A18:K18"/>
    <mergeCell ref="C10:D10"/>
    <mergeCell ref="E10:F10"/>
    <mergeCell ref="G10:H10"/>
    <mergeCell ref="A2:K2"/>
    <mergeCell ref="A3:K3"/>
    <mergeCell ref="C8:D8"/>
    <mergeCell ref="E8:F8"/>
    <mergeCell ref="G8:H8"/>
    <mergeCell ref="C9:D9"/>
    <mergeCell ref="E9:F9"/>
    <mergeCell ref="G9:H9"/>
  </mergeCells>
  <hyperlinks>
    <hyperlink ref="D5" location="'Muc Luc'!A1" display="Mr Cường" xr:uid="{75A629BD-28CF-47DC-9671-795D41594A62}"/>
  </hyperlinks>
  <pageMargins left="0.25" right="0.25" top="0.17" bottom="0.17" header="0.3" footer="0.2"/>
  <pageSetup paperSize="9" scale="79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4CECE-304F-40B1-82C5-F02AE534C023}">
  <sheetPr codeName="Sheet25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45839</v>
      </c>
    </row>
    <row r="6" spans="1:11" s="1" customFormat="1" ht="16.5" x14ac:dyDescent="0.25">
      <c r="A6" s="1" t="s">
        <v>78</v>
      </c>
      <c r="D6" s="1" t="s">
        <v>173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9" customHeight="1" x14ac:dyDescent="0.25">
      <c r="A9" s="3" t="s">
        <v>2</v>
      </c>
      <c r="B9" s="39" t="s">
        <v>174</v>
      </c>
      <c r="C9" s="103" t="s">
        <v>226</v>
      </c>
      <c r="D9" s="104"/>
      <c r="E9" s="119" t="s">
        <v>92</v>
      </c>
      <c r="F9" s="120"/>
      <c r="G9" s="119" t="s">
        <v>93</v>
      </c>
      <c r="H9" s="120"/>
      <c r="I9" s="24">
        <v>500</v>
      </c>
      <c r="J9" s="6">
        <v>1</v>
      </c>
      <c r="K9" s="31" t="s">
        <v>237</v>
      </c>
    </row>
    <row r="10" spans="1:11" s="1" customFormat="1" ht="42" customHeight="1" x14ac:dyDescent="0.25">
      <c r="A10" s="3" t="s">
        <v>3</v>
      </c>
      <c r="B10" s="39" t="s">
        <v>174</v>
      </c>
      <c r="C10" s="103" t="s">
        <v>227</v>
      </c>
      <c r="D10" s="104"/>
      <c r="E10" s="119" t="s">
        <v>92</v>
      </c>
      <c r="F10" s="120"/>
      <c r="G10" s="119" t="s">
        <v>93</v>
      </c>
      <c r="H10" s="120"/>
      <c r="I10" s="24">
        <v>500</v>
      </c>
      <c r="J10" s="6">
        <v>1</v>
      </c>
      <c r="K10" s="31" t="s">
        <v>238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1000</v>
      </c>
      <c r="J11" s="9">
        <f>SUM(J9:J10)</f>
        <v>2</v>
      </c>
      <c r="K11" s="118"/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1000</v>
      </c>
      <c r="J12" s="118">
        <f>J11</f>
        <v>2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A19:K19"/>
    <mergeCell ref="A30:B30"/>
    <mergeCell ref="J31:K31"/>
    <mergeCell ref="A11:H11"/>
    <mergeCell ref="K11:K13"/>
    <mergeCell ref="A12:H13"/>
    <mergeCell ref="I12:I13"/>
    <mergeCell ref="J12:J13"/>
    <mergeCell ref="A18:K18"/>
    <mergeCell ref="C10:D10"/>
    <mergeCell ref="E10:F10"/>
    <mergeCell ref="G10:H10"/>
    <mergeCell ref="A2:K2"/>
    <mergeCell ref="A3:K3"/>
    <mergeCell ref="C8:D8"/>
    <mergeCell ref="E8:F8"/>
    <mergeCell ref="G8:H8"/>
    <mergeCell ref="C9:D9"/>
    <mergeCell ref="E9:F9"/>
    <mergeCell ref="G9:H9"/>
  </mergeCells>
  <phoneticPr fontId="21" type="noConversion"/>
  <hyperlinks>
    <hyperlink ref="D5" location="'Muc Luc'!A1" display="Mr Cường" xr:uid="{FC72724A-353D-439E-B4CB-66180D826E8B}"/>
  </hyperlinks>
  <pageMargins left="0.25" right="0.25" top="0.17" bottom="0.17" header="0.3" footer="0.2"/>
  <pageSetup paperSize="9" scale="78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F6228-A0E2-4D6A-BDAC-E270C59B86B9}">
  <sheetPr codeName="Sheet26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425781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45839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53.25" customHeight="1" x14ac:dyDescent="0.25">
      <c r="A9" s="3" t="s">
        <v>2</v>
      </c>
      <c r="B9" s="28" t="s">
        <v>228</v>
      </c>
      <c r="C9" s="103" t="s">
        <v>230</v>
      </c>
      <c r="D9" s="104"/>
      <c r="E9" s="111" t="s">
        <v>229</v>
      </c>
      <c r="F9" s="120"/>
      <c r="G9" s="119" t="s">
        <v>231</v>
      </c>
      <c r="H9" s="120"/>
      <c r="I9" s="24">
        <v>1000</v>
      </c>
      <c r="J9" s="6">
        <v>1</v>
      </c>
      <c r="K9" s="44" t="s">
        <v>244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1000</v>
      </c>
      <c r="J10" s="9">
        <f>SUM(J9:J9)</f>
        <v>1</v>
      </c>
      <c r="K10" s="118"/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1000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B6CD8979-18AB-4F02-8973-C8EE8C362B5C}"/>
  </hyperlinks>
  <pageMargins left="0.25" right="0.25" top="0.17" bottom="0.17" header="0.3" footer="0.2"/>
  <pageSetup paperSize="9" scale="79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77841-4909-450F-BFD5-14B850A6BD60}">
  <sheetPr codeName="Sheet27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45838</v>
      </c>
    </row>
    <row r="6" spans="1:11" s="1" customFormat="1" ht="16.5" x14ac:dyDescent="0.25">
      <c r="A6" s="1" t="s">
        <v>78</v>
      </c>
      <c r="D6" s="1" t="s">
        <v>239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53.25" customHeight="1" x14ac:dyDescent="0.25">
      <c r="A9" s="3" t="s">
        <v>2</v>
      </c>
      <c r="B9" s="46" t="s">
        <v>241</v>
      </c>
      <c r="C9" s="103" t="s">
        <v>242</v>
      </c>
      <c r="D9" s="104"/>
      <c r="E9" s="111" t="s">
        <v>240</v>
      </c>
      <c r="F9" s="120"/>
      <c r="G9" s="119" t="s">
        <v>231</v>
      </c>
      <c r="H9" s="120"/>
      <c r="I9" s="45">
        <v>1120</v>
      </c>
      <c r="J9" s="6">
        <v>1</v>
      </c>
      <c r="K9" s="44" t="s">
        <v>243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1120</v>
      </c>
      <c r="J10" s="9">
        <f>SUM(J9:J9)</f>
        <v>1</v>
      </c>
      <c r="K10" s="118"/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1120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8F13513E-9A13-4655-AB01-B1374F2D16EF}"/>
  </hyperlinks>
  <pageMargins left="0.25" right="0.25" top="0.17" bottom="0.17" header="0.3" footer="0.2"/>
  <pageSetup paperSize="9" scale="79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0B71A-27B9-48B2-8F06-CD29B506AC02}">
  <sheetPr codeName="Sheet28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45841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53.25" customHeight="1" x14ac:dyDescent="0.25">
      <c r="A9" s="3" t="s">
        <v>2</v>
      </c>
      <c r="B9" s="27" t="s">
        <v>247</v>
      </c>
      <c r="C9" s="103" t="s">
        <v>246</v>
      </c>
      <c r="D9" s="104"/>
      <c r="E9" s="111" t="s">
        <v>92</v>
      </c>
      <c r="F9" s="120"/>
      <c r="G9" s="119" t="s">
        <v>93</v>
      </c>
      <c r="H9" s="120"/>
      <c r="I9" s="45">
        <v>300</v>
      </c>
      <c r="J9" s="6">
        <v>1</v>
      </c>
      <c r="K9" s="31" t="s">
        <v>248</v>
      </c>
    </row>
    <row r="10" spans="1:11" s="1" customFormat="1" ht="53.25" customHeight="1" x14ac:dyDescent="0.25">
      <c r="A10" s="3" t="s">
        <v>3</v>
      </c>
      <c r="B10" s="27" t="s">
        <v>247</v>
      </c>
      <c r="C10" s="103" t="s">
        <v>245</v>
      </c>
      <c r="D10" s="104"/>
      <c r="E10" s="111" t="s">
        <v>92</v>
      </c>
      <c r="F10" s="120"/>
      <c r="G10" s="119" t="s">
        <v>93</v>
      </c>
      <c r="H10" s="120"/>
      <c r="I10" s="45">
        <v>300</v>
      </c>
      <c r="J10" s="6">
        <v>1</v>
      </c>
      <c r="K10" s="31" t="s">
        <v>249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600</v>
      </c>
      <c r="J11" s="9">
        <f>SUM(J9:J10)</f>
        <v>2</v>
      </c>
      <c r="K11" s="118"/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600</v>
      </c>
      <c r="J12" s="118">
        <f>J11</f>
        <v>2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A19:K19"/>
    <mergeCell ref="A30:B30"/>
    <mergeCell ref="J31:K31"/>
    <mergeCell ref="E10:F10"/>
    <mergeCell ref="G10:H10"/>
    <mergeCell ref="C10:D10"/>
    <mergeCell ref="A11:H11"/>
    <mergeCell ref="K11:K13"/>
    <mergeCell ref="A12:H13"/>
    <mergeCell ref="I12:I13"/>
    <mergeCell ref="J12:J13"/>
    <mergeCell ref="A18:K18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02566269-3A25-4E8D-B5B3-1CDCA0C9BADB}"/>
  </hyperlinks>
  <pageMargins left="0.25" right="0.25" top="0.17" bottom="0.17" header="0.3" footer="0.2"/>
  <pageSetup paperSize="9" scale="79" fitToHeight="0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3EF64-F937-41B7-BBA0-A86ACA9A17A8}">
  <sheetPr codeName="Sheet29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45842</v>
      </c>
    </row>
    <row r="6" spans="1:11" s="1" customFormat="1" ht="16.5" x14ac:dyDescent="0.25">
      <c r="A6" s="1" t="s">
        <v>78</v>
      </c>
      <c r="D6" s="1" t="s">
        <v>136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53.25" customHeight="1" x14ac:dyDescent="0.25">
      <c r="A9" s="3" t="s">
        <v>2</v>
      </c>
      <c r="B9" s="14" t="s">
        <v>250</v>
      </c>
      <c r="C9" s="103" t="s">
        <v>252</v>
      </c>
      <c r="D9" s="104"/>
      <c r="E9" s="111" t="s">
        <v>92</v>
      </c>
      <c r="F9" s="120"/>
      <c r="G9" s="119" t="s">
        <v>93</v>
      </c>
      <c r="H9" s="120"/>
      <c r="I9" s="45">
        <v>400</v>
      </c>
      <c r="J9" s="6">
        <v>1</v>
      </c>
      <c r="K9" s="31" t="s">
        <v>251</v>
      </c>
    </row>
    <row r="10" spans="1:11" s="1" customFormat="1" ht="53.25" customHeight="1" x14ac:dyDescent="0.25">
      <c r="A10" s="3" t="s">
        <v>3</v>
      </c>
      <c r="B10" s="14" t="s">
        <v>250</v>
      </c>
      <c r="C10" s="103" t="s">
        <v>252</v>
      </c>
      <c r="D10" s="104"/>
      <c r="E10" s="111" t="s">
        <v>92</v>
      </c>
      <c r="F10" s="120"/>
      <c r="G10" s="119" t="s">
        <v>253</v>
      </c>
      <c r="H10" s="120"/>
      <c r="I10" s="45">
        <v>400</v>
      </c>
      <c r="J10" s="6">
        <v>1</v>
      </c>
      <c r="K10" s="31" t="s">
        <v>254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800</v>
      </c>
      <c r="J11" s="9">
        <f>SUM(J9:J10)</f>
        <v>2</v>
      </c>
      <c r="K11" s="118"/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800</v>
      </c>
      <c r="J12" s="118">
        <f>J11</f>
        <v>2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19:K19"/>
    <mergeCell ref="A30:B30"/>
    <mergeCell ref="J31:K31"/>
    <mergeCell ref="C10:D10"/>
    <mergeCell ref="E10:F10"/>
    <mergeCell ref="G10:H10"/>
    <mergeCell ref="A11:H11"/>
    <mergeCell ref="K11:K13"/>
    <mergeCell ref="A12:H13"/>
    <mergeCell ref="I12:I13"/>
    <mergeCell ref="J12:J13"/>
  </mergeCells>
  <phoneticPr fontId="21" type="noConversion"/>
  <hyperlinks>
    <hyperlink ref="D5" location="'Muc Luc'!A1" display="Mr Cường" xr:uid="{9EAFD5CE-B289-4EB8-9E68-E1B3A44A0F06}"/>
  </hyperlinks>
  <pageMargins left="0.25" right="0.25" top="0.17" bottom="0.17" header="0.3" footer="0.2"/>
  <pageSetup paperSize="9" scale="79" fitToHeight="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16B1B-6AE6-491B-AA06-B938F69B14FF}">
  <sheetPr codeName="Sheet30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45842</v>
      </c>
    </row>
    <row r="6" spans="1:11" s="1" customFormat="1" ht="16.5" x14ac:dyDescent="0.25">
      <c r="A6" s="1" t="s">
        <v>78</v>
      </c>
      <c r="D6" s="1" t="s">
        <v>147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53.25" customHeight="1" x14ac:dyDescent="0.25">
      <c r="A9" s="3" t="s">
        <v>2</v>
      </c>
      <c r="B9" s="27" t="s">
        <v>149</v>
      </c>
      <c r="C9" s="103" t="s">
        <v>256</v>
      </c>
      <c r="D9" s="104"/>
      <c r="E9" s="111" t="s">
        <v>17</v>
      </c>
      <c r="F9" s="120"/>
      <c r="G9" s="119" t="s">
        <v>93</v>
      </c>
      <c r="H9" s="120"/>
      <c r="I9" s="45">
        <v>300</v>
      </c>
      <c r="J9" s="6">
        <v>1</v>
      </c>
      <c r="K9" s="31" t="s">
        <v>255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300</v>
      </c>
      <c r="J10" s="9">
        <f>SUM(J9:J9)</f>
        <v>1</v>
      </c>
      <c r="K10" s="118"/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300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7:K17"/>
    <mergeCell ref="A18:K18"/>
    <mergeCell ref="A29:B29"/>
    <mergeCell ref="J30:K30"/>
    <mergeCell ref="A10:H10"/>
    <mergeCell ref="K10:K12"/>
    <mergeCell ref="A11:H12"/>
    <mergeCell ref="I11:I12"/>
    <mergeCell ref="J11:J12"/>
  </mergeCells>
  <hyperlinks>
    <hyperlink ref="D5" location="'Muc Luc'!A1" display="Mr Cường" xr:uid="{0B37F275-68CC-47CF-9AA2-CD727AF12DB1}"/>
  </hyperlinks>
  <pageMargins left="0.25" right="0.25" top="0.17" bottom="0.17" header="0.3" footer="0.2"/>
  <pageSetup paperSize="9" scale="79" fitToHeight="0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A4E59-A9B2-44D0-BA78-788EB5B770D6}">
  <sheetPr codeName="Sheet31">
    <pageSetUpPr fitToPage="1"/>
  </sheetPr>
  <dimension ref="A1:K36"/>
  <sheetViews>
    <sheetView zoomScaleNormal="100" workbookViewId="0">
      <selection activeCell="B11" sqref="B11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45857</v>
      </c>
    </row>
    <row r="6" spans="1:11" s="1" customFormat="1" ht="16.5" x14ac:dyDescent="0.25">
      <c r="A6" s="1" t="s">
        <v>78</v>
      </c>
      <c r="D6" s="1" t="s">
        <v>154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53.25" customHeight="1" x14ac:dyDescent="0.25">
      <c r="A9" s="3" t="s">
        <v>2</v>
      </c>
      <c r="B9" s="39" t="s">
        <v>257</v>
      </c>
      <c r="C9" s="103" t="s">
        <v>263</v>
      </c>
      <c r="D9" s="104"/>
      <c r="E9" s="111" t="s">
        <v>92</v>
      </c>
      <c r="F9" s="120"/>
      <c r="G9" s="119" t="s">
        <v>93</v>
      </c>
      <c r="H9" s="120"/>
      <c r="I9" s="45">
        <v>384</v>
      </c>
      <c r="J9" s="6">
        <v>1</v>
      </c>
      <c r="K9" s="31" t="s">
        <v>258</v>
      </c>
    </row>
    <row r="10" spans="1:11" s="1" customFormat="1" ht="53.25" customHeight="1" x14ac:dyDescent="0.25">
      <c r="A10" s="3" t="s">
        <v>3</v>
      </c>
      <c r="B10" s="40" t="s">
        <v>259</v>
      </c>
      <c r="C10" s="122" t="s">
        <v>264</v>
      </c>
      <c r="D10" s="123"/>
      <c r="E10" s="111" t="s">
        <v>92</v>
      </c>
      <c r="F10" s="120"/>
      <c r="G10" s="119" t="s">
        <v>93</v>
      </c>
      <c r="H10" s="120"/>
      <c r="I10" s="45">
        <v>100</v>
      </c>
      <c r="J10" s="6">
        <v>1</v>
      </c>
      <c r="K10" s="31" t="s">
        <v>260</v>
      </c>
    </row>
    <row r="11" spans="1:11" s="1" customFormat="1" ht="53.25" customHeight="1" x14ac:dyDescent="0.25">
      <c r="A11" s="3" t="s">
        <v>4</v>
      </c>
      <c r="B11" s="30" t="s">
        <v>261</v>
      </c>
      <c r="C11" s="103" t="s">
        <v>265</v>
      </c>
      <c r="D11" s="104"/>
      <c r="E11" s="111" t="s">
        <v>92</v>
      </c>
      <c r="F11" s="120"/>
      <c r="G11" s="119" t="s">
        <v>93</v>
      </c>
      <c r="H11" s="120"/>
      <c r="I11" s="45">
        <v>100</v>
      </c>
      <c r="J11" s="6">
        <v>1</v>
      </c>
      <c r="K11" s="31" t="s">
        <v>262</v>
      </c>
    </row>
    <row r="12" spans="1:11" s="1" customFormat="1" ht="53.25" customHeight="1" x14ac:dyDescent="0.25">
      <c r="A12" s="3" t="s">
        <v>5</v>
      </c>
      <c r="B12" s="26" t="s">
        <v>267</v>
      </c>
      <c r="C12" s="103" t="s">
        <v>268</v>
      </c>
      <c r="D12" s="104"/>
      <c r="E12" s="111" t="s">
        <v>92</v>
      </c>
      <c r="F12" s="120"/>
      <c r="G12" s="119" t="s">
        <v>93</v>
      </c>
      <c r="H12" s="120"/>
      <c r="I12" s="45">
        <v>200</v>
      </c>
      <c r="J12" s="6">
        <v>1</v>
      </c>
      <c r="K12" s="31" t="s">
        <v>270</v>
      </c>
    </row>
    <row r="13" spans="1:11" s="1" customFormat="1" ht="53.25" customHeight="1" x14ac:dyDescent="0.25">
      <c r="A13" s="3" t="s">
        <v>6</v>
      </c>
      <c r="B13" s="26" t="s">
        <v>267</v>
      </c>
      <c r="C13" s="103" t="s">
        <v>269</v>
      </c>
      <c r="D13" s="104"/>
      <c r="E13" s="111" t="s">
        <v>92</v>
      </c>
      <c r="F13" s="120"/>
      <c r="G13" s="119" t="s">
        <v>93</v>
      </c>
      <c r="H13" s="120"/>
      <c r="I13" s="45">
        <v>200</v>
      </c>
      <c r="J13" s="6">
        <v>1</v>
      </c>
      <c r="K13" s="31" t="s">
        <v>271</v>
      </c>
    </row>
    <row r="14" spans="1:11" s="1" customFormat="1" ht="53.25" customHeight="1" x14ac:dyDescent="0.25">
      <c r="A14" s="3" t="s">
        <v>12</v>
      </c>
      <c r="B14" s="26" t="s">
        <v>267</v>
      </c>
      <c r="C14" s="103" t="s">
        <v>268</v>
      </c>
      <c r="D14" s="104"/>
      <c r="E14" s="111" t="s">
        <v>92</v>
      </c>
      <c r="F14" s="120"/>
      <c r="G14" s="119" t="s">
        <v>266</v>
      </c>
      <c r="H14" s="120"/>
      <c r="I14" s="45">
        <v>200</v>
      </c>
      <c r="J14" s="6">
        <v>1</v>
      </c>
      <c r="K14" s="31" t="s">
        <v>272</v>
      </c>
    </row>
    <row r="15" spans="1:11" s="1" customFormat="1" ht="53.25" customHeight="1" x14ac:dyDescent="0.25">
      <c r="A15" s="3" t="s">
        <v>13</v>
      </c>
      <c r="B15" s="26" t="s">
        <v>267</v>
      </c>
      <c r="C15" s="103" t="s">
        <v>269</v>
      </c>
      <c r="D15" s="104"/>
      <c r="E15" s="111" t="s">
        <v>92</v>
      </c>
      <c r="F15" s="120"/>
      <c r="G15" s="119" t="s">
        <v>266</v>
      </c>
      <c r="H15" s="120"/>
      <c r="I15" s="45">
        <v>200</v>
      </c>
      <c r="J15" s="6">
        <v>1</v>
      </c>
      <c r="K15" s="31" t="s">
        <v>272</v>
      </c>
    </row>
    <row r="16" spans="1:11" s="1" customFormat="1" ht="33" customHeight="1" x14ac:dyDescent="0.25">
      <c r="A16" s="118" t="s">
        <v>7</v>
      </c>
      <c r="B16" s="118"/>
      <c r="C16" s="118"/>
      <c r="D16" s="118"/>
      <c r="E16" s="118"/>
      <c r="F16" s="118"/>
      <c r="G16" s="118"/>
      <c r="H16" s="118"/>
      <c r="I16" s="9">
        <f>SUM(I9:I15)</f>
        <v>1384</v>
      </c>
      <c r="J16" s="9">
        <f>SUM(J9:J15)</f>
        <v>7</v>
      </c>
      <c r="K16" s="118" t="s">
        <v>651</v>
      </c>
    </row>
    <row r="17" spans="1:11" s="1" customFormat="1" ht="16.5" x14ac:dyDescent="0.25">
      <c r="A17" s="121" t="s">
        <v>19</v>
      </c>
      <c r="B17" s="121"/>
      <c r="C17" s="121"/>
      <c r="D17" s="121"/>
      <c r="E17" s="121"/>
      <c r="F17" s="121"/>
      <c r="G17" s="121"/>
      <c r="H17" s="121"/>
      <c r="I17" s="121">
        <f>I16</f>
        <v>1384</v>
      </c>
      <c r="J17" s="118">
        <f>J16</f>
        <v>7</v>
      </c>
      <c r="K17" s="118"/>
    </row>
    <row r="18" spans="1:11" ht="15" customHeight="1" x14ac:dyDescent="0.25">
      <c r="A18" s="121"/>
      <c r="B18" s="121"/>
      <c r="C18" s="121"/>
      <c r="D18" s="121"/>
      <c r="E18" s="121"/>
      <c r="F18" s="121"/>
      <c r="G18" s="121"/>
      <c r="H18" s="121"/>
      <c r="I18" s="121"/>
      <c r="J18" s="118"/>
      <c r="K18" s="118"/>
    </row>
    <row r="20" spans="1:11" x14ac:dyDescent="0.25">
      <c r="B20" s="10" t="s">
        <v>62</v>
      </c>
      <c r="H20" t="s">
        <v>23</v>
      </c>
    </row>
    <row r="21" spans="1:11" ht="101.25" customHeight="1" x14ac:dyDescent="0.25">
      <c r="B21" s="10"/>
    </row>
    <row r="22" spans="1:11" s="1" customFormat="1" ht="16.5" x14ac:dyDescent="0.25"/>
    <row r="23" spans="1:11" s="1" customFormat="1" ht="20.25" x14ac:dyDescent="0.3">
      <c r="A23" s="99"/>
      <c r="B23" s="99"/>
      <c r="C23" s="99"/>
      <c r="D23" s="99"/>
      <c r="E23" s="99"/>
      <c r="F23" s="99"/>
      <c r="G23" s="99"/>
      <c r="H23" s="99"/>
      <c r="I23" s="99"/>
      <c r="J23" s="99"/>
      <c r="K23" s="99"/>
    </row>
    <row r="24" spans="1:11" s="1" customFormat="1" ht="20.25" x14ac:dyDescent="0.3">
      <c r="A24" s="99"/>
      <c r="B24" s="99"/>
      <c r="C24" s="99"/>
      <c r="D24" s="99"/>
      <c r="E24" s="99"/>
      <c r="F24" s="99"/>
      <c r="G24" s="99"/>
      <c r="H24" s="99"/>
      <c r="I24" s="99"/>
      <c r="J24" s="99"/>
      <c r="K24" s="99"/>
    </row>
    <row r="25" spans="1:11" s="1" customFormat="1" ht="20.25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</row>
    <row r="26" spans="1:11" s="1" customFormat="1" ht="16.5" x14ac:dyDescent="0.25"/>
    <row r="27" spans="1:11" s="1" customFormat="1" ht="16.5" x14ac:dyDescent="0.25"/>
    <row r="28" spans="1:11" s="1" customFormat="1" ht="19.5" customHeight="1" x14ac:dyDescent="0.25"/>
    <row r="29" spans="1:11" s="1" customFormat="1" ht="30.75" customHeight="1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</row>
    <row r="30" spans="1:11" s="1" customFormat="1" ht="35.25" customHeight="1" x14ac:dyDescent="0.25">
      <c r="A30" s="21"/>
    </row>
    <row r="31" spans="1:11" s="1" customFormat="1" ht="35.25" customHeight="1" x14ac:dyDescent="0.25">
      <c r="A31" s="21"/>
    </row>
    <row r="32" spans="1:11" s="1" customFormat="1" ht="35.25" customHeight="1" x14ac:dyDescent="0.25">
      <c r="A32" s="21"/>
    </row>
    <row r="33" spans="1:11" s="1" customFormat="1" ht="35.25" customHeight="1" x14ac:dyDescent="0.25">
      <c r="A33" s="18"/>
      <c r="B33" s="19"/>
      <c r="C33" s="19"/>
      <c r="D33" s="19"/>
      <c r="E33" s="19"/>
      <c r="F33" s="19"/>
      <c r="G33" s="19"/>
      <c r="H33" s="19"/>
      <c r="I33" s="19"/>
      <c r="J33" s="19"/>
      <c r="K33" s="19"/>
    </row>
    <row r="34" spans="1:11" s="1" customFormat="1" ht="35.25" customHeight="1" x14ac:dyDescent="0.25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</row>
    <row r="35" spans="1:11" s="1" customFormat="1" ht="16.5" x14ac:dyDescent="0.25">
      <c r="A35" s="100"/>
      <c r="B35" s="101"/>
      <c r="C35" s="11"/>
      <c r="D35" s="11"/>
      <c r="E35" s="11"/>
      <c r="F35" s="11"/>
      <c r="G35" s="11"/>
      <c r="H35" s="5"/>
      <c r="I35" s="5"/>
      <c r="J35" s="5"/>
      <c r="K35" s="5"/>
    </row>
    <row r="36" spans="1:11" s="1" customFormat="1" ht="16.5" x14ac:dyDescent="0.25">
      <c r="J36" s="102"/>
      <c r="K36" s="102"/>
    </row>
  </sheetData>
  <mergeCells count="35">
    <mergeCell ref="C9:D9"/>
    <mergeCell ref="E9:F9"/>
    <mergeCell ref="G9:H9"/>
    <mergeCell ref="A2:K2"/>
    <mergeCell ref="A3:K3"/>
    <mergeCell ref="C8:D8"/>
    <mergeCell ref="E8:F8"/>
    <mergeCell ref="G8:H8"/>
    <mergeCell ref="A24:K24"/>
    <mergeCell ref="A35:B35"/>
    <mergeCell ref="J36:K36"/>
    <mergeCell ref="E10:F10"/>
    <mergeCell ref="E11:F11"/>
    <mergeCell ref="G10:H10"/>
    <mergeCell ref="G11:H11"/>
    <mergeCell ref="C10:D10"/>
    <mergeCell ref="C11:D11"/>
    <mergeCell ref="E12:F12"/>
    <mergeCell ref="A16:H16"/>
    <mergeCell ref="K16:K18"/>
    <mergeCell ref="A17:H18"/>
    <mergeCell ref="I17:I18"/>
    <mergeCell ref="J17:J18"/>
    <mergeCell ref="A23:K23"/>
    <mergeCell ref="C12:D12"/>
    <mergeCell ref="C13:D13"/>
    <mergeCell ref="C14:D14"/>
    <mergeCell ref="C15:D15"/>
    <mergeCell ref="E14:F14"/>
    <mergeCell ref="E15:F15"/>
    <mergeCell ref="G12:H12"/>
    <mergeCell ref="G13:H13"/>
    <mergeCell ref="G14:H14"/>
    <mergeCell ref="G15:H15"/>
    <mergeCell ref="E13:F13"/>
  </mergeCells>
  <phoneticPr fontId="21" type="noConversion"/>
  <hyperlinks>
    <hyperlink ref="D5" location="'Muc Luc'!A1" display="Mr Cường" xr:uid="{C322B4BD-1618-4FA5-AC5D-967103D65064}"/>
  </hyperlinks>
  <pageMargins left="0.25" right="0.25" top="0.17" bottom="0.17" header="0.3" footer="0.2"/>
  <pageSetup paperSize="9" scale="79" fitToHeight="0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CF500-F31E-4381-9C6C-FAEA47CBA4E2}">
  <sheetPr codeName="Sheet32">
    <pageSetUpPr fitToPage="1"/>
  </sheetPr>
  <dimension ref="A1:K30"/>
  <sheetViews>
    <sheetView zoomScaleNormal="100" workbookViewId="0">
      <selection activeCell="B9" sqref="B9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45845</v>
      </c>
    </row>
    <row r="6" spans="1:11" s="1" customFormat="1" ht="16.5" x14ac:dyDescent="0.25">
      <c r="A6" s="1" t="s">
        <v>78</v>
      </c>
      <c r="D6" s="1" t="s">
        <v>97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53.25" customHeight="1" x14ac:dyDescent="0.25">
      <c r="A9" s="3" t="s">
        <v>2</v>
      </c>
      <c r="B9" s="27" t="s">
        <v>280</v>
      </c>
      <c r="C9" s="103" t="s">
        <v>282</v>
      </c>
      <c r="D9" s="104"/>
      <c r="E9" s="111" t="s">
        <v>281</v>
      </c>
      <c r="F9" s="120"/>
      <c r="G9" s="119" t="s">
        <v>231</v>
      </c>
      <c r="H9" s="120"/>
      <c r="I9" s="45">
        <v>100</v>
      </c>
      <c r="J9" s="6">
        <v>1</v>
      </c>
      <c r="K9" s="31" t="s">
        <v>279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100</v>
      </c>
      <c r="J10" s="9">
        <f>SUM(J9:J9)</f>
        <v>1</v>
      </c>
      <c r="K10" s="118"/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100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</mergeCells>
  <hyperlinks>
    <hyperlink ref="D5" location="'Muc Luc'!A1" display="Mr Cường" xr:uid="{830E7FE9-75A0-4ECE-AA1B-48ABDAFD9763}"/>
  </hyperlinks>
  <pageMargins left="0.25" right="0.25" top="0.17" bottom="0.17" header="0.3" footer="0.2"/>
  <pageSetup paperSize="9" scale="79" fitToHeight="0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AF803-CB4E-4BEF-B59B-A05A3E01A202}">
  <sheetPr codeName="Sheet33">
    <pageSetUpPr fitToPage="1"/>
  </sheetPr>
  <dimension ref="A1:K32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45847</v>
      </c>
    </row>
    <row r="6" spans="1:11" s="1" customFormat="1" ht="16.5" x14ac:dyDescent="0.25">
      <c r="A6" s="1" t="s">
        <v>78</v>
      </c>
      <c r="D6" s="1" t="s">
        <v>79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53.25" customHeight="1" x14ac:dyDescent="0.25">
      <c r="A9" s="3" t="s">
        <v>2</v>
      </c>
      <c r="B9" s="50" t="s">
        <v>284</v>
      </c>
      <c r="C9" s="103" t="s">
        <v>287</v>
      </c>
      <c r="D9" s="104"/>
      <c r="E9" s="111" t="s">
        <v>288</v>
      </c>
      <c r="F9" s="120"/>
      <c r="G9" s="119" t="s">
        <v>231</v>
      </c>
      <c r="H9" s="120"/>
      <c r="I9" s="45">
        <v>50</v>
      </c>
      <c r="J9" s="115">
        <v>1</v>
      </c>
      <c r="K9" s="125" t="s">
        <v>283</v>
      </c>
    </row>
    <row r="10" spans="1:11" s="1" customFormat="1" ht="53.25" customHeight="1" x14ac:dyDescent="0.25">
      <c r="A10" s="3" t="s">
        <v>3</v>
      </c>
      <c r="B10" s="50" t="s">
        <v>285</v>
      </c>
      <c r="C10" s="103" t="s">
        <v>286</v>
      </c>
      <c r="D10" s="104"/>
      <c r="E10" s="111" t="s">
        <v>214</v>
      </c>
      <c r="F10" s="112"/>
      <c r="G10" s="119" t="s">
        <v>231</v>
      </c>
      <c r="H10" s="120"/>
      <c r="I10" s="45">
        <v>50</v>
      </c>
      <c r="J10" s="117"/>
      <c r="K10" s="126"/>
    </row>
    <row r="11" spans="1:11" s="1" customFormat="1" ht="53.25" customHeight="1" x14ac:dyDescent="0.25">
      <c r="A11" s="3" t="s">
        <v>4</v>
      </c>
      <c r="B11" s="39" t="s">
        <v>289</v>
      </c>
      <c r="C11" s="103" t="s">
        <v>291</v>
      </c>
      <c r="D11" s="104"/>
      <c r="E11" s="105" t="s">
        <v>92</v>
      </c>
      <c r="F11" s="124"/>
      <c r="G11" s="103" t="s">
        <v>93</v>
      </c>
      <c r="H11" s="104"/>
      <c r="I11" s="45">
        <v>500</v>
      </c>
      <c r="J11" s="24">
        <v>1</v>
      </c>
      <c r="K11" s="31" t="s">
        <v>290</v>
      </c>
    </row>
    <row r="12" spans="1:11" s="1" customFormat="1" ht="33" customHeight="1" x14ac:dyDescent="0.25">
      <c r="A12" s="118" t="s">
        <v>7</v>
      </c>
      <c r="B12" s="118"/>
      <c r="C12" s="118"/>
      <c r="D12" s="118"/>
      <c r="E12" s="118"/>
      <c r="F12" s="118"/>
      <c r="G12" s="118"/>
      <c r="H12" s="118"/>
      <c r="I12" s="9">
        <f>SUM(I9:I11)</f>
        <v>600</v>
      </c>
      <c r="J12" s="9">
        <f>SUM(J9:J11)</f>
        <v>2</v>
      </c>
      <c r="K12" s="118"/>
    </row>
    <row r="13" spans="1:11" s="1" customFormat="1" ht="16.5" x14ac:dyDescent="0.25">
      <c r="A13" s="121" t="s">
        <v>19</v>
      </c>
      <c r="B13" s="121"/>
      <c r="C13" s="121"/>
      <c r="D13" s="121"/>
      <c r="E13" s="121"/>
      <c r="F13" s="121"/>
      <c r="G13" s="121"/>
      <c r="H13" s="121"/>
      <c r="I13" s="121">
        <f>I12</f>
        <v>600</v>
      </c>
      <c r="J13" s="118">
        <f>J12</f>
        <v>2</v>
      </c>
      <c r="K13" s="118"/>
    </row>
    <row r="14" spans="1:11" ht="15" customHeight="1" x14ac:dyDescent="0.25">
      <c r="A14" s="121"/>
      <c r="B14" s="121"/>
      <c r="C14" s="121"/>
      <c r="D14" s="121"/>
      <c r="E14" s="121"/>
      <c r="F14" s="121"/>
      <c r="G14" s="121"/>
      <c r="H14" s="121"/>
      <c r="I14" s="121"/>
      <c r="J14" s="118"/>
      <c r="K14" s="118"/>
    </row>
    <row r="16" spans="1:11" x14ac:dyDescent="0.25">
      <c r="B16" s="10" t="s">
        <v>62</v>
      </c>
      <c r="H16" t="s">
        <v>23</v>
      </c>
    </row>
    <row r="17" spans="1:11" ht="101.25" customHeight="1" x14ac:dyDescent="0.25">
      <c r="B17" s="10"/>
    </row>
    <row r="18" spans="1:11" s="1" customFormat="1" ht="16.5" x14ac:dyDescent="0.25"/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</row>
    <row r="22" spans="1:11" s="1" customFormat="1" ht="16.5" x14ac:dyDescent="0.25"/>
    <row r="23" spans="1:11" s="1" customFormat="1" ht="16.5" x14ac:dyDescent="0.25"/>
    <row r="24" spans="1:11" s="1" customFormat="1" ht="19.5" customHeight="1" x14ac:dyDescent="0.25"/>
    <row r="25" spans="1:11" s="1" customFormat="1" ht="30.75" customHeight="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18"/>
      <c r="B29" s="19"/>
      <c r="C29" s="19"/>
      <c r="D29" s="19"/>
      <c r="E29" s="19"/>
      <c r="F29" s="19"/>
      <c r="G29" s="19"/>
      <c r="H29" s="19"/>
      <c r="I29" s="19"/>
      <c r="J29" s="19"/>
      <c r="K29" s="19"/>
    </row>
    <row r="30" spans="1:11" s="1" customFormat="1" ht="35.25" customHeight="1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s="1" customFormat="1" ht="16.5" x14ac:dyDescent="0.25">
      <c r="A31" s="100"/>
      <c r="B31" s="101"/>
      <c r="C31" s="11"/>
      <c r="D31" s="11"/>
      <c r="E31" s="11"/>
      <c r="F31" s="11"/>
      <c r="G31" s="11"/>
      <c r="H31" s="5"/>
      <c r="I31" s="5"/>
      <c r="J31" s="5"/>
      <c r="K31" s="5"/>
    </row>
    <row r="32" spans="1:11" s="1" customFormat="1" ht="16.5" x14ac:dyDescent="0.25">
      <c r="J32" s="102"/>
      <c r="K32" s="102"/>
    </row>
  </sheetData>
  <mergeCells count="25">
    <mergeCell ref="E10:F10"/>
    <mergeCell ref="C10:D10"/>
    <mergeCell ref="K9:K10"/>
    <mergeCell ref="A20:K20"/>
    <mergeCell ref="A31:B31"/>
    <mergeCell ref="C9:D9"/>
    <mergeCell ref="E9:F9"/>
    <mergeCell ref="G9:H9"/>
    <mergeCell ref="J9:J10"/>
    <mergeCell ref="G10:H10"/>
    <mergeCell ref="J32:K32"/>
    <mergeCell ref="C11:D11"/>
    <mergeCell ref="E11:F11"/>
    <mergeCell ref="G11:H11"/>
    <mergeCell ref="A12:H12"/>
    <mergeCell ref="K12:K14"/>
    <mergeCell ref="A13:H14"/>
    <mergeCell ref="I13:I14"/>
    <mergeCell ref="J13:J14"/>
    <mergeCell ref="A19:K1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251FDADF-193E-4CEC-9F02-509999A86FA6}"/>
  </hyperlinks>
  <pageMargins left="0.25" right="0.25" top="0.17" bottom="0.17" header="0.3" footer="0.2"/>
  <pageSetup paperSize="9" scale="79" fitToHeight="0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FE0D-9C1A-4752-B88F-01DBCA1052CC}">
  <sheetPr codeName="Sheet34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45847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53.25" customHeight="1" x14ac:dyDescent="0.25">
      <c r="A9" s="3">
        <v>1</v>
      </c>
      <c r="B9" s="39" t="s">
        <v>157</v>
      </c>
      <c r="C9" s="103" t="s">
        <v>292</v>
      </c>
      <c r="D9" s="104"/>
      <c r="E9" s="105" t="s">
        <v>92</v>
      </c>
      <c r="F9" s="124"/>
      <c r="G9" s="103" t="s">
        <v>93</v>
      </c>
      <c r="H9" s="104"/>
      <c r="I9" s="45">
        <v>100</v>
      </c>
      <c r="J9" s="24">
        <v>1</v>
      </c>
      <c r="K9" s="31" t="s">
        <v>293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100</v>
      </c>
      <c r="J10" s="9">
        <f>SUM(J9:J9)</f>
        <v>1</v>
      </c>
      <c r="K10" s="118"/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100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6792361A-8811-4CB6-8CD5-FF1BE5D704D7}"/>
  </hyperlinks>
  <pageMargins left="0.25" right="0.25" top="0.17" bottom="0.17" header="0.3" footer="0.2"/>
  <pageSetup paperSize="9" scale="79" fitToHeight="0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3AEEE-6C16-4FBD-8D54-67BBD6B467C8}">
  <sheetPr codeName="Sheet35">
    <pageSetUpPr fitToPage="1"/>
  </sheetPr>
  <dimension ref="A1:K32"/>
  <sheetViews>
    <sheetView zoomScaleNormal="100" workbookViewId="0">
      <selection activeCell="L12" sqref="L12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45848</v>
      </c>
    </row>
    <row r="6" spans="1:11" s="1" customFormat="1" ht="16.5" x14ac:dyDescent="0.25">
      <c r="A6" s="1" t="s">
        <v>78</v>
      </c>
      <c r="D6" s="1" t="s">
        <v>190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53.25" customHeight="1" x14ac:dyDescent="0.25">
      <c r="A9" s="3" t="s">
        <v>2</v>
      </c>
      <c r="B9" s="51" t="s">
        <v>294</v>
      </c>
      <c r="C9" s="103" t="s">
        <v>296</v>
      </c>
      <c r="D9" s="104"/>
      <c r="E9" s="111" t="s">
        <v>92</v>
      </c>
      <c r="F9" s="120"/>
      <c r="G9" s="119" t="s">
        <v>266</v>
      </c>
      <c r="H9" s="120"/>
      <c r="I9" s="45">
        <v>100</v>
      </c>
      <c r="J9" s="115">
        <v>1</v>
      </c>
      <c r="K9" s="31" t="s">
        <v>254</v>
      </c>
    </row>
    <row r="10" spans="1:11" s="1" customFormat="1" ht="53.25" customHeight="1" x14ac:dyDescent="0.25">
      <c r="A10" s="3" t="s">
        <v>3</v>
      </c>
      <c r="B10" s="51" t="s">
        <v>294</v>
      </c>
      <c r="C10" s="103" t="s">
        <v>296</v>
      </c>
      <c r="D10" s="104"/>
      <c r="E10" s="111" t="s">
        <v>92</v>
      </c>
      <c r="F10" s="120"/>
      <c r="G10" s="119" t="s">
        <v>93</v>
      </c>
      <c r="H10" s="120"/>
      <c r="I10" s="45">
        <v>100</v>
      </c>
      <c r="J10" s="117"/>
      <c r="K10" s="31" t="s">
        <v>295</v>
      </c>
    </row>
    <row r="11" spans="1:11" s="1" customFormat="1" ht="53.25" customHeight="1" x14ac:dyDescent="0.25">
      <c r="A11" s="3" t="s">
        <v>4</v>
      </c>
      <c r="B11" s="30" t="s">
        <v>297</v>
      </c>
      <c r="C11" s="103" t="s">
        <v>299</v>
      </c>
      <c r="D11" s="104"/>
      <c r="E11" s="105" t="s">
        <v>17</v>
      </c>
      <c r="F11" s="124"/>
      <c r="G11" s="103" t="s">
        <v>93</v>
      </c>
      <c r="H11" s="104"/>
      <c r="I11" s="45">
        <v>400</v>
      </c>
      <c r="J11" s="24">
        <v>1</v>
      </c>
      <c r="K11" s="31" t="s">
        <v>298</v>
      </c>
    </row>
    <row r="12" spans="1:11" s="1" customFormat="1" ht="33" customHeight="1" x14ac:dyDescent="0.25">
      <c r="A12" s="118" t="s">
        <v>7</v>
      </c>
      <c r="B12" s="118"/>
      <c r="C12" s="118"/>
      <c r="D12" s="118"/>
      <c r="E12" s="118"/>
      <c r="F12" s="118"/>
      <c r="G12" s="118"/>
      <c r="H12" s="118"/>
      <c r="I12" s="9">
        <f>SUM(I9:I11)</f>
        <v>600</v>
      </c>
      <c r="J12" s="9">
        <f>SUM(J9:J11)</f>
        <v>2</v>
      </c>
      <c r="K12" s="118"/>
    </row>
    <row r="13" spans="1:11" s="1" customFormat="1" ht="16.5" x14ac:dyDescent="0.25">
      <c r="A13" s="121" t="s">
        <v>19</v>
      </c>
      <c r="B13" s="121"/>
      <c r="C13" s="121"/>
      <c r="D13" s="121"/>
      <c r="E13" s="121"/>
      <c r="F13" s="121"/>
      <c r="G13" s="121"/>
      <c r="H13" s="121"/>
      <c r="I13" s="121">
        <f>I12</f>
        <v>600</v>
      </c>
      <c r="J13" s="118">
        <f>J12</f>
        <v>2</v>
      </c>
      <c r="K13" s="118"/>
    </row>
    <row r="14" spans="1:11" ht="15" customHeight="1" x14ac:dyDescent="0.25">
      <c r="A14" s="121"/>
      <c r="B14" s="121"/>
      <c r="C14" s="121"/>
      <c r="D14" s="121"/>
      <c r="E14" s="121"/>
      <c r="F14" s="121"/>
      <c r="G14" s="121"/>
      <c r="H14" s="121"/>
      <c r="I14" s="121"/>
      <c r="J14" s="118"/>
      <c r="K14" s="118"/>
    </row>
    <row r="16" spans="1:11" x14ac:dyDescent="0.25">
      <c r="B16" s="10" t="s">
        <v>62</v>
      </c>
      <c r="H16" t="s">
        <v>23</v>
      </c>
    </row>
    <row r="17" spans="1:11" ht="101.25" customHeight="1" x14ac:dyDescent="0.25">
      <c r="B17" s="10"/>
    </row>
    <row r="18" spans="1:11" s="1" customFormat="1" ht="16.5" x14ac:dyDescent="0.25"/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</row>
    <row r="22" spans="1:11" s="1" customFormat="1" ht="16.5" x14ac:dyDescent="0.25"/>
    <row r="23" spans="1:11" s="1" customFormat="1" ht="16.5" x14ac:dyDescent="0.25"/>
    <row r="24" spans="1:11" s="1" customFormat="1" ht="19.5" customHeight="1" x14ac:dyDescent="0.25"/>
    <row r="25" spans="1:11" s="1" customFormat="1" ht="30.75" customHeight="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18"/>
      <c r="B29" s="19"/>
      <c r="C29" s="19"/>
      <c r="D29" s="19"/>
      <c r="E29" s="19"/>
      <c r="F29" s="19"/>
      <c r="G29" s="19"/>
      <c r="H29" s="19"/>
      <c r="I29" s="19"/>
      <c r="J29" s="19"/>
      <c r="K29" s="19"/>
    </row>
    <row r="30" spans="1:11" s="1" customFormat="1" ht="35.25" customHeight="1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s="1" customFormat="1" ht="16.5" x14ac:dyDescent="0.25">
      <c r="A31" s="100"/>
      <c r="B31" s="101"/>
      <c r="C31" s="11"/>
      <c r="D31" s="11"/>
      <c r="E31" s="11"/>
      <c r="F31" s="11"/>
      <c r="G31" s="11"/>
      <c r="H31" s="5"/>
      <c r="I31" s="5"/>
      <c r="J31" s="5"/>
      <c r="K31" s="5"/>
    </row>
    <row r="32" spans="1:11" s="1" customFormat="1" ht="16.5" x14ac:dyDescent="0.25">
      <c r="J32" s="102"/>
      <c r="K32" s="102"/>
    </row>
  </sheetData>
  <mergeCells count="24">
    <mergeCell ref="C9:D9"/>
    <mergeCell ref="E9:F9"/>
    <mergeCell ref="G9:H9"/>
    <mergeCell ref="J9:J10"/>
    <mergeCell ref="A2:K2"/>
    <mergeCell ref="A3:K3"/>
    <mergeCell ref="C8:D8"/>
    <mergeCell ref="E8:F8"/>
    <mergeCell ref="G8:H8"/>
    <mergeCell ref="C10:D10"/>
    <mergeCell ref="E10:F10"/>
    <mergeCell ref="G10:H10"/>
    <mergeCell ref="C11:D11"/>
    <mergeCell ref="E11:F11"/>
    <mergeCell ref="G11:H11"/>
    <mergeCell ref="A20:K20"/>
    <mergeCell ref="A31:B31"/>
    <mergeCell ref="J32:K32"/>
    <mergeCell ref="A12:H12"/>
    <mergeCell ref="K12:K14"/>
    <mergeCell ref="A13:H14"/>
    <mergeCell ref="I13:I14"/>
    <mergeCell ref="J13:J14"/>
    <mergeCell ref="A19:K19"/>
  </mergeCells>
  <phoneticPr fontId="21" type="noConversion"/>
  <hyperlinks>
    <hyperlink ref="D5" location="'Muc Luc'!A1" display="Mr Cường" xr:uid="{F6A48995-643D-4550-A101-C3141BE2D224}"/>
  </hyperlinks>
  <pageMargins left="0.25" right="0.25" top="0.17" bottom="0.17" header="0.3" footer="0.2"/>
  <pageSetup paperSize="9" scale="79" fitToHeight="0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8940-A2ED-4C3D-AE0E-35A55CF78AA8}">
  <sheetPr codeName="Sheet36">
    <pageSetUpPr fitToPage="1"/>
  </sheetPr>
  <dimension ref="A1:K35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45852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27" t="s">
        <v>300</v>
      </c>
      <c r="C9" s="103" t="s">
        <v>305</v>
      </c>
      <c r="D9" s="104"/>
      <c r="E9" s="105" t="s">
        <v>301</v>
      </c>
      <c r="F9" s="104"/>
      <c r="G9" s="103" t="s">
        <v>93</v>
      </c>
      <c r="H9" s="104"/>
      <c r="I9" s="52">
        <v>200</v>
      </c>
      <c r="J9" s="24">
        <v>1</v>
      </c>
      <c r="K9" s="31" t="s">
        <v>302</v>
      </c>
    </row>
    <row r="10" spans="1:11" s="1" customFormat="1" ht="28.5" customHeight="1" x14ac:dyDescent="0.25">
      <c r="A10" s="3" t="s">
        <v>3</v>
      </c>
      <c r="B10" s="53" t="s">
        <v>303</v>
      </c>
      <c r="C10" s="103" t="s">
        <v>306</v>
      </c>
      <c r="D10" s="104"/>
      <c r="E10" s="105" t="s">
        <v>92</v>
      </c>
      <c r="F10" s="104"/>
      <c r="G10" s="103" t="s">
        <v>93</v>
      </c>
      <c r="H10" s="104"/>
      <c r="I10" s="52">
        <v>200</v>
      </c>
      <c r="J10" s="24">
        <v>1</v>
      </c>
      <c r="K10" s="31" t="s">
        <v>304</v>
      </c>
    </row>
    <row r="11" spans="1:11" s="1" customFormat="1" ht="29.25" customHeight="1" x14ac:dyDescent="0.25">
      <c r="A11" s="3" t="s">
        <v>4</v>
      </c>
      <c r="B11" s="53" t="s">
        <v>310</v>
      </c>
      <c r="C11" s="103" t="s">
        <v>314</v>
      </c>
      <c r="D11" s="104"/>
      <c r="E11" s="105" t="s">
        <v>57</v>
      </c>
      <c r="F11" s="124"/>
      <c r="G11" s="103" t="s">
        <v>93</v>
      </c>
      <c r="H11" s="104"/>
      <c r="I11" s="52">
        <v>200</v>
      </c>
      <c r="J11" s="24">
        <v>1</v>
      </c>
      <c r="K11" s="31" t="s">
        <v>311</v>
      </c>
    </row>
    <row r="12" spans="1:11" s="1" customFormat="1" ht="27" customHeight="1" x14ac:dyDescent="0.25">
      <c r="A12" s="3" t="s">
        <v>5</v>
      </c>
      <c r="B12" s="39" t="s">
        <v>201</v>
      </c>
      <c r="C12" s="103" t="s">
        <v>315</v>
      </c>
      <c r="D12" s="104"/>
      <c r="E12" s="105" t="s">
        <v>92</v>
      </c>
      <c r="F12" s="124"/>
      <c r="G12" s="103" t="s">
        <v>93</v>
      </c>
      <c r="H12" s="104"/>
      <c r="I12" s="52">
        <v>200</v>
      </c>
      <c r="J12" s="24">
        <v>1</v>
      </c>
      <c r="K12" s="31" t="s">
        <v>312</v>
      </c>
    </row>
    <row r="13" spans="1:11" s="1" customFormat="1" ht="24.75" customHeight="1" x14ac:dyDescent="0.25">
      <c r="A13" s="3" t="s">
        <v>6</v>
      </c>
      <c r="B13" s="27" t="s">
        <v>169</v>
      </c>
      <c r="C13" s="103" t="s">
        <v>316</v>
      </c>
      <c r="D13" s="104"/>
      <c r="E13" s="105" t="s">
        <v>92</v>
      </c>
      <c r="F13" s="124"/>
      <c r="G13" s="103" t="s">
        <v>93</v>
      </c>
      <c r="H13" s="104"/>
      <c r="I13" s="52">
        <v>30</v>
      </c>
      <c r="J13" s="24">
        <v>1</v>
      </c>
      <c r="K13" s="31" t="s">
        <v>313</v>
      </c>
    </row>
    <row r="14" spans="1:11" s="1" customFormat="1" ht="24.75" customHeight="1" x14ac:dyDescent="0.25">
      <c r="A14" s="3" t="s">
        <v>12</v>
      </c>
      <c r="B14" s="27" t="s">
        <v>300</v>
      </c>
      <c r="C14" s="103" t="s">
        <v>305</v>
      </c>
      <c r="D14" s="104"/>
      <c r="E14" s="105" t="s">
        <v>301</v>
      </c>
      <c r="F14" s="124"/>
      <c r="G14" s="103" t="s">
        <v>93</v>
      </c>
      <c r="H14" s="104"/>
      <c r="I14" s="52">
        <v>200</v>
      </c>
      <c r="J14" s="24">
        <v>1</v>
      </c>
      <c r="K14" s="31" t="s">
        <v>317</v>
      </c>
    </row>
    <row r="15" spans="1:11" s="1" customFormat="1" ht="33" customHeight="1" x14ac:dyDescent="0.25">
      <c r="A15" s="118" t="s">
        <v>7</v>
      </c>
      <c r="B15" s="118"/>
      <c r="C15" s="118"/>
      <c r="D15" s="118"/>
      <c r="E15" s="118"/>
      <c r="F15" s="118"/>
      <c r="G15" s="118"/>
      <c r="H15" s="118"/>
      <c r="I15" s="9">
        <f>SUM(I9:I14)</f>
        <v>1030</v>
      </c>
      <c r="J15" s="9">
        <f>SUM(J9:J14)</f>
        <v>6</v>
      </c>
      <c r="K15" s="118" t="s">
        <v>651</v>
      </c>
    </row>
    <row r="16" spans="1:11" s="1" customFormat="1" ht="16.5" x14ac:dyDescent="0.25">
      <c r="A16" s="121" t="s">
        <v>19</v>
      </c>
      <c r="B16" s="121"/>
      <c r="C16" s="121"/>
      <c r="D16" s="121"/>
      <c r="E16" s="121"/>
      <c r="F16" s="121"/>
      <c r="G16" s="121"/>
      <c r="H16" s="121"/>
      <c r="I16" s="121">
        <f>I15</f>
        <v>1030</v>
      </c>
      <c r="J16" s="118">
        <f>J15</f>
        <v>6</v>
      </c>
      <c r="K16" s="118"/>
    </row>
    <row r="17" spans="1:11" ht="15" customHeight="1" x14ac:dyDescent="0.25">
      <c r="A17" s="121"/>
      <c r="B17" s="121"/>
      <c r="C17" s="121"/>
      <c r="D17" s="121"/>
      <c r="E17" s="121"/>
      <c r="F17" s="121"/>
      <c r="G17" s="121"/>
      <c r="H17" s="121"/>
      <c r="I17" s="121"/>
      <c r="J17" s="118"/>
      <c r="K17" s="118"/>
    </row>
    <row r="19" spans="1:11" x14ac:dyDescent="0.25">
      <c r="B19" s="10" t="s">
        <v>62</v>
      </c>
      <c r="H19" t="s">
        <v>23</v>
      </c>
    </row>
    <row r="20" spans="1:11" ht="101.25" customHeight="1" x14ac:dyDescent="0.25">
      <c r="B20" s="10"/>
    </row>
    <row r="21" spans="1:11" s="1" customFormat="1" ht="16.5" x14ac:dyDescent="0.25"/>
    <row r="22" spans="1:11" s="1" customFormat="1" ht="20.25" x14ac:dyDescent="0.3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</row>
    <row r="23" spans="1:11" s="1" customFormat="1" ht="20.25" x14ac:dyDescent="0.3">
      <c r="A23" s="99"/>
      <c r="B23" s="99"/>
      <c r="C23" s="99"/>
      <c r="D23" s="99"/>
      <c r="E23" s="99"/>
      <c r="F23" s="99"/>
      <c r="G23" s="99"/>
      <c r="H23" s="99"/>
      <c r="I23" s="99"/>
      <c r="J23" s="99"/>
      <c r="K23" s="99"/>
    </row>
    <row r="24" spans="1:11" s="1" customFormat="1" ht="20.2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</row>
    <row r="25" spans="1:11" s="1" customFormat="1" ht="16.5" x14ac:dyDescent="0.25"/>
    <row r="26" spans="1:11" s="1" customFormat="1" ht="16.5" x14ac:dyDescent="0.25"/>
    <row r="27" spans="1:11" s="1" customFormat="1" ht="19.5" customHeight="1" x14ac:dyDescent="0.25"/>
    <row r="28" spans="1:11" s="1" customFormat="1" ht="30.75" customHeight="1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21"/>
    </row>
    <row r="31" spans="1:11" s="1" customFormat="1" ht="35.25" customHeight="1" x14ac:dyDescent="0.25">
      <c r="A31" s="21"/>
    </row>
    <row r="32" spans="1:11" s="1" customFormat="1" ht="35.25" customHeight="1" x14ac:dyDescent="0.25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19"/>
    </row>
    <row r="33" spans="1:11" s="1" customFormat="1" ht="35.25" customHeight="1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</row>
    <row r="34" spans="1:11" s="1" customFormat="1" ht="16.5" x14ac:dyDescent="0.25">
      <c r="A34" s="100"/>
      <c r="B34" s="101"/>
      <c r="C34" s="11"/>
      <c r="D34" s="11"/>
      <c r="E34" s="11"/>
      <c r="F34" s="11"/>
      <c r="G34" s="11"/>
      <c r="H34" s="5"/>
      <c r="I34" s="5"/>
      <c r="J34" s="5"/>
      <c r="K34" s="5"/>
    </row>
    <row r="35" spans="1:11" s="1" customFormat="1" ht="16.5" x14ac:dyDescent="0.25">
      <c r="J35" s="102"/>
      <c r="K35" s="102"/>
    </row>
  </sheetData>
  <mergeCells count="32">
    <mergeCell ref="G13:H13"/>
    <mergeCell ref="G14:H14"/>
    <mergeCell ref="C12:D12"/>
    <mergeCell ref="E12:F12"/>
    <mergeCell ref="C13:D13"/>
    <mergeCell ref="C14:D14"/>
    <mergeCell ref="E13:F13"/>
    <mergeCell ref="E14:F14"/>
    <mergeCell ref="C9:D9"/>
    <mergeCell ref="E9:F9"/>
    <mergeCell ref="G9:H9"/>
    <mergeCell ref="C10:D10"/>
    <mergeCell ref="G12:H12"/>
    <mergeCell ref="E10:F10"/>
    <mergeCell ref="G10:H10"/>
    <mergeCell ref="C11:D11"/>
    <mergeCell ref="E11:F11"/>
    <mergeCell ref="G11:H11"/>
    <mergeCell ref="A2:K2"/>
    <mergeCell ref="A3:K3"/>
    <mergeCell ref="C8:D8"/>
    <mergeCell ref="E8:F8"/>
    <mergeCell ref="G8:H8"/>
    <mergeCell ref="A34:B34"/>
    <mergeCell ref="J35:K35"/>
    <mergeCell ref="K15:K17"/>
    <mergeCell ref="A16:H17"/>
    <mergeCell ref="I16:I17"/>
    <mergeCell ref="J16:J17"/>
    <mergeCell ref="A22:K22"/>
    <mergeCell ref="A23:K23"/>
    <mergeCell ref="A15:H15"/>
  </mergeCells>
  <phoneticPr fontId="21" type="noConversion"/>
  <hyperlinks>
    <hyperlink ref="D5" location="'Muc Luc'!A1" display="Mr Cường" xr:uid="{65952AB8-930B-43D5-B8A4-E741C4E9AD2F}"/>
  </hyperlinks>
  <pageMargins left="0.25" right="0.25" top="0.17" bottom="0.17" header="0.3" footer="0.2"/>
  <pageSetup paperSize="9" scale="79" fitToHeight="0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4C51A-BAF8-47FD-A8B7-2C8A5E15235F}">
  <sheetPr codeName="Sheet37">
    <pageSetUpPr fitToPage="1"/>
  </sheetPr>
  <dimension ref="A1:K32"/>
  <sheetViews>
    <sheetView zoomScaleNormal="100" workbookViewId="0">
      <selection activeCell="B11" sqref="B11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45854</v>
      </c>
    </row>
    <row r="6" spans="1:11" s="1" customFormat="1" ht="16.5" x14ac:dyDescent="0.25">
      <c r="A6" s="1" t="s">
        <v>78</v>
      </c>
      <c r="D6" s="1" t="s">
        <v>123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53.25" customHeight="1" x14ac:dyDescent="0.25">
      <c r="A9" s="3" t="s">
        <v>2</v>
      </c>
      <c r="B9" s="14" t="s">
        <v>307</v>
      </c>
      <c r="C9" s="103" t="s">
        <v>309</v>
      </c>
      <c r="D9" s="104"/>
      <c r="E9" s="111" t="s">
        <v>92</v>
      </c>
      <c r="F9" s="120"/>
      <c r="G9" s="119" t="s">
        <v>93</v>
      </c>
      <c r="H9" s="120"/>
      <c r="I9" s="45">
        <v>400</v>
      </c>
      <c r="J9" s="22">
        <v>1</v>
      </c>
      <c r="K9" s="31" t="s">
        <v>308</v>
      </c>
    </row>
    <row r="10" spans="1:11" s="1" customFormat="1" ht="53.25" customHeight="1" x14ac:dyDescent="0.25">
      <c r="A10" s="3" t="s">
        <v>3</v>
      </c>
      <c r="B10" s="40" t="s">
        <v>325</v>
      </c>
      <c r="C10" s="103" t="s">
        <v>326</v>
      </c>
      <c r="D10" s="104"/>
      <c r="E10" s="111" t="s">
        <v>92</v>
      </c>
      <c r="F10" s="120"/>
      <c r="G10" s="119" t="s">
        <v>93</v>
      </c>
      <c r="H10" s="120"/>
      <c r="I10" s="45">
        <v>100</v>
      </c>
      <c r="J10" s="22">
        <v>1</v>
      </c>
      <c r="K10" s="31" t="s">
        <v>328</v>
      </c>
    </row>
    <row r="11" spans="1:11" s="1" customFormat="1" ht="53.25" customHeight="1" x14ac:dyDescent="0.25">
      <c r="A11" s="3" t="s">
        <v>4</v>
      </c>
      <c r="B11" s="14" t="s">
        <v>222</v>
      </c>
      <c r="C11" s="103" t="s">
        <v>327</v>
      </c>
      <c r="D11" s="104"/>
      <c r="E11" s="111" t="s">
        <v>92</v>
      </c>
      <c r="F11" s="120"/>
      <c r="G11" s="111" t="s">
        <v>323</v>
      </c>
      <c r="H11" s="120"/>
      <c r="I11" s="45">
        <v>400</v>
      </c>
      <c r="J11" s="22">
        <v>1</v>
      </c>
      <c r="K11" s="31" t="s">
        <v>324</v>
      </c>
    </row>
    <row r="12" spans="1:11" s="1" customFormat="1" ht="33" customHeight="1" x14ac:dyDescent="0.25">
      <c r="A12" s="118" t="s">
        <v>7</v>
      </c>
      <c r="B12" s="118"/>
      <c r="C12" s="118"/>
      <c r="D12" s="118"/>
      <c r="E12" s="118"/>
      <c r="F12" s="118"/>
      <c r="G12" s="118"/>
      <c r="H12" s="118"/>
      <c r="I12" s="9">
        <f>SUM(I9:I11)</f>
        <v>900</v>
      </c>
      <c r="J12" s="9">
        <f>SUM(J9:J11)</f>
        <v>3</v>
      </c>
      <c r="K12" s="118" t="s">
        <v>651</v>
      </c>
    </row>
    <row r="13" spans="1:11" s="1" customFormat="1" ht="16.5" x14ac:dyDescent="0.25">
      <c r="A13" s="121" t="s">
        <v>19</v>
      </c>
      <c r="B13" s="121"/>
      <c r="C13" s="121"/>
      <c r="D13" s="121"/>
      <c r="E13" s="121"/>
      <c r="F13" s="121"/>
      <c r="G13" s="121"/>
      <c r="H13" s="121"/>
      <c r="I13" s="121">
        <f>I12</f>
        <v>900</v>
      </c>
      <c r="J13" s="118">
        <f>J12</f>
        <v>3</v>
      </c>
      <c r="K13" s="118"/>
    </row>
    <row r="14" spans="1:11" ht="15" customHeight="1" x14ac:dyDescent="0.25">
      <c r="A14" s="121"/>
      <c r="B14" s="121"/>
      <c r="C14" s="121"/>
      <c r="D14" s="121"/>
      <c r="E14" s="121"/>
      <c r="F14" s="121"/>
      <c r="G14" s="121"/>
      <c r="H14" s="121"/>
      <c r="I14" s="121"/>
      <c r="J14" s="118"/>
      <c r="K14" s="118"/>
    </row>
    <row r="16" spans="1:11" x14ac:dyDescent="0.25">
      <c r="B16" s="10" t="s">
        <v>62</v>
      </c>
      <c r="H16" t="s">
        <v>23</v>
      </c>
    </row>
    <row r="17" spans="1:11" ht="101.25" customHeight="1" x14ac:dyDescent="0.25">
      <c r="B17" s="10"/>
    </row>
    <row r="18" spans="1:11" s="1" customFormat="1" ht="16.5" x14ac:dyDescent="0.25"/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</row>
    <row r="22" spans="1:11" s="1" customFormat="1" ht="16.5" x14ac:dyDescent="0.25"/>
    <row r="23" spans="1:11" s="1" customFormat="1" ht="16.5" x14ac:dyDescent="0.25"/>
    <row r="24" spans="1:11" s="1" customFormat="1" ht="19.5" customHeight="1" x14ac:dyDescent="0.25"/>
    <row r="25" spans="1:11" s="1" customFormat="1" ht="30.75" customHeight="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18"/>
      <c r="B29" s="19"/>
      <c r="C29" s="19"/>
      <c r="D29" s="19"/>
      <c r="E29" s="19"/>
      <c r="F29" s="19"/>
      <c r="G29" s="19"/>
      <c r="H29" s="19"/>
      <c r="I29" s="19"/>
      <c r="J29" s="19"/>
      <c r="K29" s="19"/>
    </row>
    <row r="30" spans="1:11" s="1" customFormat="1" ht="35.25" customHeight="1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s="1" customFormat="1" ht="16.5" x14ac:dyDescent="0.25">
      <c r="A31" s="100"/>
      <c r="B31" s="101"/>
      <c r="C31" s="11"/>
      <c r="D31" s="11"/>
      <c r="E31" s="11"/>
      <c r="F31" s="11"/>
      <c r="G31" s="11"/>
      <c r="H31" s="5"/>
      <c r="I31" s="5"/>
      <c r="J31" s="5"/>
      <c r="K31" s="5"/>
    </row>
    <row r="32" spans="1:11" s="1" customFormat="1" ht="16.5" x14ac:dyDescent="0.25">
      <c r="J32" s="102"/>
      <c r="K32" s="102"/>
    </row>
  </sheetData>
  <mergeCells count="23">
    <mergeCell ref="C10:D10"/>
    <mergeCell ref="C11:D11"/>
    <mergeCell ref="E10:F10"/>
    <mergeCell ref="E11:F11"/>
    <mergeCell ref="G10:H10"/>
    <mergeCell ref="G11:H11"/>
    <mergeCell ref="C9:D9"/>
    <mergeCell ref="E9:F9"/>
    <mergeCell ref="G9:H9"/>
    <mergeCell ref="A2:K2"/>
    <mergeCell ref="A3:K3"/>
    <mergeCell ref="C8:D8"/>
    <mergeCell ref="E8:F8"/>
    <mergeCell ref="G8:H8"/>
    <mergeCell ref="A31:B31"/>
    <mergeCell ref="J32:K32"/>
    <mergeCell ref="K12:K14"/>
    <mergeCell ref="A13:H14"/>
    <mergeCell ref="I13:I14"/>
    <mergeCell ref="J13:J14"/>
    <mergeCell ref="A19:K19"/>
    <mergeCell ref="A20:K20"/>
    <mergeCell ref="A12:H12"/>
  </mergeCells>
  <phoneticPr fontId="21" type="noConversion"/>
  <hyperlinks>
    <hyperlink ref="D5" location="'Muc Luc'!A1" display="Mr Cường" xr:uid="{B4339325-80A2-4EC3-8E26-88C400816622}"/>
  </hyperlinks>
  <pageMargins left="0.25" right="0.25" top="0.17" bottom="0.17" header="0.3" footer="0.2"/>
  <pageSetup paperSize="9" scale="79" fitToHeight="0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6ED46-A944-40A2-BCEC-9A597D4B87BE}">
  <sheetPr codeName="Sheet38">
    <pageSetUpPr fitToPage="1"/>
  </sheetPr>
  <dimension ref="A1:K33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45852</v>
      </c>
    </row>
    <row r="6" spans="1:11" s="1" customFormat="1" ht="16.5" x14ac:dyDescent="0.25">
      <c r="A6" s="1" t="s">
        <v>78</v>
      </c>
      <c r="D6" s="1" t="s">
        <v>177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51" t="s">
        <v>318</v>
      </c>
      <c r="C9" s="103" t="s">
        <v>320</v>
      </c>
      <c r="D9" s="104"/>
      <c r="E9" s="105" t="s">
        <v>92</v>
      </c>
      <c r="F9" s="104"/>
      <c r="G9" s="103" t="s">
        <v>93</v>
      </c>
      <c r="H9" s="104"/>
      <c r="I9" s="52">
        <v>100</v>
      </c>
      <c r="J9" s="127">
        <v>1</v>
      </c>
      <c r="K9" s="31" t="s">
        <v>319</v>
      </c>
    </row>
    <row r="10" spans="1:11" s="1" customFormat="1" ht="28.5" customHeight="1" x14ac:dyDescent="0.25">
      <c r="A10" s="3" t="s">
        <v>3</v>
      </c>
      <c r="B10" s="51" t="s">
        <v>318</v>
      </c>
      <c r="C10" s="103" t="s">
        <v>320</v>
      </c>
      <c r="D10" s="104"/>
      <c r="E10" s="105" t="s">
        <v>92</v>
      </c>
      <c r="F10" s="104"/>
      <c r="G10" s="103" t="s">
        <v>266</v>
      </c>
      <c r="H10" s="104"/>
      <c r="I10" s="52">
        <v>100</v>
      </c>
      <c r="J10" s="128"/>
      <c r="K10" s="31" t="s">
        <v>254</v>
      </c>
    </row>
    <row r="11" spans="1:11" s="1" customFormat="1" ht="29.25" customHeight="1" x14ac:dyDescent="0.25">
      <c r="A11" s="3" t="s">
        <v>4</v>
      </c>
      <c r="B11" s="51" t="s">
        <v>321</v>
      </c>
      <c r="C11" s="103" t="s">
        <v>322</v>
      </c>
      <c r="D11" s="104"/>
      <c r="E11" s="105" t="s">
        <v>92</v>
      </c>
      <c r="F11" s="124"/>
      <c r="G11" s="103" t="s">
        <v>93</v>
      </c>
      <c r="H11" s="104"/>
      <c r="I11" s="52">
        <v>100</v>
      </c>
      <c r="J11" s="127">
        <v>1</v>
      </c>
      <c r="K11" s="31" t="s">
        <v>311</v>
      </c>
    </row>
    <row r="12" spans="1:11" s="1" customFormat="1" ht="27" customHeight="1" x14ac:dyDescent="0.25">
      <c r="A12" s="3" t="s">
        <v>5</v>
      </c>
      <c r="B12" s="51" t="s">
        <v>321</v>
      </c>
      <c r="C12" s="103" t="s">
        <v>322</v>
      </c>
      <c r="D12" s="104"/>
      <c r="E12" s="105" t="s">
        <v>92</v>
      </c>
      <c r="F12" s="124"/>
      <c r="G12" s="103" t="s">
        <v>266</v>
      </c>
      <c r="H12" s="104"/>
      <c r="I12" s="52">
        <v>100</v>
      </c>
      <c r="J12" s="128"/>
      <c r="K12" s="31" t="s">
        <v>272</v>
      </c>
    </row>
    <row r="13" spans="1:11" s="1" customFormat="1" ht="33" customHeight="1" x14ac:dyDescent="0.25">
      <c r="A13" s="118" t="s">
        <v>7</v>
      </c>
      <c r="B13" s="118"/>
      <c r="C13" s="118"/>
      <c r="D13" s="118"/>
      <c r="E13" s="118"/>
      <c r="F13" s="118"/>
      <c r="G13" s="118"/>
      <c r="H13" s="118"/>
      <c r="I13" s="9">
        <f>SUM(I9:I12)</f>
        <v>400</v>
      </c>
      <c r="J13" s="9">
        <f>SUM(J9:J12)</f>
        <v>2</v>
      </c>
      <c r="K13" s="118" t="s">
        <v>651</v>
      </c>
    </row>
    <row r="14" spans="1:11" s="1" customFormat="1" ht="16.5" x14ac:dyDescent="0.25">
      <c r="A14" s="121" t="s">
        <v>19</v>
      </c>
      <c r="B14" s="121"/>
      <c r="C14" s="121"/>
      <c r="D14" s="121"/>
      <c r="E14" s="121"/>
      <c r="F14" s="121"/>
      <c r="G14" s="121"/>
      <c r="H14" s="121"/>
      <c r="I14" s="121">
        <f>I13</f>
        <v>400</v>
      </c>
      <c r="J14" s="118">
        <f>J13</f>
        <v>2</v>
      </c>
      <c r="K14" s="118"/>
    </row>
    <row r="15" spans="1:11" ht="15" customHeight="1" x14ac:dyDescent="0.25">
      <c r="A15" s="121"/>
      <c r="B15" s="121"/>
      <c r="C15" s="121"/>
      <c r="D15" s="121"/>
      <c r="E15" s="121"/>
      <c r="F15" s="121"/>
      <c r="G15" s="121"/>
      <c r="H15" s="121"/>
      <c r="I15" s="121"/>
      <c r="J15" s="118"/>
      <c r="K15" s="118"/>
    </row>
    <row r="17" spans="1:11" x14ac:dyDescent="0.25">
      <c r="B17" s="10" t="s">
        <v>62</v>
      </c>
      <c r="H17" t="s">
        <v>23</v>
      </c>
    </row>
    <row r="18" spans="1:11" ht="101.25" customHeight="1" x14ac:dyDescent="0.25">
      <c r="B18" s="10"/>
    </row>
    <row r="19" spans="1:11" s="1" customFormat="1" ht="16.5" x14ac:dyDescent="0.25"/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1:11" s="1" customFormat="1" ht="20.2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</row>
    <row r="23" spans="1:11" s="1" customFormat="1" ht="16.5" x14ac:dyDescent="0.25"/>
    <row r="24" spans="1:11" s="1" customFormat="1" ht="16.5" x14ac:dyDescent="0.25"/>
    <row r="25" spans="1:11" s="1" customFormat="1" ht="19.5" customHeight="1" x14ac:dyDescent="0.25"/>
    <row r="26" spans="1:11" s="1" customFormat="1" ht="30.75" customHeight="1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1" s="1" customFormat="1" ht="35.25" customHeight="1" x14ac:dyDescent="0.2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1" s="1" customFormat="1" ht="16.5" x14ac:dyDescent="0.25">
      <c r="A32" s="100"/>
      <c r="B32" s="101"/>
      <c r="C32" s="11"/>
      <c r="D32" s="11"/>
      <c r="E32" s="11"/>
      <c r="F32" s="11"/>
      <c r="G32" s="11"/>
      <c r="H32" s="5"/>
      <c r="I32" s="5"/>
      <c r="J32" s="5"/>
      <c r="K32" s="5"/>
    </row>
    <row r="33" spans="10:11" s="1" customFormat="1" ht="16.5" x14ac:dyDescent="0.25">
      <c r="J33" s="102"/>
      <c r="K33" s="102"/>
    </row>
  </sheetData>
  <mergeCells count="28">
    <mergeCell ref="A32:B32"/>
    <mergeCell ref="J33:K33"/>
    <mergeCell ref="J11:J12"/>
    <mergeCell ref="C12:D12"/>
    <mergeCell ref="E12:F12"/>
    <mergeCell ref="G12:H12"/>
    <mergeCell ref="A13:H13"/>
    <mergeCell ref="K13:K15"/>
    <mergeCell ref="A14:H15"/>
    <mergeCell ref="I14:I15"/>
    <mergeCell ref="J14:J15"/>
    <mergeCell ref="C11:D11"/>
    <mergeCell ref="E11:F11"/>
    <mergeCell ref="G11:H11"/>
    <mergeCell ref="A20:K20"/>
    <mergeCell ref="A21:K21"/>
    <mergeCell ref="E9:F9"/>
    <mergeCell ref="G9:H9"/>
    <mergeCell ref="A2:K2"/>
    <mergeCell ref="A3:K3"/>
    <mergeCell ref="C8:D8"/>
    <mergeCell ref="E8:F8"/>
    <mergeCell ref="G8:H8"/>
    <mergeCell ref="J9:J10"/>
    <mergeCell ref="C9:D9"/>
    <mergeCell ref="C10:D10"/>
    <mergeCell ref="E10:F10"/>
    <mergeCell ref="G10:H10"/>
  </mergeCells>
  <phoneticPr fontId="21" type="noConversion"/>
  <hyperlinks>
    <hyperlink ref="D5" location="'Muc Luc'!A1" display="Mr Cường" xr:uid="{BBBAF2AD-3868-4A74-AB41-8B0D0A98FBD0}"/>
  </hyperlinks>
  <pageMargins left="0.25" right="0.25" top="0.17" bottom="0.17" header="0.3" footer="0.2"/>
  <pageSetup paperSize="9" scale="79" fitToHeight="0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03DA-47AA-4E22-A6A3-B97D46142E09}">
  <sheetPr codeName="Sheet39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45856</v>
      </c>
    </row>
    <row r="6" spans="1:11" s="1" customFormat="1" ht="16.5" x14ac:dyDescent="0.25">
      <c r="A6" s="1" t="s">
        <v>78</v>
      </c>
      <c r="D6" s="1" t="s">
        <v>329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40" t="s">
        <v>330</v>
      </c>
      <c r="C9" s="103" t="s">
        <v>332</v>
      </c>
      <c r="D9" s="104"/>
      <c r="E9" s="105" t="s">
        <v>17</v>
      </c>
      <c r="F9" s="104"/>
      <c r="G9" s="103" t="s">
        <v>93</v>
      </c>
      <c r="H9" s="104"/>
      <c r="I9" s="52">
        <v>400</v>
      </c>
      <c r="J9" s="24">
        <v>1</v>
      </c>
      <c r="K9" s="31" t="s">
        <v>334</v>
      </c>
    </row>
    <row r="10" spans="1:11" s="1" customFormat="1" ht="28.5" customHeight="1" x14ac:dyDescent="0.25">
      <c r="A10" s="3" t="s">
        <v>3</v>
      </c>
      <c r="B10" s="40" t="s">
        <v>331</v>
      </c>
      <c r="C10" s="103" t="s">
        <v>333</v>
      </c>
      <c r="D10" s="104"/>
      <c r="E10" s="105" t="s">
        <v>92</v>
      </c>
      <c r="F10" s="104"/>
      <c r="G10" s="103" t="s">
        <v>93</v>
      </c>
      <c r="H10" s="104"/>
      <c r="I10" s="52">
        <v>400</v>
      </c>
      <c r="J10" s="24">
        <v>1</v>
      </c>
      <c r="K10" s="31" t="s">
        <v>335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800</v>
      </c>
      <c r="J11" s="9">
        <f>SUM(J9:J10)</f>
        <v>2</v>
      </c>
      <c r="K11" s="118" t="s">
        <v>651</v>
      </c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800</v>
      </c>
      <c r="J12" s="118">
        <f>J11</f>
        <v>2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E10:F10"/>
    <mergeCell ref="G10:H10"/>
    <mergeCell ref="A2:K2"/>
    <mergeCell ref="A3:K3"/>
    <mergeCell ref="C8:D8"/>
    <mergeCell ref="E8:F8"/>
    <mergeCell ref="G8:H8"/>
    <mergeCell ref="C9:D9"/>
    <mergeCell ref="E9:F9"/>
    <mergeCell ref="G9:H9"/>
    <mergeCell ref="C10:D10"/>
    <mergeCell ref="A19:K19"/>
    <mergeCell ref="A30:B30"/>
    <mergeCell ref="J31:K31"/>
    <mergeCell ref="A11:H11"/>
    <mergeCell ref="K11:K13"/>
    <mergeCell ref="A12:H13"/>
    <mergeCell ref="I12:I13"/>
    <mergeCell ref="J12:J13"/>
    <mergeCell ref="A18:K18"/>
  </mergeCells>
  <hyperlinks>
    <hyperlink ref="D5" location="'Muc Luc'!A1" display="Mr Cường" xr:uid="{031D3C5D-2576-4346-B1B0-B3AF822E1A67}"/>
  </hyperlinks>
  <pageMargins left="0.25" right="0.25" top="0.17" bottom="0.17" header="0.3" footer="0.2"/>
  <pageSetup paperSize="9" scale="79" fitToHeight="0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31FB5-A218-4067-838A-CCFC7A731287}">
  <sheetPr codeName="Sheet40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45859</v>
      </c>
    </row>
    <row r="6" spans="1:11" s="1" customFormat="1" ht="16.5" x14ac:dyDescent="0.25">
      <c r="A6" s="1" t="s">
        <v>78</v>
      </c>
      <c r="D6" s="1" t="s">
        <v>147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51" t="s">
        <v>336</v>
      </c>
      <c r="C9" s="103" t="s">
        <v>337</v>
      </c>
      <c r="D9" s="104"/>
      <c r="E9" s="105" t="s">
        <v>17</v>
      </c>
      <c r="F9" s="104"/>
      <c r="G9" s="103" t="s">
        <v>93</v>
      </c>
      <c r="H9" s="104"/>
      <c r="I9" s="52">
        <v>100</v>
      </c>
      <c r="J9" s="127">
        <v>1</v>
      </c>
      <c r="K9" s="31" t="s">
        <v>338</v>
      </c>
    </row>
    <row r="10" spans="1:11" s="1" customFormat="1" ht="28.5" customHeight="1" x14ac:dyDescent="0.25">
      <c r="A10" s="3" t="s">
        <v>3</v>
      </c>
      <c r="B10" s="51" t="s">
        <v>336</v>
      </c>
      <c r="C10" s="103" t="s">
        <v>337</v>
      </c>
      <c r="D10" s="104"/>
      <c r="E10" s="105" t="s">
        <v>17</v>
      </c>
      <c r="F10" s="104"/>
      <c r="G10" s="103" t="s">
        <v>266</v>
      </c>
      <c r="H10" s="104"/>
      <c r="I10" s="52">
        <v>100</v>
      </c>
      <c r="J10" s="128"/>
      <c r="K10" s="31" t="s">
        <v>254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200</v>
      </c>
      <c r="J11" s="9">
        <f>SUM(J9:J10)</f>
        <v>1</v>
      </c>
      <c r="K11" s="118" t="s">
        <v>651</v>
      </c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200</v>
      </c>
      <c r="J12" s="118">
        <f>J11</f>
        <v>1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1">
    <mergeCell ref="A2:K2"/>
    <mergeCell ref="A3:K3"/>
    <mergeCell ref="C8:D8"/>
    <mergeCell ref="E8:F8"/>
    <mergeCell ref="G8:H8"/>
    <mergeCell ref="A18:K18"/>
    <mergeCell ref="A19:K19"/>
    <mergeCell ref="A30:B30"/>
    <mergeCell ref="J31:K31"/>
    <mergeCell ref="J9:J10"/>
    <mergeCell ref="C10:D10"/>
    <mergeCell ref="E10:F10"/>
    <mergeCell ref="G10:H10"/>
    <mergeCell ref="A11:H11"/>
    <mergeCell ref="K11:K13"/>
    <mergeCell ref="A12:H13"/>
    <mergeCell ref="I12:I13"/>
    <mergeCell ref="J12:J13"/>
    <mergeCell ref="C9:D9"/>
    <mergeCell ref="E9:F9"/>
    <mergeCell ref="G9:H9"/>
  </mergeCells>
  <phoneticPr fontId="21" type="noConversion"/>
  <hyperlinks>
    <hyperlink ref="D5" location="'Muc Luc'!A1" display="Mr Cường" xr:uid="{6CFD0870-7229-425A-940F-1CB49D66C173}"/>
  </hyperlinks>
  <pageMargins left="0.25" right="0.25" top="0.17" bottom="0.17" header="0.3" footer="0.2"/>
  <pageSetup paperSize="9" scale="79" fitToHeight="0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CD3F7-C578-4440-B8C2-0814FE61D3C9}">
  <sheetPr codeName="Sheet41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45857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25" t="s">
        <v>157</v>
      </c>
      <c r="C9" s="103" t="s">
        <v>340</v>
      </c>
      <c r="D9" s="104"/>
      <c r="E9" s="105" t="s">
        <v>92</v>
      </c>
      <c r="F9" s="104"/>
      <c r="G9" s="103" t="s">
        <v>93</v>
      </c>
      <c r="H9" s="104"/>
      <c r="I9" s="52">
        <v>100</v>
      </c>
      <c r="J9" s="54">
        <v>1</v>
      </c>
      <c r="K9" s="31" t="s">
        <v>339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100</v>
      </c>
      <c r="J10" s="9">
        <f>SUM(J9:J9)</f>
        <v>1</v>
      </c>
      <c r="K10" s="118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100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7:K17"/>
    <mergeCell ref="A18:K18"/>
    <mergeCell ref="A29:B29"/>
    <mergeCell ref="J30:K30"/>
    <mergeCell ref="A10:H10"/>
    <mergeCell ref="K10:K12"/>
    <mergeCell ref="A11:H12"/>
    <mergeCell ref="I11:I12"/>
    <mergeCell ref="J11:J12"/>
  </mergeCells>
  <hyperlinks>
    <hyperlink ref="D5" location="'Muc Luc'!A1" display="Mr Cường" xr:uid="{48412155-6886-49A7-AFAB-C995231F33C6}"/>
  </hyperlinks>
  <pageMargins left="0.25" right="0.25" top="0.17" bottom="0.17" header="0.3" footer="0.2"/>
  <pageSetup paperSize="9" scale="79" fitToHeight="0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CB2AE-763E-485A-988A-DE455C0575C0}">
  <sheetPr codeName="Sheet42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45889</v>
      </c>
    </row>
    <row r="6" spans="1:11" s="1" customFormat="1" ht="16.5" x14ac:dyDescent="0.25">
      <c r="A6" s="1" t="s">
        <v>78</v>
      </c>
      <c r="D6" s="1" t="s">
        <v>97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25" t="s">
        <v>341</v>
      </c>
      <c r="C9" s="103" t="s">
        <v>342</v>
      </c>
      <c r="D9" s="104"/>
      <c r="E9" s="105" t="s">
        <v>92</v>
      </c>
      <c r="F9" s="104"/>
      <c r="G9" s="103" t="s">
        <v>231</v>
      </c>
      <c r="H9" s="104"/>
      <c r="I9" s="52">
        <v>200</v>
      </c>
      <c r="J9" s="127">
        <v>1</v>
      </c>
      <c r="K9" s="31" t="s">
        <v>324</v>
      </c>
    </row>
    <row r="10" spans="1:11" s="1" customFormat="1" ht="29.25" customHeight="1" x14ac:dyDescent="0.25">
      <c r="A10" s="3" t="s">
        <v>3</v>
      </c>
      <c r="B10" s="25" t="s">
        <v>341</v>
      </c>
      <c r="C10" s="103" t="s">
        <v>342</v>
      </c>
      <c r="D10" s="104"/>
      <c r="E10" s="105" t="s">
        <v>92</v>
      </c>
      <c r="F10" s="104"/>
      <c r="G10" s="103" t="s">
        <v>343</v>
      </c>
      <c r="H10" s="104"/>
      <c r="I10" s="52">
        <v>200</v>
      </c>
      <c r="J10" s="128"/>
      <c r="K10" s="31" t="s">
        <v>344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SUM(I9:I9)</f>
        <v>200</v>
      </c>
      <c r="J11" s="9">
        <f>SUM(J9:J9)</f>
        <v>1</v>
      </c>
      <c r="K11" s="118" t="s">
        <v>651</v>
      </c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200</v>
      </c>
      <c r="J12" s="118">
        <f>J11</f>
        <v>1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1">
    <mergeCell ref="A2:K2"/>
    <mergeCell ref="A3:K3"/>
    <mergeCell ref="C8:D8"/>
    <mergeCell ref="E8:F8"/>
    <mergeCell ref="G8:H8"/>
    <mergeCell ref="A19:K19"/>
    <mergeCell ref="A30:B30"/>
    <mergeCell ref="J31:K31"/>
    <mergeCell ref="C10:D10"/>
    <mergeCell ref="E10:F10"/>
    <mergeCell ref="G10:H10"/>
    <mergeCell ref="J9:J10"/>
    <mergeCell ref="A11:H11"/>
    <mergeCell ref="K11:K13"/>
    <mergeCell ref="A12:H13"/>
    <mergeCell ref="I12:I13"/>
    <mergeCell ref="J12:J13"/>
    <mergeCell ref="A18:K18"/>
    <mergeCell ref="C9:D9"/>
    <mergeCell ref="E9:F9"/>
    <mergeCell ref="G9:H9"/>
  </mergeCells>
  <phoneticPr fontId="21" type="noConversion"/>
  <hyperlinks>
    <hyperlink ref="D5" location="'Muc Luc'!A1" display="Mr Cường" xr:uid="{83661135-FFE8-4CB7-93AA-0B00DD4CF681}"/>
  </hyperlinks>
  <pageMargins left="0.25" right="0.25" top="0.17" bottom="0.17" header="0.3" footer="0.2"/>
  <pageSetup paperSize="9" scale="79" fitToHeight="0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83BEA-E50D-446A-969C-E4F3CC8F79CD}">
  <sheetPr codeName="Sheet43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45856</v>
      </c>
    </row>
    <row r="6" spans="1:11" s="1" customFormat="1" ht="16.5" x14ac:dyDescent="0.25">
      <c r="A6" s="1" t="s">
        <v>78</v>
      </c>
      <c r="D6" s="1" t="s">
        <v>79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27" t="s">
        <v>345</v>
      </c>
      <c r="C9" s="103" t="s">
        <v>347</v>
      </c>
      <c r="D9" s="104"/>
      <c r="E9" s="105" t="s">
        <v>92</v>
      </c>
      <c r="F9" s="104"/>
      <c r="G9" s="103" t="s">
        <v>93</v>
      </c>
      <c r="H9" s="104"/>
      <c r="I9" s="52">
        <v>100</v>
      </c>
      <c r="J9" s="54">
        <v>1</v>
      </c>
      <c r="K9" s="31" t="s">
        <v>346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100</v>
      </c>
      <c r="J10" s="9">
        <f>SUM(J9:J9)</f>
        <v>1</v>
      </c>
      <c r="K10" s="118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100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7:K17"/>
    <mergeCell ref="A18:K18"/>
    <mergeCell ref="A29:B29"/>
    <mergeCell ref="J30:K30"/>
    <mergeCell ref="A10:H10"/>
    <mergeCell ref="K10:K12"/>
    <mergeCell ref="A11:H12"/>
    <mergeCell ref="I11:I12"/>
    <mergeCell ref="J11:J12"/>
  </mergeCells>
  <hyperlinks>
    <hyperlink ref="D5" location="'Muc Luc'!A1" display="Mr Cường" xr:uid="{57CECF97-E10B-436A-B326-FD5FED7D4793}"/>
  </hyperlinks>
  <pageMargins left="0.25" right="0.25" top="0.17" bottom="0.17" header="0.3" footer="0.2"/>
  <pageSetup paperSize="9" scale="79" fitToHeight="0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885CA-E7D5-430B-923B-EE396A59BBBA}">
  <sheetPr codeName="Sheet44">
    <pageSetUpPr fitToPage="1"/>
  </sheetPr>
  <dimension ref="A1:K34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45857</v>
      </c>
    </row>
    <row r="6" spans="1:11" s="1" customFormat="1" ht="16.5" x14ac:dyDescent="0.25">
      <c r="A6" s="1" t="s">
        <v>78</v>
      </c>
      <c r="D6" s="1" t="s">
        <v>154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41" t="s">
        <v>348</v>
      </c>
      <c r="C9" s="103" t="s">
        <v>356</v>
      </c>
      <c r="D9" s="104"/>
      <c r="E9" s="105" t="s">
        <v>281</v>
      </c>
      <c r="F9" s="104"/>
      <c r="G9" s="103" t="s">
        <v>93</v>
      </c>
      <c r="H9" s="104"/>
      <c r="I9" s="52">
        <v>5</v>
      </c>
      <c r="J9" s="54">
        <v>1</v>
      </c>
      <c r="K9" s="31" t="s">
        <v>351</v>
      </c>
    </row>
    <row r="10" spans="1:11" s="1" customFormat="1" ht="29.25" customHeight="1" x14ac:dyDescent="0.25">
      <c r="A10" s="3" t="s">
        <v>3</v>
      </c>
      <c r="B10" s="41" t="s">
        <v>349</v>
      </c>
      <c r="C10" s="103" t="s">
        <v>357</v>
      </c>
      <c r="D10" s="104"/>
      <c r="E10" s="105" t="s">
        <v>281</v>
      </c>
      <c r="F10" s="104"/>
      <c r="G10" s="103" t="s">
        <v>93</v>
      </c>
      <c r="H10" s="104"/>
      <c r="I10" s="52">
        <v>20</v>
      </c>
      <c r="J10" s="54">
        <v>1</v>
      </c>
      <c r="K10" s="31" t="s">
        <v>350</v>
      </c>
    </row>
    <row r="11" spans="1:11" s="1" customFormat="1" ht="29.25" customHeight="1" x14ac:dyDescent="0.25">
      <c r="A11" s="3" t="s">
        <v>4</v>
      </c>
      <c r="B11" s="30" t="s">
        <v>352</v>
      </c>
      <c r="C11" s="103" t="s">
        <v>358</v>
      </c>
      <c r="D11" s="104"/>
      <c r="E11" s="105" t="s">
        <v>92</v>
      </c>
      <c r="F11" s="104"/>
      <c r="G11" s="103" t="s">
        <v>93</v>
      </c>
      <c r="H11" s="104"/>
      <c r="I11" s="52">
        <v>100</v>
      </c>
      <c r="J11" s="127">
        <v>1</v>
      </c>
      <c r="K11" s="31" t="s">
        <v>353</v>
      </c>
    </row>
    <row r="12" spans="1:11" s="1" customFormat="1" ht="29.25" customHeight="1" x14ac:dyDescent="0.25">
      <c r="A12" s="3" t="s">
        <v>5</v>
      </c>
      <c r="B12" s="30" t="s">
        <v>352</v>
      </c>
      <c r="C12" s="103" t="s">
        <v>358</v>
      </c>
      <c r="D12" s="104"/>
      <c r="E12" s="105" t="s">
        <v>92</v>
      </c>
      <c r="F12" s="104"/>
      <c r="G12" s="103" t="s">
        <v>266</v>
      </c>
      <c r="H12" s="104"/>
      <c r="I12" s="52">
        <v>100</v>
      </c>
      <c r="J12" s="128"/>
      <c r="K12" s="31" t="s">
        <v>272</v>
      </c>
    </row>
    <row r="13" spans="1:11" s="1" customFormat="1" ht="29.25" customHeight="1" x14ac:dyDescent="0.25">
      <c r="A13" s="3" t="s">
        <v>6</v>
      </c>
      <c r="B13" s="39" t="s">
        <v>354</v>
      </c>
      <c r="C13" s="103" t="s">
        <v>359</v>
      </c>
      <c r="D13" s="104"/>
      <c r="E13" s="105" t="s">
        <v>92</v>
      </c>
      <c r="F13" s="104"/>
      <c r="G13" s="103" t="s">
        <v>93</v>
      </c>
      <c r="H13" s="104"/>
      <c r="I13" s="52">
        <v>300</v>
      </c>
      <c r="J13" s="54">
        <v>1</v>
      </c>
      <c r="K13" s="31" t="s">
        <v>355</v>
      </c>
    </row>
    <row r="14" spans="1:11" s="1" customFormat="1" ht="33" customHeight="1" x14ac:dyDescent="0.25">
      <c r="A14" s="118" t="s">
        <v>7</v>
      </c>
      <c r="B14" s="118"/>
      <c r="C14" s="118"/>
      <c r="D14" s="118"/>
      <c r="E14" s="118"/>
      <c r="F14" s="118"/>
      <c r="G14" s="118"/>
      <c r="H14" s="118"/>
      <c r="I14" s="9">
        <f>SUM(I9:I9)</f>
        <v>5</v>
      </c>
      <c r="J14" s="9">
        <f>SUM(J9:J9)</f>
        <v>1</v>
      </c>
      <c r="K14" s="118" t="s">
        <v>651</v>
      </c>
    </row>
    <row r="15" spans="1:11" s="1" customFormat="1" ht="16.5" x14ac:dyDescent="0.25">
      <c r="A15" s="121" t="s">
        <v>19</v>
      </c>
      <c r="B15" s="121"/>
      <c r="C15" s="121"/>
      <c r="D15" s="121"/>
      <c r="E15" s="121"/>
      <c r="F15" s="121"/>
      <c r="G15" s="121"/>
      <c r="H15" s="121"/>
      <c r="I15" s="121">
        <f>I14</f>
        <v>5</v>
      </c>
      <c r="J15" s="118">
        <f>J14</f>
        <v>1</v>
      </c>
      <c r="K15" s="118"/>
    </row>
    <row r="16" spans="1:11" ht="15" customHeight="1" x14ac:dyDescent="0.25">
      <c r="A16" s="121"/>
      <c r="B16" s="121"/>
      <c r="C16" s="121"/>
      <c r="D16" s="121"/>
      <c r="E16" s="121"/>
      <c r="F16" s="121"/>
      <c r="G16" s="121"/>
      <c r="H16" s="121"/>
      <c r="I16" s="121"/>
      <c r="J16" s="118"/>
      <c r="K16" s="118"/>
    </row>
    <row r="18" spans="1:11" x14ac:dyDescent="0.25">
      <c r="B18" s="10" t="s">
        <v>62</v>
      </c>
      <c r="H18" t="s">
        <v>23</v>
      </c>
    </row>
    <row r="19" spans="1:11" ht="101.25" customHeight="1" x14ac:dyDescent="0.25">
      <c r="B19" s="10"/>
    </row>
    <row r="20" spans="1:11" s="1" customFormat="1" ht="16.5" x14ac:dyDescent="0.25"/>
    <row r="21" spans="1:11" s="1" customFormat="1" ht="20.25" x14ac:dyDescent="0.3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1:11" s="1" customFormat="1" ht="20.25" x14ac:dyDescent="0.3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</row>
    <row r="23" spans="1:11" s="1" customFormat="1" ht="20.2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</row>
    <row r="24" spans="1:11" s="1" customFormat="1" ht="16.5" x14ac:dyDescent="0.25"/>
    <row r="25" spans="1:11" s="1" customFormat="1" ht="16.5" x14ac:dyDescent="0.25"/>
    <row r="26" spans="1:11" s="1" customFormat="1" ht="19.5" customHeight="1" x14ac:dyDescent="0.25"/>
    <row r="27" spans="1:11" s="1" customFormat="1" ht="30.75" customHeight="1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21"/>
    </row>
    <row r="31" spans="1:11" s="1" customFormat="1" ht="35.25" customHeight="1" x14ac:dyDescent="0.25">
      <c r="A31" s="18"/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1" s="1" customFormat="1" ht="35.25" customHeight="1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</row>
    <row r="33" spans="1:11" s="1" customFormat="1" ht="16.5" x14ac:dyDescent="0.25">
      <c r="A33" s="100"/>
      <c r="B33" s="101"/>
      <c r="C33" s="11"/>
      <c r="D33" s="11"/>
      <c r="E33" s="11"/>
      <c r="F33" s="11"/>
      <c r="G33" s="11"/>
      <c r="H33" s="5"/>
      <c r="I33" s="5"/>
      <c r="J33" s="5"/>
      <c r="K33" s="5"/>
    </row>
    <row r="34" spans="1:11" s="1" customFormat="1" ht="16.5" x14ac:dyDescent="0.25">
      <c r="J34" s="102"/>
      <c r="K34" s="102"/>
    </row>
  </sheetData>
  <mergeCells count="30">
    <mergeCell ref="E12:F12"/>
    <mergeCell ref="E13:F13"/>
    <mergeCell ref="G10:H10"/>
    <mergeCell ref="G11:H11"/>
    <mergeCell ref="G12:H12"/>
    <mergeCell ref="G13:H13"/>
    <mergeCell ref="A22:K22"/>
    <mergeCell ref="A33:B33"/>
    <mergeCell ref="J34:K34"/>
    <mergeCell ref="C10:D10"/>
    <mergeCell ref="C11:D11"/>
    <mergeCell ref="C12:D12"/>
    <mergeCell ref="C13:D13"/>
    <mergeCell ref="E10:F10"/>
    <mergeCell ref="E11:F11"/>
    <mergeCell ref="A14:H14"/>
    <mergeCell ref="K14:K16"/>
    <mergeCell ref="A15:H16"/>
    <mergeCell ref="I15:I16"/>
    <mergeCell ref="J15:J16"/>
    <mergeCell ref="A21:K21"/>
    <mergeCell ref="J11:J12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99102298-9445-4555-8C44-1644B768F760}"/>
  </hyperlinks>
  <pageMargins left="0.25" right="0.25" top="0.17" bottom="0.17" header="0.3" footer="0.2"/>
  <pageSetup paperSize="9" scale="79" fitToHeight="0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98E53-0DE9-4449-BFC7-124087922A2A}">
  <sheetPr codeName="Sheet45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45857</v>
      </c>
    </row>
    <row r="6" spans="1:11" s="1" customFormat="1" ht="16.5" x14ac:dyDescent="0.25">
      <c r="A6" s="1" t="s">
        <v>78</v>
      </c>
      <c r="D6" s="1" t="s">
        <v>190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30" t="s">
        <v>193</v>
      </c>
      <c r="C9" s="103" t="s">
        <v>362</v>
      </c>
      <c r="D9" s="104"/>
      <c r="E9" s="105" t="s">
        <v>92</v>
      </c>
      <c r="F9" s="104"/>
      <c r="G9" s="103" t="s">
        <v>93</v>
      </c>
      <c r="H9" s="104"/>
      <c r="I9" s="52">
        <v>500</v>
      </c>
      <c r="J9" s="54">
        <v>1</v>
      </c>
      <c r="K9" s="55" t="s">
        <v>360</v>
      </c>
    </row>
    <row r="10" spans="1:11" s="1" customFormat="1" ht="29.25" customHeight="1" x14ac:dyDescent="0.25">
      <c r="A10" s="3" t="s">
        <v>3</v>
      </c>
      <c r="B10" s="30" t="s">
        <v>193</v>
      </c>
      <c r="C10" s="103" t="s">
        <v>363</v>
      </c>
      <c r="D10" s="104"/>
      <c r="E10" s="105" t="s">
        <v>92</v>
      </c>
      <c r="F10" s="104"/>
      <c r="G10" s="103" t="s">
        <v>93</v>
      </c>
      <c r="H10" s="104"/>
      <c r="I10" s="52">
        <v>500</v>
      </c>
      <c r="J10" s="54">
        <v>1</v>
      </c>
      <c r="K10" s="55" t="s">
        <v>361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1000</v>
      </c>
      <c r="J11" s="9">
        <f>SUM(J9:J10)</f>
        <v>2</v>
      </c>
      <c r="K11" s="118" t="s">
        <v>651</v>
      </c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1000</v>
      </c>
      <c r="J12" s="118">
        <f>J11</f>
        <v>2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A19:K19"/>
    <mergeCell ref="A30:B30"/>
    <mergeCell ref="J31:K31"/>
    <mergeCell ref="A11:H11"/>
    <mergeCell ref="K11:K13"/>
    <mergeCell ref="A12:H13"/>
    <mergeCell ref="I12:I13"/>
    <mergeCell ref="J12:J13"/>
    <mergeCell ref="A18:K18"/>
    <mergeCell ref="C10:D10"/>
    <mergeCell ref="E10:F10"/>
    <mergeCell ref="G10:H10"/>
    <mergeCell ref="A2:K2"/>
    <mergeCell ref="A3:K3"/>
    <mergeCell ref="C8:D8"/>
    <mergeCell ref="E8:F8"/>
    <mergeCell ref="G8:H8"/>
    <mergeCell ref="C9:D9"/>
    <mergeCell ref="E9:F9"/>
    <mergeCell ref="G9:H9"/>
  </mergeCells>
  <phoneticPr fontId="21" type="noConversion"/>
  <hyperlinks>
    <hyperlink ref="D5" location="'Muc Luc'!A1" display="Mr Cường" xr:uid="{8F81B258-8F24-4926-BB69-ACB7541322D8}"/>
  </hyperlinks>
  <pageMargins left="0.25" right="0.25" top="0.17" bottom="0.17" header="0.3" footer="0.2"/>
  <pageSetup paperSize="9" scale="79" fitToHeight="0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0F6DA-47D5-4BFC-938D-5FE580909770}">
  <sheetPr codeName="Sheet46">
    <pageSetUpPr fitToPage="1"/>
  </sheetPr>
  <dimension ref="A1:K32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45859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27" t="s">
        <v>169</v>
      </c>
      <c r="C9" s="103" t="s">
        <v>369</v>
      </c>
      <c r="D9" s="104"/>
      <c r="E9" s="105" t="s">
        <v>92</v>
      </c>
      <c r="F9" s="104"/>
      <c r="G9" s="103" t="s">
        <v>93</v>
      </c>
      <c r="H9" s="104"/>
      <c r="I9" s="52">
        <v>200</v>
      </c>
      <c r="J9" s="54">
        <v>1</v>
      </c>
      <c r="K9" s="31" t="s">
        <v>368</v>
      </c>
    </row>
    <row r="10" spans="1:11" s="1" customFormat="1" ht="29.25" customHeight="1" x14ac:dyDescent="0.25">
      <c r="A10" s="3" t="s">
        <v>3</v>
      </c>
      <c r="B10" s="40" t="s">
        <v>366</v>
      </c>
      <c r="C10" s="103" t="s">
        <v>370</v>
      </c>
      <c r="D10" s="104"/>
      <c r="E10" s="105" t="s">
        <v>17</v>
      </c>
      <c r="F10" s="104"/>
      <c r="G10" s="103" t="s">
        <v>93</v>
      </c>
      <c r="H10" s="104"/>
      <c r="I10" s="52">
        <v>100</v>
      </c>
      <c r="J10" s="54">
        <v>1</v>
      </c>
      <c r="K10" s="31" t="s">
        <v>367</v>
      </c>
    </row>
    <row r="11" spans="1:11" s="1" customFormat="1" ht="29.25" customHeight="1" x14ac:dyDescent="0.25">
      <c r="A11" s="3" t="s">
        <v>4</v>
      </c>
      <c r="B11" s="29" t="s">
        <v>364</v>
      </c>
      <c r="C11" s="103" t="s">
        <v>371</v>
      </c>
      <c r="D11" s="104"/>
      <c r="E11" s="105" t="s">
        <v>92</v>
      </c>
      <c r="F11" s="104"/>
      <c r="G11" s="103" t="s">
        <v>93</v>
      </c>
      <c r="H11" s="104"/>
      <c r="I11" s="52">
        <v>100</v>
      </c>
      <c r="J11" s="54">
        <v>1</v>
      </c>
      <c r="K11" s="31" t="s">
        <v>365</v>
      </c>
    </row>
    <row r="12" spans="1:11" s="1" customFormat="1" ht="33" customHeight="1" x14ac:dyDescent="0.25">
      <c r="A12" s="118" t="s">
        <v>7</v>
      </c>
      <c r="B12" s="118"/>
      <c r="C12" s="118"/>
      <c r="D12" s="118"/>
      <c r="E12" s="118"/>
      <c r="F12" s="118"/>
      <c r="G12" s="118"/>
      <c r="H12" s="118"/>
      <c r="I12" s="9">
        <f>SUM(I9:I11)</f>
        <v>400</v>
      </c>
      <c r="J12" s="9">
        <f>SUM(J9:J11)</f>
        <v>3</v>
      </c>
      <c r="K12" s="118" t="s">
        <v>651</v>
      </c>
    </row>
    <row r="13" spans="1:11" s="1" customFormat="1" ht="16.5" x14ac:dyDescent="0.25">
      <c r="A13" s="121" t="s">
        <v>19</v>
      </c>
      <c r="B13" s="121"/>
      <c r="C13" s="121"/>
      <c r="D13" s="121"/>
      <c r="E13" s="121"/>
      <c r="F13" s="121"/>
      <c r="G13" s="121"/>
      <c r="H13" s="121"/>
      <c r="I13" s="121">
        <f>I12</f>
        <v>400</v>
      </c>
      <c r="J13" s="118">
        <f>J12</f>
        <v>3</v>
      </c>
      <c r="K13" s="118"/>
    </row>
    <row r="14" spans="1:11" ht="15" customHeight="1" x14ac:dyDescent="0.25">
      <c r="A14" s="121"/>
      <c r="B14" s="121"/>
      <c r="C14" s="121"/>
      <c r="D14" s="121"/>
      <c r="E14" s="121"/>
      <c r="F14" s="121"/>
      <c r="G14" s="121"/>
      <c r="H14" s="121"/>
      <c r="I14" s="121"/>
      <c r="J14" s="118"/>
      <c r="K14" s="118"/>
    </row>
    <row r="16" spans="1:11" x14ac:dyDescent="0.25">
      <c r="B16" s="10" t="s">
        <v>62</v>
      </c>
      <c r="H16" t="s">
        <v>23</v>
      </c>
    </row>
    <row r="17" spans="1:11" ht="101.25" customHeight="1" x14ac:dyDescent="0.25">
      <c r="B17" s="10"/>
    </row>
    <row r="18" spans="1:11" s="1" customFormat="1" ht="16.5" x14ac:dyDescent="0.25"/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</row>
    <row r="22" spans="1:11" s="1" customFormat="1" ht="16.5" x14ac:dyDescent="0.25"/>
    <row r="23" spans="1:11" s="1" customFormat="1" ht="16.5" x14ac:dyDescent="0.25"/>
    <row r="24" spans="1:11" s="1" customFormat="1" ht="19.5" customHeight="1" x14ac:dyDescent="0.25"/>
    <row r="25" spans="1:11" s="1" customFormat="1" ht="30.75" customHeight="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18"/>
      <c r="B29" s="19"/>
      <c r="C29" s="19"/>
      <c r="D29" s="19"/>
      <c r="E29" s="19"/>
      <c r="F29" s="19"/>
      <c r="G29" s="19"/>
      <c r="H29" s="19"/>
      <c r="I29" s="19"/>
      <c r="J29" s="19"/>
      <c r="K29" s="19"/>
    </row>
    <row r="30" spans="1:11" s="1" customFormat="1" ht="35.25" customHeight="1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s="1" customFormat="1" ht="16.5" x14ac:dyDescent="0.25">
      <c r="A31" s="100"/>
      <c r="B31" s="101"/>
      <c r="C31" s="11"/>
      <c r="D31" s="11"/>
      <c r="E31" s="11"/>
      <c r="F31" s="11"/>
      <c r="G31" s="11"/>
      <c r="H31" s="5"/>
      <c r="I31" s="5"/>
      <c r="J31" s="5"/>
      <c r="K31" s="5"/>
    </row>
    <row r="32" spans="1:11" s="1" customFormat="1" ht="16.5" x14ac:dyDescent="0.25">
      <c r="J32" s="102"/>
      <c r="K32" s="102"/>
    </row>
  </sheetData>
  <mergeCells count="23">
    <mergeCell ref="C9:D9"/>
    <mergeCell ref="E9:F9"/>
    <mergeCell ref="G9:H9"/>
    <mergeCell ref="A2:K2"/>
    <mergeCell ref="A3:K3"/>
    <mergeCell ref="C8:D8"/>
    <mergeCell ref="E8:F8"/>
    <mergeCell ref="G8:H8"/>
    <mergeCell ref="C10:D10"/>
    <mergeCell ref="E10:F10"/>
    <mergeCell ref="G10:H10"/>
    <mergeCell ref="A12:H12"/>
    <mergeCell ref="K12:K14"/>
    <mergeCell ref="A13:H14"/>
    <mergeCell ref="I13:I14"/>
    <mergeCell ref="J13:J14"/>
    <mergeCell ref="A19:K19"/>
    <mergeCell ref="A20:K20"/>
    <mergeCell ref="A31:B31"/>
    <mergeCell ref="J32:K32"/>
    <mergeCell ref="C11:D11"/>
    <mergeCell ref="E11:F11"/>
    <mergeCell ref="G11:H11"/>
  </mergeCells>
  <phoneticPr fontId="21" type="noConversion"/>
  <hyperlinks>
    <hyperlink ref="D5" location="'Muc Luc'!A1" display="Mr Cường" xr:uid="{62BB88E4-78BE-483E-87D8-58C53337F12B}"/>
  </hyperlinks>
  <pageMargins left="0.25" right="0.25" top="0.17" bottom="0.17" header="0.3" footer="0.2"/>
  <pageSetup paperSize="9" scale="79" fitToHeight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E6DD9-2472-4341-924A-E288E0C78947}">
  <sheetPr codeName="Sheet47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45861</v>
      </c>
    </row>
    <row r="6" spans="1:11" s="1" customFormat="1" ht="16.5" x14ac:dyDescent="0.25">
      <c r="A6" s="1" t="s">
        <v>78</v>
      </c>
      <c r="D6" s="1" t="s">
        <v>136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30" t="s">
        <v>138</v>
      </c>
      <c r="C9" s="103" t="s">
        <v>373</v>
      </c>
      <c r="D9" s="104"/>
      <c r="E9" s="105" t="s">
        <v>92</v>
      </c>
      <c r="F9" s="104"/>
      <c r="G9" s="103" t="s">
        <v>93</v>
      </c>
      <c r="H9" s="104"/>
      <c r="I9" s="52">
        <v>400</v>
      </c>
      <c r="J9" s="54">
        <v>1</v>
      </c>
      <c r="K9" s="31" t="s">
        <v>372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400</v>
      </c>
      <c r="J10" s="9">
        <f>SUM(J9:J9)</f>
        <v>1</v>
      </c>
      <c r="K10" s="118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400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DA64E4D3-C31C-48B8-8C48-3AC86673407F}"/>
  </hyperlinks>
  <pageMargins left="0.25" right="0.25" top="0.17" bottom="0.17" header="0.3" footer="0.2"/>
  <pageSetup paperSize="9" scale="79" fitToHeight="0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E2FF0-A0F4-4538-AF1B-5BF6CDA41A83}">
  <sheetPr codeName="Sheet48">
    <pageSetUpPr fitToPage="1"/>
  </sheetPr>
  <dimension ref="A1:K32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45890</v>
      </c>
    </row>
    <row r="6" spans="1:11" s="1" customFormat="1" ht="16.5" x14ac:dyDescent="0.25">
      <c r="A6" s="1" t="s">
        <v>78</v>
      </c>
      <c r="D6" s="1" t="s">
        <v>108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27" t="s">
        <v>374</v>
      </c>
      <c r="C9" s="103" t="s">
        <v>380</v>
      </c>
      <c r="D9" s="104"/>
      <c r="E9" s="105" t="s">
        <v>375</v>
      </c>
      <c r="F9" s="104"/>
      <c r="G9" s="103" t="s">
        <v>376</v>
      </c>
      <c r="H9" s="104"/>
      <c r="I9" s="52">
        <v>200</v>
      </c>
      <c r="J9" s="54">
        <v>1</v>
      </c>
      <c r="K9" s="31" t="s">
        <v>377</v>
      </c>
    </row>
    <row r="10" spans="1:11" s="1" customFormat="1" ht="29.25" customHeight="1" x14ac:dyDescent="0.25">
      <c r="A10" s="3" t="s">
        <v>3</v>
      </c>
      <c r="B10" s="56" t="s">
        <v>378</v>
      </c>
      <c r="C10" s="103" t="s">
        <v>381</v>
      </c>
      <c r="D10" s="104"/>
      <c r="E10" s="105" t="s">
        <v>17</v>
      </c>
      <c r="F10" s="104"/>
      <c r="G10" s="103" t="s">
        <v>376</v>
      </c>
      <c r="H10" s="104"/>
      <c r="I10" s="52">
        <v>300</v>
      </c>
      <c r="J10" s="54">
        <v>1</v>
      </c>
      <c r="K10" s="31" t="s">
        <v>379</v>
      </c>
    </row>
    <row r="11" spans="1:11" s="1" customFormat="1" ht="29.25" customHeight="1" x14ac:dyDescent="0.25">
      <c r="A11" s="3" t="s">
        <v>4</v>
      </c>
      <c r="B11" s="30" t="s">
        <v>405</v>
      </c>
      <c r="C11" s="103" t="s">
        <v>407</v>
      </c>
      <c r="D11" s="104"/>
      <c r="E11" s="105" t="s">
        <v>17</v>
      </c>
      <c r="F11" s="104"/>
      <c r="G11" s="103" t="s">
        <v>376</v>
      </c>
      <c r="H11" s="104"/>
      <c r="I11" s="52">
        <v>100</v>
      </c>
      <c r="J11" s="54">
        <v>1</v>
      </c>
      <c r="K11" s="31" t="s">
        <v>406</v>
      </c>
    </row>
    <row r="12" spans="1:11" s="1" customFormat="1" ht="33" customHeight="1" x14ac:dyDescent="0.25">
      <c r="A12" s="118" t="s">
        <v>7</v>
      </c>
      <c r="B12" s="118"/>
      <c r="C12" s="118"/>
      <c r="D12" s="118"/>
      <c r="E12" s="118"/>
      <c r="F12" s="118"/>
      <c r="G12" s="118"/>
      <c r="H12" s="118"/>
      <c r="I12" s="9">
        <f>SUM(I9:I11)</f>
        <v>600</v>
      </c>
      <c r="J12" s="9">
        <f>SUM(J9:J11)</f>
        <v>3</v>
      </c>
      <c r="K12" s="118"/>
    </row>
    <row r="13" spans="1:11" s="1" customFormat="1" ht="16.5" x14ac:dyDescent="0.25">
      <c r="A13" s="121" t="s">
        <v>19</v>
      </c>
      <c r="B13" s="121"/>
      <c r="C13" s="121"/>
      <c r="D13" s="121"/>
      <c r="E13" s="121"/>
      <c r="F13" s="121"/>
      <c r="G13" s="121"/>
      <c r="H13" s="121"/>
      <c r="I13" s="121">
        <f>I12</f>
        <v>600</v>
      </c>
      <c r="J13" s="118">
        <f>J12</f>
        <v>3</v>
      </c>
      <c r="K13" s="118"/>
    </row>
    <row r="14" spans="1:11" ht="15" customHeight="1" x14ac:dyDescent="0.25">
      <c r="A14" s="121"/>
      <c r="B14" s="121"/>
      <c r="C14" s="121"/>
      <c r="D14" s="121"/>
      <c r="E14" s="121"/>
      <c r="F14" s="121"/>
      <c r="G14" s="121"/>
      <c r="H14" s="121"/>
      <c r="I14" s="121"/>
      <c r="J14" s="118"/>
      <c r="K14" s="118"/>
    </row>
    <row r="16" spans="1:11" x14ac:dyDescent="0.25">
      <c r="B16" s="10" t="s">
        <v>62</v>
      </c>
      <c r="H16" t="s">
        <v>23</v>
      </c>
    </row>
    <row r="17" spans="1:11" ht="101.25" customHeight="1" x14ac:dyDescent="0.25">
      <c r="B17" s="10"/>
    </row>
    <row r="18" spans="1:11" s="1" customFormat="1" ht="16.5" x14ac:dyDescent="0.25"/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</row>
    <row r="22" spans="1:11" s="1" customFormat="1" ht="16.5" x14ac:dyDescent="0.25"/>
    <row r="23" spans="1:11" s="1" customFormat="1" ht="16.5" x14ac:dyDescent="0.25"/>
    <row r="24" spans="1:11" s="1" customFormat="1" ht="19.5" customHeight="1" x14ac:dyDescent="0.25"/>
    <row r="25" spans="1:11" s="1" customFormat="1" ht="30.75" customHeight="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18"/>
      <c r="B29" s="19"/>
      <c r="C29" s="19"/>
      <c r="D29" s="19"/>
      <c r="E29" s="19"/>
      <c r="F29" s="19"/>
      <c r="G29" s="19"/>
      <c r="H29" s="19"/>
      <c r="I29" s="19"/>
      <c r="J29" s="19"/>
      <c r="K29" s="19"/>
    </row>
    <row r="30" spans="1:11" s="1" customFormat="1" ht="35.25" customHeight="1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s="1" customFormat="1" ht="16.5" x14ac:dyDescent="0.25">
      <c r="A31" s="100"/>
      <c r="B31" s="101"/>
      <c r="C31" s="11"/>
      <c r="D31" s="11"/>
      <c r="E31" s="11"/>
      <c r="F31" s="11"/>
      <c r="G31" s="11"/>
      <c r="H31" s="5"/>
      <c r="I31" s="5"/>
      <c r="J31" s="5"/>
      <c r="K31" s="5"/>
    </row>
    <row r="32" spans="1:11" s="1" customFormat="1" ht="16.5" x14ac:dyDescent="0.25">
      <c r="J32" s="102"/>
      <c r="K32" s="102"/>
    </row>
  </sheetData>
  <mergeCells count="23">
    <mergeCell ref="C9:D9"/>
    <mergeCell ref="E9:F9"/>
    <mergeCell ref="G9:H9"/>
    <mergeCell ref="A2:K2"/>
    <mergeCell ref="A3:K3"/>
    <mergeCell ref="C8:D8"/>
    <mergeCell ref="E8:F8"/>
    <mergeCell ref="G8:H8"/>
    <mergeCell ref="A20:K20"/>
    <mergeCell ref="A31:B31"/>
    <mergeCell ref="J32:K32"/>
    <mergeCell ref="C10:D10"/>
    <mergeCell ref="E10:F10"/>
    <mergeCell ref="G10:H10"/>
    <mergeCell ref="A12:H12"/>
    <mergeCell ref="K12:K14"/>
    <mergeCell ref="A13:H14"/>
    <mergeCell ref="I13:I14"/>
    <mergeCell ref="J13:J14"/>
    <mergeCell ref="A19:K19"/>
    <mergeCell ref="C11:D11"/>
    <mergeCell ref="E11:F11"/>
    <mergeCell ref="G11:H11"/>
  </mergeCells>
  <phoneticPr fontId="21" type="noConversion"/>
  <hyperlinks>
    <hyperlink ref="D5" location="'Muc Luc'!A1" display="Mr Cường" xr:uid="{195C66FB-C153-4E25-ACFB-421FD47B03F0}"/>
  </hyperlinks>
  <pageMargins left="0.25" right="0.25" top="0.17" bottom="0.17" header="0.3" footer="0.2"/>
  <pageSetup paperSize="9" scale="79" fitToHeight="0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B21E4-3DC1-4F1E-A7B0-896759CA6F86}">
  <sheetPr codeName="Sheet49">
    <pageSetUpPr fitToPage="1"/>
  </sheetPr>
  <dimension ref="A1:K34"/>
  <sheetViews>
    <sheetView zoomScaleNormal="100" workbookViewId="0">
      <selection activeCell="K12" sqref="K12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45867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29" t="s">
        <v>210</v>
      </c>
      <c r="C9" s="103" t="s">
        <v>384</v>
      </c>
      <c r="D9" s="104"/>
      <c r="E9" s="105" t="s">
        <v>92</v>
      </c>
      <c r="F9" s="104"/>
      <c r="G9" s="103" t="s">
        <v>93</v>
      </c>
      <c r="H9" s="104"/>
      <c r="I9" s="52">
        <v>340</v>
      </c>
      <c r="J9" s="54">
        <v>1</v>
      </c>
      <c r="K9" s="31" t="s">
        <v>386</v>
      </c>
    </row>
    <row r="10" spans="1:11" s="1" customFormat="1" ht="29.25" customHeight="1" x14ac:dyDescent="0.25">
      <c r="A10" s="3" t="s">
        <v>3</v>
      </c>
      <c r="B10" s="29" t="s">
        <v>210</v>
      </c>
      <c r="C10" s="103" t="s">
        <v>385</v>
      </c>
      <c r="D10" s="104"/>
      <c r="E10" s="105" t="s">
        <v>92</v>
      </c>
      <c r="F10" s="104"/>
      <c r="G10" s="103" t="s">
        <v>93</v>
      </c>
      <c r="H10" s="104"/>
      <c r="I10" s="52">
        <v>340</v>
      </c>
      <c r="J10" s="54">
        <v>1</v>
      </c>
      <c r="K10" s="31" t="s">
        <v>387</v>
      </c>
    </row>
    <row r="11" spans="1:11" s="1" customFormat="1" ht="29.25" customHeight="1" x14ac:dyDescent="0.25">
      <c r="A11" s="3" t="s">
        <v>4</v>
      </c>
      <c r="B11" s="26" t="s">
        <v>382</v>
      </c>
      <c r="C11" s="103" t="s">
        <v>388</v>
      </c>
      <c r="D11" s="104"/>
      <c r="E11" s="105" t="s">
        <v>92</v>
      </c>
      <c r="F11" s="104"/>
      <c r="G11" s="103" t="s">
        <v>93</v>
      </c>
      <c r="H11" s="104"/>
      <c r="I11" s="52">
        <v>200</v>
      </c>
      <c r="J11" s="54">
        <v>1</v>
      </c>
      <c r="K11" s="31" t="s">
        <v>383</v>
      </c>
    </row>
    <row r="12" spans="1:11" s="1" customFormat="1" ht="29.25" customHeight="1" x14ac:dyDescent="0.25">
      <c r="A12" s="3" t="s">
        <v>5</v>
      </c>
      <c r="B12" s="42" t="s">
        <v>216</v>
      </c>
      <c r="C12" s="103" t="s">
        <v>389</v>
      </c>
      <c r="D12" s="104"/>
      <c r="E12" s="105" t="s">
        <v>214</v>
      </c>
      <c r="F12" s="104"/>
      <c r="G12" s="103" t="s">
        <v>215</v>
      </c>
      <c r="H12" s="104"/>
      <c r="I12" s="52">
        <v>5</v>
      </c>
      <c r="J12" s="127">
        <v>1</v>
      </c>
      <c r="K12" s="31" t="s">
        <v>390</v>
      </c>
    </row>
    <row r="13" spans="1:11" s="1" customFormat="1" ht="29.25" customHeight="1" x14ac:dyDescent="0.25">
      <c r="A13" s="3" t="s">
        <v>6</v>
      </c>
      <c r="B13" s="42" t="s">
        <v>216</v>
      </c>
      <c r="C13" s="103" t="s">
        <v>218</v>
      </c>
      <c r="D13" s="104"/>
      <c r="E13" s="105" t="s">
        <v>214</v>
      </c>
      <c r="F13" s="104"/>
      <c r="G13" s="103" t="s">
        <v>215</v>
      </c>
      <c r="H13" s="104"/>
      <c r="I13" s="52">
        <v>30</v>
      </c>
      <c r="J13" s="128"/>
      <c r="K13" s="31" t="s">
        <v>391</v>
      </c>
    </row>
    <row r="14" spans="1:11" s="1" customFormat="1" ht="33" customHeight="1" x14ac:dyDescent="0.25">
      <c r="A14" s="118" t="s">
        <v>7</v>
      </c>
      <c r="B14" s="118"/>
      <c r="C14" s="118"/>
      <c r="D14" s="118"/>
      <c r="E14" s="118"/>
      <c r="F14" s="118"/>
      <c r="G14" s="118"/>
      <c r="H14" s="118"/>
      <c r="I14" s="9">
        <f>SUM(I9:I13)</f>
        <v>915</v>
      </c>
      <c r="J14" s="9">
        <f>SUM(J9:J13)</f>
        <v>4</v>
      </c>
      <c r="K14" s="118" t="s">
        <v>651</v>
      </c>
    </row>
    <row r="15" spans="1:11" s="1" customFormat="1" ht="16.5" x14ac:dyDescent="0.25">
      <c r="A15" s="121" t="s">
        <v>19</v>
      </c>
      <c r="B15" s="121"/>
      <c r="C15" s="121"/>
      <c r="D15" s="121"/>
      <c r="E15" s="121"/>
      <c r="F15" s="121"/>
      <c r="G15" s="121"/>
      <c r="H15" s="121"/>
      <c r="I15" s="121">
        <f>I14</f>
        <v>915</v>
      </c>
      <c r="J15" s="118">
        <f>J14</f>
        <v>4</v>
      </c>
      <c r="K15" s="118"/>
    </row>
    <row r="16" spans="1:11" ht="15" customHeight="1" x14ac:dyDescent="0.25">
      <c r="A16" s="121"/>
      <c r="B16" s="121"/>
      <c r="C16" s="121"/>
      <c r="D16" s="121"/>
      <c r="E16" s="121"/>
      <c r="F16" s="121"/>
      <c r="G16" s="121"/>
      <c r="H16" s="121"/>
      <c r="I16" s="121"/>
      <c r="J16" s="118"/>
      <c r="K16" s="118"/>
    </row>
    <row r="18" spans="1:11" x14ac:dyDescent="0.25">
      <c r="B18" s="10" t="s">
        <v>62</v>
      </c>
      <c r="H18" t="s">
        <v>23</v>
      </c>
    </row>
    <row r="19" spans="1:11" ht="101.25" customHeight="1" x14ac:dyDescent="0.25">
      <c r="B19" s="10"/>
    </row>
    <row r="20" spans="1:11" s="1" customFormat="1" ht="16.5" x14ac:dyDescent="0.25"/>
    <row r="21" spans="1:11" s="1" customFormat="1" ht="20.25" x14ac:dyDescent="0.3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1:11" s="1" customFormat="1" ht="20.25" x14ac:dyDescent="0.3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</row>
    <row r="23" spans="1:11" s="1" customFormat="1" ht="20.2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</row>
    <row r="24" spans="1:11" s="1" customFormat="1" ht="16.5" x14ac:dyDescent="0.25"/>
    <row r="25" spans="1:11" s="1" customFormat="1" ht="16.5" x14ac:dyDescent="0.25"/>
    <row r="26" spans="1:11" s="1" customFormat="1" ht="19.5" customHeight="1" x14ac:dyDescent="0.25"/>
    <row r="27" spans="1:11" s="1" customFormat="1" ht="30.75" customHeight="1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21"/>
    </row>
    <row r="31" spans="1:11" s="1" customFormat="1" ht="35.25" customHeight="1" x14ac:dyDescent="0.25">
      <c r="A31" s="18"/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1" s="1" customFormat="1" ht="35.25" customHeight="1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</row>
    <row r="33" spans="1:11" s="1" customFormat="1" ht="16.5" x14ac:dyDescent="0.25">
      <c r="A33" s="100"/>
      <c r="B33" s="101"/>
      <c r="C33" s="11"/>
      <c r="D33" s="11"/>
      <c r="E33" s="11"/>
      <c r="F33" s="11"/>
      <c r="G33" s="11"/>
      <c r="H33" s="5"/>
      <c r="I33" s="5"/>
      <c r="J33" s="5"/>
      <c r="K33" s="5"/>
    </row>
    <row r="34" spans="1:11" s="1" customFormat="1" ht="16.5" x14ac:dyDescent="0.25">
      <c r="J34" s="102"/>
      <c r="K34" s="102"/>
    </row>
  </sheetData>
  <mergeCells count="30">
    <mergeCell ref="J34:K34"/>
    <mergeCell ref="C11:D11"/>
    <mergeCell ref="C13:D13"/>
    <mergeCell ref="E11:F11"/>
    <mergeCell ref="E13:F13"/>
    <mergeCell ref="G11:H11"/>
    <mergeCell ref="G13:H13"/>
    <mergeCell ref="E12:F12"/>
    <mergeCell ref="J12:J13"/>
    <mergeCell ref="A21:K21"/>
    <mergeCell ref="A22:K22"/>
    <mergeCell ref="A33:B33"/>
    <mergeCell ref="C10:D10"/>
    <mergeCell ref="E10:F10"/>
    <mergeCell ref="G10:H10"/>
    <mergeCell ref="A14:H14"/>
    <mergeCell ref="K14:K16"/>
    <mergeCell ref="A15:H16"/>
    <mergeCell ref="I15:I16"/>
    <mergeCell ref="J15:J16"/>
    <mergeCell ref="G12:H12"/>
    <mergeCell ref="C12:D12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96962E0D-2A22-4465-82FA-17FAB5602129}"/>
  </hyperlinks>
  <pageMargins left="0.25" right="0.25" top="0.17" bottom="0.17" header="0.3" footer="0.2"/>
  <pageSetup paperSize="9" scale="79" fitToHeight="0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BE68A-3F0C-467A-8506-37254193CAD2}">
  <sheetPr codeName="Sheet50">
    <pageSetUpPr fitToPage="1"/>
  </sheetPr>
  <dimension ref="A1:K38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45877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51" t="s">
        <v>393</v>
      </c>
      <c r="C9" s="103" t="s">
        <v>399</v>
      </c>
      <c r="D9" s="104"/>
      <c r="E9" s="105" t="s">
        <v>92</v>
      </c>
      <c r="F9" s="104"/>
      <c r="G9" s="103" t="s">
        <v>93</v>
      </c>
      <c r="H9" s="104"/>
      <c r="I9" s="52">
        <v>110</v>
      </c>
      <c r="J9" s="127">
        <v>1</v>
      </c>
      <c r="K9" s="31" t="s">
        <v>404</v>
      </c>
    </row>
    <row r="10" spans="1:11" s="1" customFormat="1" ht="29.25" customHeight="1" x14ac:dyDescent="0.25">
      <c r="A10" s="3" t="s">
        <v>3</v>
      </c>
      <c r="B10" s="51" t="s">
        <v>393</v>
      </c>
      <c r="C10" s="103" t="s">
        <v>399</v>
      </c>
      <c r="D10" s="104"/>
      <c r="E10" s="105" t="s">
        <v>92</v>
      </c>
      <c r="F10" s="104"/>
      <c r="G10" s="103" t="s">
        <v>266</v>
      </c>
      <c r="H10" s="104"/>
      <c r="I10" s="52">
        <v>110</v>
      </c>
      <c r="J10" s="128"/>
      <c r="K10" s="31" t="s">
        <v>403</v>
      </c>
    </row>
    <row r="11" spans="1:11" s="1" customFormat="1" ht="29.25" customHeight="1" x14ac:dyDescent="0.25">
      <c r="A11" s="3" t="s">
        <v>4</v>
      </c>
      <c r="B11" s="30" t="s">
        <v>394</v>
      </c>
      <c r="C11" s="103" t="s">
        <v>400</v>
      </c>
      <c r="D11" s="104"/>
      <c r="E11" s="105" t="s">
        <v>397</v>
      </c>
      <c r="F11" s="104"/>
      <c r="G11" s="103" t="s">
        <v>231</v>
      </c>
      <c r="H11" s="104"/>
      <c r="I11" s="52">
        <v>200</v>
      </c>
      <c r="J11" s="127">
        <v>1</v>
      </c>
      <c r="K11" s="31" t="s">
        <v>398</v>
      </c>
    </row>
    <row r="12" spans="1:11" s="1" customFormat="1" ht="29.25" customHeight="1" x14ac:dyDescent="0.25">
      <c r="A12" s="3" t="s">
        <v>5</v>
      </c>
      <c r="B12" s="30" t="s">
        <v>395</v>
      </c>
      <c r="C12" s="103" t="s">
        <v>401</v>
      </c>
      <c r="D12" s="104"/>
      <c r="E12" s="105" t="s">
        <v>397</v>
      </c>
      <c r="F12" s="104"/>
      <c r="G12" s="103" t="s">
        <v>231</v>
      </c>
      <c r="H12" s="104"/>
      <c r="I12" s="52">
        <v>200</v>
      </c>
      <c r="J12" s="129"/>
      <c r="K12" s="31" t="s">
        <v>398</v>
      </c>
    </row>
    <row r="13" spans="1:11" s="1" customFormat="1" ht="29.25" customHeight="1" x14ac:dyDescent="0.25">
      <c r="A13" s="3" t="s">
        <v>6</v>
      </c>
      <c r="B13" s="30" t="s">
        <v>396</v>
      </c>
      <c r="C13" s="103" t="s">
        <v>402</v>
      </c>
      <c r="D13" s="104"/>
      <c r="E13" s="105" t="s">
        <v>214</v>
      </c>
      <c r="F13" s="104"/>
      <c r="G13" s="103" t="s">
        <v>231</v>
      </c>
      <c r="H13" s="104"/>
      <c r="I13" s="52">
        <v>200</v>
      </c>
      <c r="J13" s="128"/>
      <c r="K13" s="31" t="s">
        <v>398</v>
      </c>
    </row>
    <row r="14" spans="1:11" s="1" customFormat="1" ht="29.25" customHeight="1" x14ac:dyDescent="0.25">
      <c r="A14" s="3" t="s">
        <v>12</v>
      </c>
      <c r="B14" s="25" t="s">
        <v>157</v>
      </c>
      <c r="C14" s="103" t="s">
        <v>408</v>
      </c>
      <c r="D14" s="104"/>
      <c r="E14" s="105" t="s">
        <v>92</v>
      </c>
      <c r="F14" s="104"/>
      <c r="G14" s="103" t="s">
        <v>93</v>
      </c>
      <c r="H14" s="104"/>
      <c r="I14" s="52">
        <v>100</v>
      </c>
      <c r="J14" s="57">
        <v>1</v>
      </c>
      <c r="K14" s="31" t="s">
        <v>410</v>
      </c>
    </row>
    <row r="15" spans="1:11" s="1" customFormat="1" ht="29.25" customHeight="1" x14ac:dyDescent="0.25">
      <c r="A15" s="3" t="s">
        <v>13</v>
      </c>
      <c r="B15" s="25" t="s">
        <v>157</v>
      </c>
      <c r="C15" s="103" t="s">
        <v>409</v>
      </c>
      <c r="D15" s="104"/>
      <c r="E15" s="105" t="s">
        <v>92</v>
      </c>
      <c r="F15" s="104"/>
      <c r="G15" s="103" t="s">
        <v>93</v>
      </c>
      <c r="H15" s="104"/>
      <c r="I15" s="52">
        <v>100</v>
      </c>
      <c r="J15" s="57">
        <v>1</v>
      </c>
      <c r="K15" s="31" t="s">
        <v>411</v>
      </c>
    </row>
    <row r="16" spans="1:11" s="1" customFormat="1" ht="29.25" customHeight="1" x14ac:dyDescent="0.25">
      <c r="A16" s="3" t="s">
        <v>14</v>
      </c>
      <c r="B16" s="25" t="s">
        <v>157</v>
      </c>
      <c r="C16" s="103" t="s">
        <v>420</v>
      </c>
      <c r="D16" s="104"/>
      <c r="E16" s="105" t="s">
        <v>92</v>
      </c>
      <c r="F16" s="104"/>
      <c r="G16" s="103" t="s">
        <v>93</v>
      </c>
      <c r="H16" s="104"/>
      <c r="I16" s="52">
        <v>100</v>
      </c>
      <c r="J16" s="57">
        <v>1</v>
      </c>
      <c r="K16" s="31" t="s">
        <v>421</v>
      </c>
    </row>
    <row r="17" spans="1:11" s="1" customFormat="1" ht="29.25" customHeight="1" x14ac:dyDescent="0.25">
      <c r="A17" s="3" t="s">
        <v>15</v>
      </c>
      <c r="B17" s="25" t="s">
        <v>157</v>
      </c>
      <c r="C17" s="103" t="s">
        <v>423</v>
      </c>
      <c r="D17" s="104"/>
      <c r="E17" s="105" t="s">
        <v>92</v>
      </c>
      <c r="F17" s="104"/>
      <c r="G17" s="103" t="s">
        <v>93</v>
      </c>
      <c r="H17" s="104"/>
      <c r="I17" s="52">
        <v>100</v>
      </c>
      <c r="J17" s="57">
        <v>1</v>
      </c>
      <c r="K17" s="31" t="s">
        <v>422</v>
      </c>
    </row>
    <row r="18" spans="1:11" s="1" customFormat="1" ht="33" customHeight="1" x14ac:dyDescent="0.25">
      <c r="A18" s="118" t="s">
        <v>7</v>
      </c>
      <c r="B18" s="118"/>
      <c r="C18" s="118"/>
      <c r="D18" s="118"/>
      <c r="E18" s="118"/>
      <c r="F18" s="118"/>
      <c r="G18" s="118"/>
      <c r="H18" s="118"/>
      <c r="I18" s="9">
        <f>SUM(I9:I17)</f>
        <v>1220</v>
      </c>
      <c r="J18" s="9">
        <f>SUM(J9:J17)</f>
        <v>6</v>
      </c>
      <c r="K18" s="118" t="s">
        <v>651</v>
      </c>
    </row>
    <row r="19" spans="1:11" s="1" customFormat="1" ht="16.5" x14ac:dyDescent="0.25">
      <c r="A19" s="121" t="s">
        <v>19</v>
      </c>
      <c r="B19" s="121"/>
      <c r="C19" s="121"/>
      <c r="D19" s="121"/>
      <c r="E19" s="121"/>
      <c r="F19" s="121"/>
      <c r="G19" s="121"/>
      <c r="H19" s="121"/>
      <c r="I19" s="121">
        <f>I18</f>
        <v>1220</v>
      </c>
      <c r="J19" s="118">
        <f>J18</f>
        <v>6</v>
      </c>
      <c r="K19" s="118"/>
    </row>
    <row r="20" spans="1:11" ht="15" customHeight="1" x14ac:dyDescent="0.25">
      <c r="A20" s="121"/>
      <c r="B20" s="121"/>
      <c r="C20" s="121"/>
      <c r="D20" s="121"/>
      <c r="E20" s="121"/>
      <c r="F20" s="121"/>
      <c r="G20" s="121"/>
      <c r="H20" s="121"/>
      <c r="I20" s="121"/>
      <c r="J20" s="118"/>
      <c r="K20" s="118"/>
    </row>
    <row r="22" spans="1:11" x14ac:dyDescent="0.25">
      <c r="B22" s="10" t="s">
        <v>62</v>
      </c>
      <c r="H22" t="s">
        <v>23</v>
      </c>
    </row>
    <row r="23" spans="1:11" ht="101.25" customHeight="1" x14ac:dyDescent="0.25">
      <c r="B23" s="10"/>
    </row>
    <row r="24" spans="1:11" s="1" customFormat="1" ht="16.5" x14ac:dyDescent="0.25"/>
    <row r="25" spans="1:11" s="1" customFormat="1" ht="20.25" x14ac:dyDescent="0.3">
      <c r="A25" s="99"/>
      <c r="B25" s="99"/>
      <c r="C25" s="99"/>
      <c r="D25" s="99"/>
      <c r="E25" s="99"/>
      <c r="F25" s="99"/>
      <c r="G25" s="99"/>
      <c r="H25" s="99"/>
      <c r="I25" s="99"/>
      <c r="J25" s="99"/>
      <c r="K25" s="99"/>
    </row>
    <row r="26" spans="1:11" s="1" customFormat="1" ht="20.25" x14ac:dyDescent="0.3">
      <c r="A26" s="99"/>
      <c r="B26" s="99"/>
      <c r="C26" s="99"/>
      <c r="D26" s="99"/>
      <c r="E26" s="99"/>
      <c r="F26" s="99"/>
      <c r="G26" s="99"/>
      <c r="H26" s="99"/>
      <c r="I26" s="99"/>
      <c r="J26" s="99"/>
      <c r="K26" s="99"/>
    </row>
    <row r="27" spans="1:11" s="1" customFormat="1" ht="20.25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</row>
    <row r="28" spans="1:11" s="1" customFormat="1" ht="16.5" x14ac:dyDescent="0.25"/>
    <row r="29" spans="1:11" s="1" customFormat="1" ht="16.5" x14ac:dyDescent="0.25"/>
    <row r="30" spans="1:11" s="1" customFormat="1" ht="19.5" customHeight="1" x14ac:dyDescent="0.25"/>
    <row r="31" spans="1:11" s="1" customFormat="1" ht="30.75" customHeight="1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</row>
    <row r="32" spans="1:11" s="1" customFormat="1" ht="35.25" customHeight="1" x14ac:dyDescent="0.25">
      <c r="A32" s="21"/>
    </row>
    <row r="33" spans="1:11" s="1" customFormat="1" ht="35.25" customHeight="1" x14ac:dyDescent="0.25">
      <c r="A33" s="21"/>
    </row>
    <row r="34" spans="1:11" s="1" customFormat="1" ht="35.25" customHeight="1" x14ac:dyDescent="0.25">
      <c r="A34" s="21"/>
    </row>
    <row r="35" spans="1:11" s="1" customFormat="1" ht="35.25" customHeight="1" x14ac:dyDescent="0.25">
      <c r="A35" s="18"/>
      <c r="B35" s="19"/>
      <c r="C35" s="19"/>
      <c r="D35" s="19"/>
      <c r="E35" s="19"/>
      <c r="F35" s="19"/>
      <c r="G35" s="19"/>
      <c r="H35" s="19"/>
      <c r="I35" s="19"/>
      <c r="J35" s="19"/>
      <c r="K35" s="19"/>
    </row>
    <row r="36" spans="1:11" s="1" customFormat="1" ht="35.25" customHeight="1" x14ac:dyDescent="0.25">
      <c r="A36" s="3"/>
      <c r="B36" s="4"/>
      <c r="C36" s="4"/>
      <c r="D36" s="4"/>
      <c r="E36" s="4"/>
      <c r="F36" s="4"/>
      <c r="G36" s="4"/>
      <c r="H36" s="4"/>
      <c r="I36" s="4"/>
      <c r="J36" s="4"/>
      <c r="K36" s="4"/>
    </row>
    <row r="37" spans="1:11" s="1" customFormat="1" ht="16.5" x14ac:dyDescent="0.25">
      <c r="A37" s="100"/>
      <c r="B37" s="101"/>
      <c r="C37" s="11"/>
      <c r="D37" s="11"/>
      <c r="E37" s="11"/>
      <c r="F37" s="11"/>
      <c r="G37" s="11"/>
      <c r="H37" s="5"/>
      <c r="I37" s="5"/>
      <c r="J37" s="5"/>
      <c r="K37" s="5"/>
    </row>
    <row r="38" spans="1:11" s="1" customFormat="1" ht="16.5" x14ac:dyDescent="0.25">
      <c r="J38" s="102"/>
      <c r="K38" s="102"/>
    </row>
  </sheetData>
  <mergeCells count="43">
    <mergeCell ref="C9:D9"/>
    <mergeCell ref="E9:F9"/>
    <mergeCell ref="G9:H9"/>
    <mergeCell ref="A2:K2"/>
    <mergeCell ref="A3:K3"/>
    <mergeCell ref="C8:D8"/>
    <mergeCell ref="E8:F8"/>
    <mergeCell ref="G8:H8"/>
    <mergeCell ref="C10:D10"/>
    <mergeCell ref="E10:F10"/>
    <mergeCell ref="G10:H10"/>
    <mergeCell ref="C11:D11"/>
    <mergeCell ref="E11:F11"/>
    <mergeCell ref="G11:H11"/>
    <mergeCell ref="A25:K25"/>
    <mergeCell ref="C12:D12"/>
    <mergeCell ref="E12:F12"/>
    <mergeCell ref="G12:H12"/>
    <mergeCell ref="C13:D13"/>
    <mergeCell ref="E13:F13"/>
    <mergeCell ref="G13:H13"/>
    <mergeCell ref="G15:H15"/>
    <mergeCell ref="C17:D17"/>
    <mergeCell ref="E16:F16"/>
    <mergeCell ref="E17:F17"/>
    <mergeCell ref="G16:H16"/>
    <mergeCell ref="G17:H17"/>
    <mergeCell ref="A26:K26"/>
    <mergeCell ref="A37:B37"/>
    <mergeCell ref="J38:K38"/>
    <mergeCell ref="J9:J10"/>
    <mergeCell ref="J11:J13"/>
    <mergeCell ref="C14:D14"/>
    <mergeCell ref="C15:D15"/>
    <mergeCell ref="E14:F14"/>
    <mergeCell ref="E15:F15"/>
    <mergeCell ref="G14:H14"/>
    <mergeCell ref="A18:H18"/>
    <mergeCell ref="K18:K20"/>
    <mergeCell ref="A19:H20"/>
    <mergeCell ref="I19:I20"/>
    <mergeCell ref="J19:J20"/>
    <mergeCell ref="C16:D16"/>
  </mergeCells>
  <phoneticPr fontId="21" type="noConversion"/>
  <hyperlinks>
    <hyperlink ref="D5" location="'Muc Luc'!A1" display="Mr Cường" xr:uid="{74431169-89E7-4225-9136-049807702CA8}"/>
  </hyperlinks>
  <pageMargins left="0.25" right="0.25" top="0.17" bottom="0.17" header="0.3" footer="0.2"/>
  <pageSetup paperSize="9" scale="78" fitToHeight="0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7E1F2-58DC-4997-A7C4-939C5F1FF692}">
  <sheetPr codeName="Sheet51">
    <pageSetUpPr fitToPage="1"/>
  </sheetPr>
  <dimension ref="A1:K36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45882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27" t="s">
        <v>169</v>
      </c>
      <c r="C9" s="103" t="s">
        <v>414</v>
      </c>
      <c r="D9" s="104"/>
      <c r="E9" s="105" t="s">
        <v>92</v>
      </c>
      <c r="F9" s="104"/>
      <c r="G9" s="103" t="s">
        <v>93</v>
      </c>
      <c r="H9" s="104"/>
      <c r="I9" s="52">
        <v>100</v>
      </c>
      <c r="J9" s="24">
        <v>1</v>
      </c>
      <c r="K9" s="31" t="s">
        <v>417</v>
      </c>
    </row>
    <row r="10" spans="1:11" s="1" customFormat="1" ht="29.25" customHeight="1" x14ac:dyDescent="0.25">
      <c r="A10" s="3" t="s">
        <v>3</v>
      </c>
      <c r="B10" s="27" t="s">
        <v>169</v>
      </c>
      <c r="C10" s="103" t="s">
        <v>415</v>
      </c>
      <c r="D10" s="104"/>
      <c r="E10" s="105" t="s">
        <v>92</v>
      </c>
      <c r="F10" s="104"/>
      <c r="G10" s="103" t="s">
        <v>93</v>
      </c>
      <c r="H10" s="104"/>
      <c r="I10" s="52">
        <v>100</v>
      </c>
      <c r="J10" s="24">
        <v>1</v>
      </c>
      <c r="K10" s="31" t="s">
        <v>418</v>
      </c>
    </row>
    <row r="11" spans="1:11" s="1" customFormat="1" ht="29.25" customHeight="1" x14ac:dyDescent="0.25">
      <c r="A11" s="3" t="s">
        <v>4</v>
      </c>
      <c r="B11" s="27" t="s">
        <v>169</v>
      </c>
      <c r="C11" s="103" t="s">
        <v>416</v>
      </c>
      <c r="D11" s="104"/>
      <c r="E11" s="105" t="s">
        <v>92</v>
      </c>
      <c r="F11" s="104"/>
      <c r="G11" s="103" t="s">
        <v>93</v>
      </c>
      <c r="H11" s="104"/>
      <c r="I11" s="52">
        <v>100</v>
      </c>
      <c r="J11" s="24">
        <v>1</v>
      </c>
      <c r="K11" s="31" t="s">
        <v>419</v>
      </c>
    </row>
    <row r="12" spans="1:11" s="1" customFormat="1" ht="29.25" customHeight="1" x14ac:dyDescent="0.25">
      <c r="A12" s="3" t="s">
        <v>5</v>
      </c>
      <c r="B12" s="27" t="s">
        <v>169</v>
      </c>
      <c r="C12" s="103" t="s">
        <v>427</v>
      </c>
      <c r="D12" s="104"/>
      <c r="E12" s="105" t="s">
        <v>92</v>
      </c>
      <c r="F12" s="104"/>
      <c r="G12" s="103" t="s">
        <v>93</v>
      </c>
      <c r="H12" s="104"/>
      <c r="I12" s="52">
        <v>100</v>
      </c>
      <c r="J12" s="24">
        <v>1</v>
      </c>
      <c r="K12" s="31" t="s">
        <v>429</v>
      </c>
    </row>
    <row r="13" spans="1:11" s="1" customFormat="1" ht="29.25" customHeight="1" x14ac:dyDescent="0.25">
      <c r="A13" s="3" t="s">
        <v>6</v>
      </c>
      <c r="B13" s="27" t="s">
        <v>169</v>
      </c>
      <c r="C13" s="103" t="s">
        <v>428</v>
      </c>
      <c r="D13" s="104"/>
      <c r="E13" s="105" t="s">
        <v>92</v>
      </c>
      <c r="F13" s="104"/>
      <c r="G13" s="103" t="s">
        <v>93</v>
      </c>
      <c r="H13" s="104"/>
      <c r="I13" s="52">
        <v>100</v>
      </c>
      <c r="J13" s="24">
        <v>1</v>
      </c>
      <c r="K13" s="31" t="s">
        <v>430</v>
      </c>
    </row>
    <row r="14" spans="1:11" s="1" customFormat="1" ht="29.25" customHeight="1" x14ac:dyDescent="0.25">
      <c r="A14" s="3" t="s">
        <v>12</v>
      </c>
      <c r="B14" s="26" t="s">
        <v>382</v>
      </c>
      <c r="C14" s="103" t="s">
        <v>431</v>
      </c>
      <c r="D14" s="104"/>
      <c r="E14" s="105" t="s">
        <v>92</v>
      </c>
      <c r="F14" s="104"/>
      <c r="G14" s="103" t="s">
        <v>93</v>
      </c>
      <c r="H14" s="104"/>
      <c r="I14" s="52">
        <v>200</v>
      </c>
      <c r="J14" s="24">
        <v>1</v>
      </c>
      <c r="K14" s="31" t="s">
        <v>433</v>
      </c>
    </row>
    <row r="15" spans="1:11" s="1" customFormat="1" ht="29.25" customHeight="1" x14ac:dyDescent="0.25">
      <c r="A15" s="3" t="s">
        <v>13</v>
      </c>
      <c r="B15" s="26" t="s">
        <v>382</v>
      </c>
      <c r="C15" s="103" t="s">
        <v>432</v>
      </c>
      <c r="D15" s="104"/>
      <c r="E15" s="105" t="s">
        <v>92</v>
      </c>
      <c r="F15" s="104"/>
      <c r="G15" s="103" t="s">
        <v>93</v>
      </c>
      <c r="H15" s="104"/>
      <c r="I15" s="52">
        <v>100</v>
      </c>
      <c r="J15" s="24">
        <v>1</v>
      </c>
      <c r="K15" s="31" t="s">
        <v>434</v>
      </c>
    </row>
    <row r="16" spans="1:11" s="1" customFormat="1" ht="33" customHeight="1" x14ac:dyDescent="0.25">
      <c r="A16" s="118" t="s">
        <v>7</v>
      </c>
      <c r="B16" s="118"/>
      <c r="C16" s="118"/>
      <c r="D16" s="118"/>
      <c r="E16" s="118"/>
      <c r="F16" s="118"/>
      <c r="G16" s="118"/>
      <c r="H16" s="118"/>
      <c r="I16" s="9">
        <f>SUM(I9:I15)</f>
        <v>800</v>
      </c>
      <c r="J16" s="9">
        <f>SUM(J9:J15)</f>
        <v>7</v>
      </c>
      <c r="K16" s="118" t="s">
        <v>651</v>
      </c>
    </row>
    <row r="17" spans="1:11" s="1" customFormat="1" ht="16.5" x14ac:dyDescent="0.25">
      <c r="A17" s="121" t="s">
        <v>19</v>
      </c>
      <c r="B17" s="121"/>
      <c r="C17" s="121"/>
      <c r="D17" s="121"/>
      <c r="E17" s="121"/>
      <c r="F17" s="121"/>
      <c r="G17" s="121"/>
      <c r="H17" s="121"/>
      <c r="I17" s="121">
        <f>I16</f>
        <v>800</v>
      </c>
      <c r="J17" s="118">
        <f>J16</f>
        <v>7</v>
      </c>
      <c r="K17" s="118"/>
    </row>
    <row r="18" spans="1:11" ht="15" customHeight="1" x14ac:dyDescent="0.25">
      <c r="A18" s="121"/>
      <c r="B18" s="121"/>
      <c r="C18" s="121"/>
      <c r="D18" s="121"/>
      <c r="E18" s="121"/>
      <c r="F18" s="121"/>
      <c r="G18" s="121"/>
      <c r="H18" s="121"/>
      <c r="I18" s="121"/>
      <c r="J18" s="118"/>
      <c r="K18" s="118"/>
    </row>
    <row r="20" spans="1:11" x14ac:dyDescent="0.25">
      <c r="B20" s="10" t="s">
        <v>62</v>
      </c>
      <c r="H20" t="s">
        <v>23</v>
      </c>
    </row>
    <row r="21" spans="1:11" ht="101.25" customHeight="1" x14ac:dyDescent="0.25">
      <c r="B21" s="10"/>
    </row>
    <row r="22" spans="1:11" s="1" customFormat="1" ht="16.5" x14ac:dyDescent="0.25"/>
    <row r="23" spans="1:11" s="1" customFormat="1" ht="20.25" x14ac:dyDescent="0.3">
      <c r="A23" s="99"/>
      <c r="B23" s="99"/>
      <c r="C23" s="99"/>
      <c r="D23" s="99"/>
      <c r="E23" s="99"/>
      <c r="F23" s="99"/>
      <c r="G23" s="99"/>
      <c r="H23" s="99"/>
      <c r="I23" s="99"/>
      <c r="J23" s="99"/>
      <c r="K23" s="99"/>
    </row>
    <row r="24" spans="1:11" s="1" customFormat="1" ht="20.25" x14ac:dyDescent="0.3">
      <c r="A24" s="99"/>
      <c r="B24" s="99"/>
      <c r="C24" s="99"/>
      <c r="D24" s="99"/>
      <c r="E24" s="99"/>
      <c r="F24" s="99"/>
      <c r="G24" s="99"/>
      <c r="H24" s="99"/>
      <c r="I24" s="99"/>
      <c r="J24" s="99"/>
      <c r="K24" s="99"/>
    </row>
    <row r="25" spans="1:11" s="1" customFormat="1" ht="20.25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</row>
    <row r="26" spans="1:11" s="1" customFormat="1" ht="16.5" x14ac:dyDescent="0.25"/>
    <row r="27" spans="1:11" s="1" customFormat="1" ht="16.5" x14ac:dyDescent="0.25"/>
    <row r="28" spans="1:11" s="1" customFormat="1" ht="19.5" customHeight="1" x14ac:dyDescent="0.25"/>
    <row r="29" spans="1:11" s="1" customFormat="1" ht="30.75" customHeight="1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</row>
    <row r="30" spans="1:11" s="1" customFormat="1" ht="35.25" customHeight="1" x14ac:dyDescent="0.25">
      <c r="A30" s="21"/>
    </row>
    <row r="31" spans="1:11" s="1" customFormat="1" ht="35.25" customHeight="1" x14ac:dyDescent="0.25">
      <c r="A31" s="21"/>
    </row>
    <row r="32" spans="1:11" s="1" customFormat="1" ht="35.25" customHeight="1" x14ac:dyDescent="0.25">
      <c r="A32" s="21"/>
    </row>
    <row r="33" spans="1:11" s="1" customFormat="1" ht="35.25" customHeight="1" x14ac:dyDescent="0.25">
      <c r="A33" s="18"/>
      <c r="B33" s="19"/>
      <c r="C33" s="19"/>
      <c r="D33" s="19"/>
      <c r="E33" s="19"/>
      <c r="F33" s="19"/>
      <c r="G33" s="19"/>
      <c r="H33" s="19"/>
      <c r="I33" s="19"/>
      <c r="J33" s="19"/>
      <c r="K33" s="19"/>
    </row>
    <row r="34" spans="1:11" s="1" customFormat="1" ht="35.25" customHeight="1" x14ac:dyDescent="0.25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</row>
    <row r="35" spans="1:11" s="1" customFormat="1" ht="16.5" x14ac:dyDescent="0.25">
      <c r="A35" s="100"/>
      <c r="B35" s="101"/>
      <c r="C35" s="11"/>
      <c r="D35" s="11"/>
      <c r="E35" s="11"/>
      <c r="F35" s="11"/>
      <c r="G35" s="11"/>
      <c r="H35" s="5"/>
      <c r="I35" s="5"/>
      <c r="J35" s="5"/>
      <c r="K35" s="5"/>
    </row>
    <row r="36" spans="1:11" s="1" customFormat="1" ht="16.5" x14ac:dyDescent="0.25">
      <c r="J36" s="102"/>
      <c r="K36" s="102"/>
    </row>
  </sheetData>
  <mergeCells count="35">
    <mergeCell ref="G14:H14"/>
    <mergeCell ref="G15:H15"/>
    <mergeCell ref="E14:F14"/>
    <mergeCell ref="E15:F15"/>
    <mergeCell ref="C14:D14"/>
    <mergeCell ref="C15:D15"/>
    <mergeCell ref="C13:D13"/>
    <mergeCell ref="E12:F12"/>
    <mergeCell ref="E13:F13"/>
    <mergeCell ref="G12:H12"/>
    <mergeCell ref="G13:H13"/>
    <mergeCell ref="A24:K24"/>
    <mergeCell ref="A35:B35"/>
    <mergeCell ref="J36:K36"/>
    <mergeCell ref="G10:H10"/>
    <mergeCell ref="G11:H11"/>
    <mergeCell ref="E10:F10"/>
    <mergeCell ref="E11:F11"/>
    <mergeCell ref="C10:D10"/>
    <mergeCell ref="C11:D11"/>
    <mergeCell ref="A16:H16"/>
    <mergeCell ref="K16:K18"/>
    <mergeCell ref="A17:H18"/>
    <mergeCell ref="I17:I18"/>
    <mergeCell ref="J17:J18"/>
    <mergeCell ref="A23:K23"/>
    <mergeCell ref="C12:D12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B106BBA4-A729-4EC6-BBFF-356C99B1E084}"/>
  </hyperlinks>
  <pageMargins left="0.25" right="0.25" top="0.17" bottom="0.17" header="0.3" footer="0.2"/>
  <pageSetup paperSize="9" scale="79" fitToHeight="0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C7650-7FA1-4D91-B52F-2D857FA7C8C5}">
  <sheetPr codeName="Sheet52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45874</v>
      </c>
    </row>
    <row r="6" spans="1:11" s="1" customFormat="1" ht="16.5" x14ac:dyDescent="0.25">
      <c r="A6" s="1" t="s">
        <v>78</v>
      </c>
      <c r="D6" s="1" t="s">
        <v>154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41" t="s">
        <v>194</v>
      </c>
      <c r="C9" s="103" t="s">
        <v>412</v>
      </c>
      <c r="D9" s="104"/>
      <c r="E9" s="105" t="s">
        <v>92</v>
      </c>
      <c r="F9" s="104"/>
      <c r="G9" s="103" t="s">
        <v>93</v>
      </c>
      <c r="H9" s="104"/>
      <c r="I9" s="52">
        <v>200</v>
      </c>
      <c r="J9" s="54">
        <v>1</v>
      </c>
      <c r="K9" s="31" t="s">
        <v>413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200</v>
      </c>
      <c r="J10" s="9">
        <f>SUM(J9:J9)</f>
        <v>1</v>
      </c>
      <c r="K10" s="118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200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DA3486CD-58A9-4251-A267-0E38BFE2AC6E}"/>
  </hyperlinks>
  <pageMargins left="0.25" right="0.25" top="0.17" bottom="0.17" header="0.3" footer="0.2"/>
  <pageSetup paperSize="9" scale="79" fitToHeight="0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C1B9-8FC9-4675-9E33-571410B79190}">
  <sheetPr codeName="Sheet53">
    <pageSetUpPr fitToPage="1"/>
  </sheetPr>
  <dimension ref="A1:K30"/>
  <sheetViews>
    <sheetView zoomScaleNormal="100" workbookViewId="0"/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45875</v>
      </c>
    </row>
    <row r="6" spans="1:11" s="1" customFormat="1" ht="16.5" x14ac:dyDescent="0.25">
      <c r="A6" s="1" t="s">
        <v>78</v>
      </c>
      <c r="D6" s="1" t="s">
        <v>178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40" t="s">
        <v>424</v>
      </c>
      <c r="C9" s="103" t="s">
        <v>425</v>
      </c>
      <c r="D9" s="104"/>
      <c r="E9" s="105" t="s">
        <v>92</v>
      </c>
      <c r="F9" s="104"/>
      <c r="G9" s="103" t="s">
        <v>93</v>
      </c>
      <c r="H9" s="104"/>
      <c r="I9" s="52">
        <v>100</v>
      </c>
      <c r="J9" s="54">
        <v>1</v>
      </c>
      <c r="K9" s="31" t="s">
        <v>426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100</v>
      </c>
      <c r="J10" s="9">
        <f>SUM(J9:J9)</f>
        <v>1</v>
      </c>
      <c r="K10" s="118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100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</mergeCells>
  <hyperlinks>
    <hyperlink ref="D5" location="'Muc Luc'!A1" display="Mr Cường" xr:uid="{A89E87B4-DEE6-4785-949D-0874DA328FE4}"/>
  </hyperlinks>
  <pageMargins left="0.25" right="0.25" top="0.17" bottom="0.17" header="0.3" footer="0.2"/>
  <pageSetup paperSize="9" scale="79" fitToHeight="0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B0C4-EB32-4F36-B05C-44CF643B993E}">
  <sheetPr codeName="Sheet71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45881</v>
      </c>
    </row>
    <row r="6" spans="1:11" s="1" customFormat="1" ht="16.5" x14ac:dyDescent="0.25">
      <c r="A6" s="1" t="s">
        <v>78</v>
      </c>
      <c r="D6" s="1" t="s">
        <v>178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40" t="s">
        <v>181</v>
      </c>
      <c r="C9" s="103" t="s">
        <v>655</v>
      </c>
      <c r="D9" s="104"/>
      <c r="E9" s="105" t="s">
        <v>214</v>
      </c>
      <c r="F9" s="104"/>
      <c r="G9" s="103" t="s">
        <v>231</v>
      </c>
      <c r="H9" s="104"/>
      <c r="I9" s="52">
        <v>400</v>
      </c>
      <c r="J9" s="54">
        <v>1</v>
      </c>
      <c r="K9" s="31" t="s">
        <v>183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400</v>
      </c>
      <c r="J10" s="9">
        <f>SUM(J9:J9)</f>
        <v>1</v>
      </c>
      <c r="K10" s="118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400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</mergeCells>
  <hyperlinks>
    <hyperlink ref="D5" location="'Muc Luc'!A1" display="Mr Cường" xr:uid="{A703F6C2-A391-4E0F-B030-273531638C11}"/>
  </hyperlinks>
  <pageMargins left="0.25" right="0.25" top="0.17" bottom="0.17" header="0.3" footer="0.2"/>
  <pageSetup paperSize="9" scale="79" fitToHeight="0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8F08C-7736-4620-9D02-694CCBA83CBE}">
  <sheetPr codeName="Sheet54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45881</v>
      </c>
    </row>
    <row r="6" spans="1:11" s="1" customFormat="1" ht="16.5" x14ac:dyDescent="0.25">
      <c r="A6" s="1" t="s">
        <v>78</v>
      </c>
      <c r="D6" s="1" t="s">
        <v>435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59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58" t="s">
        <v>436</v>
      </c>
      <c r="C9" s="103" t="s">
        <v>438</v>
      </c>
      <c r="D9" s="104"/>
      <c r="E9" s="105" t="s">
        <v>92</v>
      </c>
      <c r="F9" s="104"/>
      <c r="G9" s="103" t="s">
        <v>93</v>
      </c>
      <c r="H9" s="104"/>
      <c r="I9" s="52">
        <v>300</v>
      </c>
      <c r="J9" s="54">
        <v>1</v>
      </c>
      <c r="K9" s="31" t="s">
        <v>437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300</v>
      </c>
      <c r="J10" s="9">
        <f>SUM(J9:J9)</f>
        <v>1</v>
      </c>
      <c r="K10" s="118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300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2E79E640-D096-412F-AEA6-96F133B257B5}"/>
  </hyperlinks>
  <pageMargins left="0.25" right="0.25" top="0.17" bottom="0.17" header="0.3" footer="0.2"/>
  <pageSetup paperSize="9" scale="79" fitToHeight="0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140DE-A761-4771-80D8-D65B9E7E8715}">
  <sheetPr codeName="Sheet55">
    <pageSetUpPr fitToPage="1"/>
  </sheetPr>
  <dimension ref="A1:K32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45882</v>
      </c>
    </row>
    <row r="6" spans="1:11" s="1" customFormat="1" ht="16.5" x14ac:dyDescent="0.25">
      <c r="A6" s="1" t="s">
        <v>78</v>
      </c>
      <c r="D6" s="1" t="s">
        <v>177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39" t="s">
        <v>439</v>
      </c>
      <c r="C9" s="103" t="s">
        <v>440</v>
      </c>
      <c r="D9" s="104"/>
      <c r="E9" s="105" t="s">
        <v>92</v>
      </c>
      <c r="F9" s="104"/>
      <c r="G9" s="103" t="s">
        <v>93</v>
      </c>
      <c r="H9" s="104"/>
      <c r="I9" s="52">
        <v>200</v>
      </c>
      <c r="J9" s="24">
        <v>1</v>
      </c>
      <c r="K9" s="31" t="s">
        <v>443</v>
      </c>
    </row>
    <row r="10" spans="1:11" s="1" customFormat="1" ht="29.25" customHeight="1" x14ac:dyDescent="0.25">
      <c r="A10" s="3" t="s">
        <v>3</v>
      </c>
      <c r="B10" s="39" t="s">
        <v>439</v>
      </c>
      <c r="C10" s="103" t="s">
        <v>441</v>
      </c>
      <c r="D10" s="104"/>
      <c r="E10" s="105" t="s">
        <v>92</v>
      </c>
      <c r="F10" s="104"/>
      <c r="G10" s="103" t="s">
        <v>93</v>
      </c>
      <c r="H10" s="104"/>
      <c r="I10" s="52">
        <v>200</v>
      </c>
      <c r="J10" s="24">
        <v>1</v>
      </c>
      <c r="K10" s="31" t="s">
        <v>445</v>
      </c>
    </row>
    <row r="11" spans="1:11" s="1" customFormat="1" ht="29.25" customHeight="1" x14ac:dyDescent="0.25">
      <c r="A11" s="3" t="s">
        <v>4</v>
      </c>
      <c r="B11" s="39" t="s">
        <v>439</v>
      </c>
      <c r="C11" s="103" t="s">
        <v>442</v>
      </c>
      <c r="D11" s="104"/>
      <c r="E11" s="105" t="s">
        <v>92</v>
      </c>
      <c r="F11" s="104"/>
      <c r="G11" s="103" t="s">
        <v>93</v>
      </c>
      <c r="H11" s="104"/>
      <c r="I11" s="52">
        <v>100</v>
      </c>
      <c r="J11" s="24">
        <v>1</v>
      </c>
      <c r="K11" s="31" t="s">
        <v>444</v>
      </c>
    </row>
    <row r="12" spans="1:11" s="1" customFormat="1" ht="33" customHeight="1" x14ac:dyDescent="0.25">
      <c r="A12" s="118" t="s">
        <v>7</v>
      </c>
      <c r="B12" s="118"/>
      <c r="C12" s="118"/>
      <c r="D12" s="118"/>
      <c r="E12" s="118"/>
      <c r="F12" s="118"/>
      <c r="G12" s="118"/>
      <c r="H12" s="118"/>
      <c r="I12" s="9">
        <f>SUM(I9:I11)</f>
        <v>500</v>
      </c>
      <c r="J12" s="9">
        <f>SUM(J9:J11)</f>
        <v>3</v>
      </c>
      <c r="K12" s="118" t="s">
        <v>651</v>
      </c>
    </row>
    <row r="13" spans="1:11" s="1" customFormat="1" ht="16.5" x14ac:dyDescent="0.25">
      <c r="A13" s="121" t="s">
        <v>19</v>
      </c>
      <c r="B13" s="121"/>
      <c r="C13" s="121"/>
      <c r="D13" s="121"/>
      <c r="E13" s="121"/>
      <c r="F13" s="121"/>
      <c r="G13" s="121"/>
      <c r="H13" s="121"/>
      <c r="I13" s="121">
        <f>I12</f>
        <v>500</v>
      </c>
      <c r="J13" s="118">
        <f>J12</f>
        <v>3</v>
      </c>
      <c r="K13" s="118"/>
    </row>
    <row r="14" spans="1:11" ht="15" customHeight="1" x14ac:dyDescent="0.25">
      <c r="A14" s="121"/>
      <c r="B14" s="121"/>
      <c r="C14" s="121"/>
      <c r="D14" s="121"/>
      <c r="E14" s="121"/>
      <c r="F14" s="121"/>
      <c r="G14" s="121"/>
      <c r="H14" s="121"/>
      <c r="I14" s="121"/>
      <c r="J14" s="118"/>
      <c r="K14" s="118"/>
    </row>
    <row r="16" spans="1:11" x14ac:dyDescent="0.25">
      <c r="B16" s="10" t="s">
        <v>62</v>
      </c>
      <c r="H16" t="s">
        <v>23</v>
      </c>
    </row>
    <row r="17" spans="1:11" ht="101.25" customHeight="1" x14ac:dyDescent="0.25">
      <c r="B17" s="10"/>
    </row>
    <row r="18" spans="1:11" s="1" customFormat="1" ht="16.5" x14ac:dyDescent="0.25"/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</row>
    <row r="22" spans="1:11" s="1" customFormat="1" ht="16.5" x14ac:dyDescent="0.25"/>
    <row r="23" spans="1:11" s="1" customFormat="1" ht="16.5" x14ac:dyDescent="0.25"/>
    <row r="24" spans="1:11" s="1" customFormat="1" ht="19.5" customHeight="1" x14ac:dyDescent="0.25"/>
    <row r="25" spans="1:11" s="1" customFormat="1" ht="30.75" customHeight="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18"/>
      <c r="B29" s="19"/>
      <c r="C29" s="19"/>
      <c r="D29" s="19"/>
      <c r="E29" s="19"/>
      <c r="F29" s="19"/>
      <c r="G29" s="19"/>
      <c r="H29" s="19"/>
      <c r="I29" s="19"/>
      <c r="J29" s="19"/>
      <c r="K29" s="19"/>
    </row>
    <row r="30" spans="1:11" s="1" customFormat="1" ht="35.25" customHeight="1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s="1" customFormat="1" ht="16.5" x14ac:dyDescent="0.25">
      <c r="A31" s="100"/>
      <c r="B31" s="101"/>
      <c r="C31" s="11"/>
      <c r="D31" s="11"/>
      <c r="E31" s="11"/>
      <c r="F31" s="11"/>
      <c r="G31" s="11"/>
      <c r="H31" s="5"/>
      <c r="I31" s="5"/>
      <c r="J31" s="5"/>
      <c r="K31" s="5"/>
    </row>
    <row r="32" spans="1:11" s="1" customFormat="1" ht="16.5" x14ac:dyDescent="0.25">
      <c r="J32" s="102"/>
      <c r="K32" s="102"/>
    </row>
  </sheetData>
  <mergeCells count="23">
    <mergeCell ref="C9:D9"/>
    <mergeCell ref="E9:F9"/>
    <mergeCell ref="G9:H9"/>
    <mergeCell ref="A2:K2"/>
    <mergeCell ref="A3:K3"/>
    <mergeCell ref="C8:D8"/>
    <mergeCell ref="E8:F8"/>
    <mergeCell ref="G8:H8"/>
    <mergeCell ref="C10:D10"/>
    <mergeCell ref="E10:F10"/>
    <mergeCell ref="G10:H10"/>
    <mergeCell ref="C11:D11"/>
    <mergeCell ref="E11:F11"/>
    <mergeCell ref="G11:H11"/>
    <mergeCell ref="A20:K20"/>
    <mergeCell ref="A31:B31"/>
    <mergeCell ref="J32:K32"/>
    <mergeCell ref="A12:H12"/>
    <mergeCell ref="K12:K14"/>
    <mergeCell ref="A13:H14"/>
    <mergeCell ref="I13:I14"/>
    <mergeCell ref="J13:J14"/>
    <mergeCell ref="A19:K19"/>
  </mergeCells>
  <phoneticPr fontId="21" type="noConversion"/>
  <hyperlinks>
    <hyperlink ref="D5" location="'Muc Luc'!A1" display="Mr Cường" xr:uid="{12CC1E15-8525-438F-839A-09B6F27A0192}"/>
  </hyperlinks>
  <pageMargins left="0.25" right="0.25" top="0.17" bottom="0.17" header="0.3" footer="0.2"/>
  <pageSetup paperSize="9" scale="79" fitToHeight="0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86E7-7F5D-4C70-8CFB-68B5CDA78E46}">
  <sheetPr codeName="Sheet56">
    <pageSetUpPr fitToPage="1"/>
  </sheetPr>
  <dimension ref="A1:K31"/>
  <sheetViews>
    <sheetView zoomScaleNormal="100" workbookViewId="0">
      <selection activeCell="C10" sqref="C10:D10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45887</v>
      </c>
    </row>
    <row r="6" spans="1:11" s="1" customFormat="1" ht="16.5" x14ac:dyDescent="0.25">
      <c r="A6" s="1" t="s">
        <v>78</v>
      </c>
      <c r="D6" s="1" t="s">
        <v>154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60" t="s">
        <v>446</v>
      </c>
      <c r="C9" s="103" t="s">
        <v>448</v>
      </c>
      <c r="D9" s="104"/>
      <c r="E9" s="105" t="s">
        <v>17</v>
      </c>
      <c r="F9" s="104"/>
      <c r="G9" s="103" t="s">
        <v>449</v>
      </c>
      <c r="H9" s="104"/>
      <c r="I9" s="52">
        <v>500</v>
      </c>
      <c r="J9" s="24">
        <v>1</v>
      </c>
      <c r="K9" s="31" t="s">
        <v>447</v>
      </c>
    </row>
    <row r="10" spans="1:11" s="1" customFormat="1" ht="29.25" customHeight="1" x14ac:dyDescent="0.25">
      <c r="A10" s="3" t="s">
        <v>3</v>
      </c>
      <c r="B10" s="60" t="s">
        <v>446</v>
      </c>
      <c r="C10" s="103" t="s">
        <v>448</v>
      </c>
      <c r="D10" s="104"/>
      <c r="E10" s="105" t="s">
        <v>17</v>
      </c>
      <c r="F10" s="104"/>
      <c r="G10" s="103" t="s">
        <v>266</v>
      </c>
      <c r="H10" s="104"/>
      <c r="I10" s="52">
        <v>500</v>
      </c>
      <c r="J10" s="24">
        <v>1</v>
      </c>
      <c r="K10" s="31" t="s">
        <v>254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1000</v>
      </c>
      <c r="J11" s="9">
        <f>SUM(J9:J10)</f>
        <v>2</v>
      </c>
      <c r="K11" s="118" t="s">
        <v>651</v>
      </c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1000</v>
      </c>
      <c r="J12" s="118">
        <f>J11</f>
        <v>2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A19:K19"/>
    <mergeCell ref="A30:B30"/>
    <mergeCell ref="J31:K31"/>
    <mergeCell ref="A11:H11"/>
    <mergeCell ref="K11:K13"/>
    <mergeCell ref="A12:H13"/>
    <mergeCell ref="I12:I13"/>
    <mergeCell ref="J12:J13"/>
    <mergeCell ref="A18:K18"/>
    <mergeCell ref="C10:D10"/>
    <mergeCell ref="E10:F10"/>
    <mergeCell ref="G10:H10"/>
    <mergeCell ref="A2:K2"/>
    <mergeCell ref="A3:K3"/>
    <mergeCell ref="C8:D8"/>
    <mergeCell ref="E8:F8"/>
    <mergeCell ref="G8:H8"/>
    <mergeCell ref="C9:D9"/>
    <mergeCell ref="E9:F9"/>
    <mergeCell ref="G9:H9"/>
  </mergeCells>
  <phoneticPr fontId="21" type="noConversion"/>
  <hyperlinks>
    <hyperlink ref="D5" location="'Muc Luc'!A1" display="Mr Cường" xr:uid="{7CB01FEE-7F6C-485B-B238-44693A8354F4}"/>
  </hyperlinks>
  <pageMargins left="0.25" right="0.25" top="0.17" bottom="0.17" header="0.3" footer="0.2"/>
  <pageSetup paperSize="9" scale="79" fitToHeight="0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40D5D-53FD-48B2-A5A3-F1998C48B292}">
  <sheetPr codeName="Sheet57">
    <pageSetUpPr fitToPage="1"/>
  </sheetPr>
  <dimension ref="A1:K35"/>
  <sheetViews>
    <sheetView zoomScaleNormal="100" workbookViewId="0">
      <selection activeCell="K12" sqref="K12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45890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27" t="s">
        <v>450</v>
      </c>
      <c r="C9" s="103" t="s">
        <v>451</v>
      </c>
      <c r="D9" s="104"/>
      <c r="E9" s="105" t="s">
        <v>92</v>
      </c>
      <c r="F9" s="104"/>
      <c r="G9" s="103" t="s">
        <v>453</v>
      </c>
      <c r="H9" s="104"/>
      <c r="I9" s="52">
        <v>200</v>
      </c>
      <c r="J9" s="24">
        <v>1</v>
      </c>
      <c r="K9" s="31" t="s">
        <v>454</v>
      </c>
    </row>
    <row r="10" spans="1:11" s="1" customFormat="1" ht="29.25" customHeight="1" x14ac:dyDescent="0.25">
      <c r="A10" s="3" t="s">
        <v>3</v>
      </c>
      <c r="B10" s="27" t="s">
        <v>450</v>
      </c>
      <c r="C10" s="103" t="s">
        <v>452</v>
      </c>
      <c r="D10" s="104"/>
      <c r="E10" s="105" t="s">
        <v>92</v>
      </c>
      <c r="F10" s="104"/>
      <c r="G10" s="103" t="s">
        <v>453</v>
      </c>
      <c r="H10" s="104"/>
      <c r="I10" s="52">
        <v>300</v>
      </c>
      <c r="J10" s="24">
        <v>1</v>
      </c>
      <c r="K10" s="31" t="s">
        <v>455</v>
      </c>
    </row>
    <row r="11" spans="1:11" s="1" customFormat="1" ht="29.25" customHeight="1" x14ac:dyDescent="0.25">
      <c r="A11" s="3" t="s">
        <v>4</v>
      </c>
      <c r="B11" s="25" t="s">
        <v>157</v>
      </c>
      <c r="C11" s="103" t="s">
        <v>457</v>
      </c>
      <c r="D11" s="104"/>
      <c r="E11" s="105" t="s">
        <v>92</v>
      </c>
      <c r="F11" s="104"/>
      <c r="G11" s="103" t="s">
        <v>460</v>
      </c>
      <c r="H11" s="104"/>
      <c r="I11" s="52">
        <v>100</v>
      </c>
      <c r="J11" s="24">
        <v>1</v>
      </c>
      <c r="K11" s="31" t="s">
        <v>471</v>
      </c>
    </row>
    <row r="12" spans="1:11" s="1" customFormat="1" ht="29.25" customHeight="1" x14ac:dyDescent="0.25">
      <c r="A12" s="3" t="s">
        <v>5</v>
      </c>
      <c r="B12" s="25" t="s">
        <v>157</v>
      </c>
      <c r="C12" s="103" t="s">
        <v>458</v>
      </c>
      <c r="D12" s="104"/>
      <c r="E12" s="105" t="s">
        <v>92</v>
      </c>
      <c r="F12" s="104"/>
      <c r="G12" s="103" t="s">
        <v>460</v>
      </c>
      <c r="H12" s="104"/>
      <c r="I12" s="52">
        <v>100</v>
      </c>
      <c r="J12" s="24">
        <v>1</v>
      </c>
      <c r="K12" s="31" t="s">
        <v>472</v>
      </c>
    </row>
    <row r="13" spans="1:11" s="1" customFormat="1" ht="29.25" customHeight="1" x14ac:dyDescent="0.25">
      <c r="A13" s="3" t="s">
        <v>6</v>
      </c>
      <c r="B13" s="25" t="s">
        <v>157</v>
      </c>
      <c r="C13" s="103" t="s">
        <v>459</v>
      </c>
      <c r="D13" s="104"/>
      <c r="E13" s="105" t="s">
        <v>92</v>
      </c>
      <c r="F13" s="104"/>
      <c r="G13" s="103" t="s">
        <v>460</v>
      </c>
      <c r="H13" s="104"/>
      <c r="I13" s="52">
        <v>100</v>
      </c>
      <c r="J13" s="24">
        <v>1</v>
      </c>
      <c r="K13" s="31" t="s">
        <v>473</v>
      </c>
    </row>
    <row r="14" spans="1:11" s="1" customFormat="1" ht="29.25" customHeight="1" x14ac:dyDescent="0.25">
      <c r="A14" s="3" t="s">
        <v>12</v>
      </c>
      <c r="B14" s="39" t="s">
        <v>462</v>
      </c>
      <c r="C14" s="103" t="s">
        <v>461</v>
      </c>
      <c r="D14" s="104"/>
      <c r="E14" s="105" t="s">
        <v>456</v>
      </c>
      <c r="F14" s="104"/>
      <c r="G14" s="103" t="s">
        <v>463</v>
      </c>
      <c r="H14" s="104"/>
      <c r="I14" s="52">
        <v>600</v>
      </c>
      <c r="J14" s="24">
        <v>1</v>
      </c>
      <c r="K14" s="31" t="s">
        <v>464</v>
      </c>
    </row>
    <row r="15" spans="1:11" s="1" customFormat="1" ht="33" customHeight="1" x14ac:dyDescent="0.25">
      <c r="A15" s="118" t="s">
        <v>7</v>
      </c>
      <c r="B15" s="118"/>
      <c r="C15" s="118"/>
      <c r="D15" s="118"/>
      <c r="E15" s="118"/>
      <c r="F15" s="118"/>
      <c r="G15" s="118"/>
      <c r="H15" s="118"/>
      <c r="I15" s="9">
        <f>SUM(I9:I14)</f>
        <v>1400</v>
      </c>
      <c r="J15" s="9">
        <f>SUM(J9:J14)</f>
        <v>6</v>
      </c>
      <c r="K15" s="130" t="s">
        <v>653</v>
      </c>
    </row>
    <row r="16" spans="1:11" s="1" customFormat="1" ht="16.5" x14ac:dyDescent="0.25">
      <c r="A16" s="121" t="s">
        <v>19</v>
      </c>
      <c r="B16" s="121"/>
      <c r="C16" s="121"/>
      <c r="D16" s="121"/>
      <c r="E16" s="121"/>
      <c r="F16" s="121"/>
      <c r="G16" s="121"/>
      <c r="H16" s="121"/>
      <c r="I16" s="121">
        <f>I15</f>
        <v>1400</v>
      </c>
      <c r="J16" s="118">
        <f>J15</f>
        <v>6</v>
      </c>
      <c r="K16" s="118"/>
    </row>
    <row r="17" spans="1:11" ht="15" customHeight="1" x14ac:dyDescent="0.25">
      <c r="A17" s="121"/>
      <c r="B17" s="121"/>
      <c r="C17" s="121"/>
      <c r="D17" s="121"/>
      <c r="E17" s="121"/>
      <c r="F17" s="121"/>
      <c r="G17" s="121"/>
      <c r="H17" s="121"/>
      <c r="I17" s="121"/>
      <c r="J17" s="118"/>
      <c r="K17" s="118"/>
    </row>
    <row r="19" spans="1:11" x14ac:dyDescent="0.25">
      <c r="B19" s="10" t="s">
        <v>62</v>
      </c>
      <c r="H19" t="s">
        <v>23</v>
      </c>
    </row>
    <row r="20" spans="1:11" ht="101.25" customHeight="1" x14ac:dyDescent="0.25">
      <c r="B20" s="10"/>
    </row>
    <row r="21" spans="1:11" s="1" customFormat="1" ht="16.5" x14ac:dyDescent="0.25"/>
    <row r="22" spans="1:11" s="1" customFormat="1" ht="20.25" x14ac:dyDescent="0.3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</row>
    <row r="23" spans="1:11" s="1" customFormat="1" ht="20.25" x14ac:dyDescent="0.3">
      <c r="A23" s="99"/>
      <c r="B23" s="99"/>
      <c r="C23" s="99"/>
      <c r="D23" s="99"/>
      <c r="E23" s="99"/>
      <c r="F23" s="99"/>
      <c r="G23" s="99"/>
      <c r="H23" s="99"/>
      <c r="I23" s="99"/>
      <c r="J23" s="99"/>
      <c r="K23" s="99"/>
    </row>
    <row r="24" spans="1:11" s="1" customFormat="1" ht="20.2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</row>
    <row r="25" spans="1:11" s="1" customFormat="1" ht="16.5" x14ac:dyDescent="0.25"/>
    <row r="26" spans="1:11" s="1" customFormat="1" ht="16.5" x14ac:dyDescent="0.25"/>
    <row r="27" spans="1:11" s="1" customFormat="1" ht="19.5" customHeight="1" x14ac:dyDescent="0.25"/>
    <row r="28" spans="1:11" s="1" customFormat="1" ht="30.75" customHeight="1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21"/>
    </row>
    <row r="31" spans="1:11" s="1" customFormat="1" ht="35.25" customHeight="1" x14ac:dyDescent="0.25">
      <c r="A31" s="21"/>
    </row>
    <row r="32" spans="1:11" s="1" customFormat="1" ht="35.25" customHeight="1" x14ac:dyDescent="0.25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19"/>
    </row>
    <row r="33" spans="1:11" s="1" customFormat="1" ht="35.25" customHeight="1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</row>
    <row r="34" spans="1:11" s="1" customFormat="1" ht="16.5" x14ac:dyDescent="0.25">
      <c r="A34" s="100"/>
      <c r="B34" s="101"/>
      <c r="C34" s="11"/>
      <c r="D34" s="11"/>
      <c r="E34" s="11"/>
      <c r="F34" s="11"/>
      <c r="G34" s="11"/>
      <c r="H34" s="5"/>
      <c r="I34" s="5"/>
      <c r="J34" s="5"/>
      <c r="K34" s="5"/>
    </row>
    <row r="35" spans="1:11" s="1" customFormat="1" ht="16.5" x14ac:dyDescent="0.25">
      <c r="J35" s="102"/>
      <c r="K35" s="102"/>
    </row>
  </sheetData>
  <mergeCells count="32">
    <mergeCell ref="G12:H12"/>
    <mergeCell ref="A22:K22"/>
    <mergeCell ref="A23:K23"/>
    <mergeCell ref="A34:B34"/>
    <mergeCell ref="J35:K35"/>
    <mergeCell ref="C14:D14"/>
    <mergeCell ref="E14:F14"/>
    <mergeCell ref="G14:H14"/>
    <mergeCell ref="C10:D10"/>
    <mergeCell ref="E10:F10"/>
    <mergeCell ref="G10:H10"/>
    <mergeCell ref="A15:H15"/>
    <mergeCell ref="K15:K17"/>
    <mergeCell ref="A16:H17"/>
    <mergeCell ref="I16:I17"/>
    <mergeCell ref="J16:J17"/>
    <mergeCell ref="C13:D13"/>
    <mergeCell ref="E13:F13"/>
    <mergeCell ref="G13:H13"/>
    <mergeCell ref="C11:D11"/>
    <mergeCell ref="C12:D12"/>
    <mergeCell ref="E11:F11"/>
    <mergeCell ref="E12:F12"/>
    <mergeCell ref="G11:H11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213DC34F-F870-4A58-A5F5-593DB999F528}"/>
  </hyperlinks>
  <pageMargins left="0.25" right="0.25" top="0.17" bottom="0.17" header="0.3" footer="0.2"/>
  <pageSetup paperSize="9" scale="79" fitToHeight="0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D8BC3-A11D-4C23-B696-B5B3479935F0}">
  <sheetPr codeName="Sheet58">
    <pageSetUpPr fitToPage="1"/>
  </sheetPr>
  <dimension ref="A1:K34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45887</v>
      </c>
    </row>
    <row r="6" spans="1:11" s="1" customFormat="1" ht="16.5" x14ac:dyDescent="0.25">
      <c r="A6" s="1" t="s">
        <v>78</v>
      </c>
      <c r="D6" s="1" t="s">
        <v>652</v>
      </c>
      <c r="I6" s="1" t="s">
        <v>18</v>
      </c>
    </row>
    <row r="7" spans="1:11" s="1" customFormat="1" ht="19.5" customHeight="1" x14ac:dyDescent="0.25">
      <c r="A7" s="1" t="s">
        <v>465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56" t="s">
        <v>330</v>
      </c>
      <c r="C9" s="131" t="s">
        <v>332</v>
      </c>
      <c r="D9" s="132"/>
      <c r="E9" s="133" t="s">
        <v>17</v>
      </c>
      <c r="F9" s="132"/>
      <c r="G9" s="131" t="s">
        <v>466</v>
      </c>
      <c r="H9" s="132"/>
      <c r="I9" s="45">
        <v>400</v>
      </c>
      <c r="J9" s="61">
        <v>1</v>
      </c>
      <c r="K9" s="62" t="s">
        <v>329</v>
      </c>
    </row>
    <row r="10" spans="1:11" s="1" customFormat="1" ht="29.25" customHeight="1" x14ac:dyDescent="0.25">
      <c r="A10" s="3" t="s">
        <v>3</v>
      </c>
      <c r="B10" s="30" t="s">
        <v>468</v>
      </c>
      <c r="C10" s="131" t="s">
        <v>470</v>
      </c>
      <c r="D10" s="132"/>
      <c r="E10" s="133" t="s">
        <v>301</v>
      </c>
      <c r="F10" s="132"/>
      <c r="G10" s="131" t="s">
        <v>469</v>
      </c>
      <c r="H10" s="132"/>
      <c r="I10" s="45">
        <v>200</v>
      </c>
      <c r="J10" s="61">
        <v>1</v>
      </c>
      <c r="K10" s="62" t="s">
        <v>89</v>
      </c>
    </row>
    <row r="11" spans="1:11" s="1" customFormat="1" ht="29.25" customHeight="1" x14ac:dyDescent="0.25">
      <c r="A11" s="3" t="s">
        <v>4</v>
      </c>
      <c r="B11" s="25" t="s">
        <v>174</v>
      </c>
      <c r="C11" s="131" t="s">
        <v>226</v>
      </c>
      <c r="D11" s="132"/>
      <c r="E11" s="133" t="s">
        <v>92</v>
      </c>
      <c r="F11" s="132"/>
      <c r="G11" s="131" t="s">
        <v>466</v>
      </c>
      <c r="H11" s="132"/>
      <c r="I11" s="45">
        <v>500</v>
      </c>
      <c r="J11" s="61">
        <v>1</v>
      </c>
      <c r="K11" s="62" t="s">
        <v>173</v>
      </c>
    </row>
    <row r="12" spans="1:11" s="1" customFormat="1" ht="29.25" customHeight="1" x14ac:dyDescent="0.25">
      <c r="A12" s="3" t="s">
        <v>5</v>
      </c>
      <c r="B12" s="25" t="s">
        <v>174</v>
      </c>
      <c r="C12" s="131" t="s">
        <v>227</v>
      </c>
      <c r="D12" s="132"/>
      <c r="E12" s="133" t="s">
        <v>92</v>
      </c>
      <c r="F12" s="132"/>
      <c r="G12" s="131" t="s">
        <v>466</v>
      </c>
      <c r="H12" s="132"/>
      <c r="I12" s="45">
        <v>500</v>
      </c>
      <c r="J12" s="61">
        <v>1</v>
      </c>
      <c r="K12" s="62" t="s">
        <v>173</v>
      </c>
    </row>
    <row r="13" spans="1:11" s="1" customFormat="1" ht="29.25" customHeight="1" x14ac:dyDescent="0.25">
      <c r="A13" s="3" t="s">
        <v>6</v>
      </c>
      <c r="B13" s="25" t="s">
        <v>462</v>
      </c>
      <c r="C13" s="131" t="s">
        <v>461</v>
      </c>
      <c r="D13" s="132"/>
      <c r="E13" s="133" t="s">
        <v>456</v>
      </c>
      <c r="F13" s="132"/>
      <c r="G13" s="131" t="s">
        <v>463</v>
      </c>
      <c r="H13" s="132"/>
      <c r="I13" s="45">
        <v>600</v>
      </c>
      <c r="J13" s="61">
        <v>1</v>
      </c>
      <c r="K13" s="62" t="s">
        <v>155</v>
      </c>
    </row>
    <row r="14" spans="1:11" s="1" customFormat="1" ht="33" customHeight="1" x14ac:dyDescent="0.25">
      <c r="A14" s="118" t="s">
        <v>7</v>
      </c>
      <c r="B14" s="118"/>
      <c r="C14" s="118"/>
      <c r="D14" s="118"/>
      <c r="E14" s="118"/>
      <c r="F14" s="118"/>
      <c r="G14" s="118"/>
      <c r="H14" s="118"/>
      <c r="I14" s="9">
        <f>SUM(I9:I13)</f>
        <v>2200</v>
      </c>
      <c r="J14" s="9">
        <f>SUM(J9:J13)</f>
        <v>5</v>
      </c>
      <c r="K14" s="130" t="s">
        <v>467</v>
      </c>
    </row>
    <row r="15" spans="1:11" s="1" customFormat="1" ht="16.5" x14ac:dyDescent="0.25">
      <c r="A15" s="121" t="s">
        <v>19</v>
      </c>
      <c r="B15" s="121"/>
      <c r="C15" s="121"/>
      <c r="D15" s="121"/>
      <c r="E15" s="121"/>
      <c r="F15" s="121"/>
      <c r="G15" s="121"/>
      <c r="H15" s="121"/>
      <c r="I15" s="121">
        <f>I14</f>
        <v>2200</v>
      </c>
      <c r="J15" s="118">
        <f>J14</f>
        <v>5</v>
      </c>
      <c r="K15" s="118"/>
    </row>
    <row r="16" spans="1:11" ht="15" customHeight="1" x14ac:dyDescent="0.25">
      <c r="A16" s="121"/>
      <c r="B16" s="121"/>
      <c r="C16" s="121"/>
      <c r="D16" s="121"/>
      <c r="E16" s="121"/>
      <c r="F16" s="121"/>
      <c r="G16" s="121"/>
      <c r="H16" s="121"/>
      <c r="I16" s="121"/>
      <c r="J16" s="118"/>
      <c r="K16" s="118"/>
    </row>
    <row r="18" spans="1:11" x14ac:dyDescent="0.25">
      <c r="B18" s="10" t="s">
        <v>62</v>
      </c>
      <c r="H18" t="s">
        <v>23</v>
      </c>
    </row>
    <row r="19" spans="1:11" ht="101.25" customHeight="1" x14ac:dyDescent="0.25">
      <c r="B19" s="10"/>
    </row>
    <row r="20" spans="1:11" s="1" customFormat="1" ht="16.5" x14ac:dyDescent="0.25"/>
    <row r="21" spans="1:11" s="1" customFormat="1" ht="20.25" x14ac:dyDescent="0.3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1:11" s="1" customFormat="1" ht="20.25" x14ac:dyDescent="0.3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</row>
    <row r="23" spans="1:11" s="1" customFormat="1" ht="20.2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</row>
    <row r="24" spans="1:11" s="1" customFormat="1" ht="16.5" x14ac:dyDescent="0.25"/>
    <row r="25" spans="1:11" s="1" customFormat="1" ht="16.5" x14ac:dyDescent="0.25"/>
    <row r="26" spans="1:11" s="1" customFormat="1" ht="19.5" customHeight="1" x14ac:dyDescent="0.25"/>
    <row r="27" spans="1:11" s="1" customFormat="1" ht="30.75" customHeight="1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21"/>
    </row>
    <row r="31" spans="1:11" s="1" customFormat="1" ht="35.25" customHeight="1" x14ac:dyDescent="0.25">
      <c r="A31" s="18"/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1" s="1" customFormat="1" ht="35.25" customHeight="1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</row>
    <row r="33" spans="1:11" s="1" customFormat="1" ht="16.5" x14ac:dyDescent="0.25">
      <c r="A33" s="100"/>
      <c r="B33" s="101"/>
      <c r="C33" s="11"/>
      <c r="D33" s="11"/>
      <c r="E33" s="11"/>
      <c r="F33" s="11"/>
      <c r="G33" s="11"/>
      <c r="H33" s="5"/>
      <c r="I33" s="5"/>
      <c r="J33" s="5"/>
      <c r="K33" s="5"/>
    </row>
    <row r="34" spans="1:11" s="1" customFormat="1" ht="16.5" x14ac:dyDescent="0.25">
      <c r="J34" s="102"/>
      <c r="K34" s="102"/>
    </row>
  </sheetData>
  <mergeCells count="29">
    <mergeCell ref="C10:D10"/>
    <mergeCell ref="E10:F10"/>
    <mergeCell ref="G10:H10"/>
    <mergeCell ref="A21:K21"/>
    <mergeCell ref="A22:K22"/>
    <mergeCell ref="A33:B33"/>
    <mergeCell ref="J34:K34"/>
    <mergeCell ref="C11:D11"/>
    <mergeCell ref="E11:F11"/>
    <mergeCell ref="G11:H11"/>
    <mergeCell ref="C13:D13"/>
    <mergeCell ref="E13:F13"/>
    <mergeCell ref="G13:H13"/>
    <mergeCell ref="A14:H14"/>
    <mergeCell ref="K14:K16"/>
    <mergeCell ref="A15:H16"/>
    <mergeCell ref="I15:I16"/>
    <mergeCell ref="J15:J16"/>
    <mergeCell ref="C12:D12"/>
    <mergeCell ref="E12:F12"/>
    <mergeCell ref="G12:H12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FCB096B5-B12C-4B71-BA1C-6CA524032D39}"/>
  </hyperlinks>
  <pageMargins left="0.25" right="0.25" top="0.17" bottom="0.17" header="0.3" footer="0.2"/>
  <pageSetup paperSize="9" scale="79" fitToHeight="0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06D6F-577B-49A0-B315-B5043D04D0FC}">
  <sheetPr codeName="Sheet59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45891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465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27" t="s">
        <v>474</v>
      </c>
      <c r="C9" s="131" t="s">
        <v>477</v>
      </c>
      <c r="D9" s="132"/>
      <c r="E9" s="133" t="s">
        <v>17</v>
      </c>
      <c r="F9" s="132"/>
      <c r="G9" s="131" t="s">
        <v>466</v>
      </c>
      <c r="H9" s="132"/>
      <c r="I9" s="45">
        <v>400</v>
      </c>
      <c r="J9" s="61">
        <v>1</v>
      </c>
      <c r="K9" s="31" t="s">
        <v>475</v>
      </c>
    </row>
    <row r="10" spans="1:11" s="1" customFormat="1" ht="29.25" customHeight="1" x14ac:dyDescent="0.25">
      <c r="A10" s="3" t="s">
        <v>3</v>
      </c>
      <c r="B10" s="30" t="s">
        <v>468</v>
      </c>
      <c r="C10" s="131" t="s">
        <v>470</v>
      </c>
      <c r="D10" s="132"/>
      <c r="E10" s="133" t="s">
        <v>301</v>
      </c>
      <c r="F10" s="132"/>
      <c r="G10" s="131" t="s">
        <v>469</v>
      </c>
      <c r="H10" s="132"/>
      <c r="I10" s="45">
        <v>200</v>
      </c>
      <c r="J10" s="61">
        <v>1</v>
      </c>
      <c r="K10" s="31" t="s">
        <v>476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600</v>
      </c>
      <c r="J11" s="9">
        <f>SUM(J9:J10)</f>
        <v>2</v>
      </c>
      <c r="K11" s="130" t="s">
        <v>651</v>
      </c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600</v>
      </c>
      <c r="J12" s="118">
        <f>J11</f>
        <v>2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J31:K31"/>
    <mergeCell ref="A11:H11"/>
    <mergeCell ref="K11:K13"/>
    <mergeCell ref="A12:H13"/>
    <mergeCell ref="I12:I13"/>
    <mergeCell ref="J12:J13"/>
    <mergeCell ref="A18:K18"/>
    <mergeCell ref="C10:D10"/>
    <mergeCell ref="E10:F10"/>
    <mergeCell ref="G10:H10"/>
    <mergeCell ref="A19:K19"/>
    <mergeCell ref="A30:B30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A9B2E96C-86D2-43B8-BF70-827E76F379DE}"/>
  </hyperlinks>
  <pageMargins left="0.25" right="0.25" top="0.17" bottom="0.17" header="0.3" footer="0.2"/>
  <pageSetup paperSize="9" scale="79" fitToHeight="0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AB77A-690D-4117-887F-CBD5F58D1A53}">
  <sheetPr codeName="Sheet60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45896</v>
      </c>
    </row>
    <row r="6" spans="1:11" s="1" customFormat="1" ht="16.5" x14ac:dyDescent="0.25">
      <c r="A6" s="1" t="s">
        <v>78</v>
      </c>
      <c r="D6" s="1" t="s">
        <v>79</v>
      </c>
      <c r="I6" s="1" t="s">
        <v>18</v>
      </c>
    </row>
    <row r="7" spans="1:11" s="1" customFormat="1" ht="19.5" customHeight="1" x14ac:dyDescent="0.25">
      <c r="A7" s="1" t="s">
        <v>465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27" t="s">
        <v>478</v>
      </c>
      <c r="C9" s="131" t="s">
        <v>480</v>
      </c>
      <c r="D9" s="132"/>
      <c r="E9" s="133" t="s">
        <v>17</v>
      </c>
      <c r="F9" s="132"/>
      <c r="G9" s="131" t="s">
        <v>231</v>
      </c>
      <c r="H9" s="132"/>
      <c r="I9" s="45">
        <v>100</v>
      </c>
      <c r="J9" s="61">
        <v>1</v>
      </c>
      <c r="K9" s="31" t="s">
        <v>479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100</v>
      </c>
      <c r="J10" s="9">
        <f>SUM(J9:J9)</f>
        <v>1</v>
      </c>
      <c r="K10" s="130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100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7:K17"/>
    <mergeCell ref="A18:K18"/>
    <mergeCell ref="A29:B29"/>
    <mergeCell ref="J30:K30"/>
    <mergeCell ref="A10:H10"/>
    <mergeCell ref="K10:K12"/>
    <mergeCell ref="A11:H12"/>
    <mergeCell ref="I11:I12"/>
    <mergeCell ref="J11:J12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C9D8C80B-65CE-4346-BE07-1D535D9FEFF7}"/>
  </hyperlinks>
  <pageMargins left="0.25" right="0.25" top="0.17" bottom="0.17" header="0.3" footer="0.2"/>
  <pageSetup paperSize="9" scale="79" fitToHeight="0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389DA-EF81-4CD5-BAB9-0DAE5B161788}">
  <sheetPr codeName="Sheet61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45896</v>
      </c>
    </row>
    <row r="6" spans="1:11" s="1" customFormat="1" ht="16.5" x14ac:dyDescent="0.25">
      <c r="A6" s="1" t="s">
        <v>78</v>
      </c>
      <c r="D6" s="1" t="s">
        <v>177</v>
      </c>
      <c r="I6" s="1" t="s">
        <v>18</v>
      </c>
    </row>
    <row r="7" spans="1:11" s="1" customFormat="1" ht="19.5" customHeight="1" x14ac:dyDescent="0.25">
      <c r="A7" s="1" t="s">
        <v>465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39" t="s">
        <v>481</v>
      </c>
      <c r="C9" s="131" t="s">
        <v>483</v>
      </c>
      <c r="D9" s="132"/>
      <c r="E9" s="133" t="s">
        <v>92</v>
      </c>
      <c r="F9" s="132"/>
      <c r="G9" s="131" t="s">
        <v>466</v>
      </c>
      <c r="H9" s="132"/>
      <c r="I9" s="45">
        <v>400</v>
      </c>
      <c r="J9" s="61">
        <v>1</v>
      </c>
      <c r="K9" s="31" t="s">
        <v>482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400</v>
      </c>
      <c r="J10" s="9">
        <f>SUM(J9:J9)</f>
        <v>1</v>
      </c>
      <c r="K10" s="130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400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7:K17"/>
    <mergeCell ref="A18:K18"/>
    <mergeCell ref="A29:B29"/>
    <mergeCell ref="J30:K30"/>
    <mergeCell ref="A10:H10"/>
    <mergeCell ref="K10:K12"/>
    <mergeCell ref="A11:H12"/>
    <mergeCell ref="I11:I12"/>
    <mergeCell ref="J11:J12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DBD1E534-A32C-436E-953C-37F0D3827ABF}"/>
  </hyperlinks>
  <pageMargins left="0.25" right="0.25" top="0.17" bottom="0.17" header="0.3" footer="0.2"/>
  <pageSetup paperSize="9" scale="79" fitToHeight="0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B2547-3543-4683-B332-94A75B357EC2}">
  <sheetPr codeName="Sheet62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45897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487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58" t="s">
        <v>484</v>
      </c>
      <c r="C9" s="131" t="s">
        <v>485</v>
      </c>
      <c r="D9" s="132"/>
      <c r="E9" s="133" t="s">
        <v>92</v>
      </c>
      <c r="F9" s="132"/>
      <c r="G9" s="131" t="s">
        <v>466</v>
      </c>
      <c r="H9" s="132"/>
      <c r="I9" s="45">
        <v>200</v>
      </c>
      <c r="J9" s="61">
        <v>1</v>
      </c>
      <c r="K9" s="31" t="s">
        <v>486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200</v>
      </c>
      <c r="J10" s="9">
        <f>SUM(J9:J9)</f>
        <v>1</v>
      </c>
      <c r="K10" s="130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200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68DFCC40-D928-49FB-9998-0C90248C6DCF}"/>
  </hyperlinks>
  <pageMargins left="0.25" right="0.25" top="0.17" bottom="0.17" header="0.3" footer="0.2"/>
  <pageSetup paperSize="9" scale="79" fitToHeight="0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15E7B-04C3-4263-A627-1C2DAC94B5C7}">
  <sheetPr codeName="Sheet63">
    <pageSetUpPr fitToPage="1"/>
  </sheetPr>
  <dimension ref="A1:K35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45897</v>
      </c>
    </row>
    <row r="6" spans="1:11" s="1" customFormat="1" ht="16.5" x14ac:dyDescent="0.25">
      <c r="A6" s="1" t="s">
        <v>78</v>
      </c>
      <c r="D6" s="1" t="s">
        <v>154</v>
      </c>
      <c r="I6" s="1" t="s">
        <v>18</v>
      </c>
    </row>
    <row r="7" spans="1:11" s="1" customFormat="1" ht="19.5" customHeight="1" x14ac:dyDescent="0.25">
      <c r="A7" s="1" t="s">
        <v>487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39" t="s">
        <v>488</v>
      </c>
      <c r="C9" s="131" t="s">
        <v>496</v>
      </c>
      <c r="D9" s="132"/>
      <c r="E9" s="133" t="s">
        <v>281</v>
      </c>
      <c r="F9" s="132"/>
      <c r="G9" s="131" t="s">
        <v>466</v>
      </c>
      <c r="H9" s="132"/>
      <c r="I9" s="45">
        <v>500</v>
      </c>
      <c r="J9" s="61">
        <v>1</v>
      </c>
      <c r="K9" s="31" t="s">
        <v>489</v>
      </c>
    </row>
    <row r="10" spans="1:11" s="1" customFormat="1" ht="29.25" customHeight="1" x14ac:dyDescent="0.25">
      <c r="A10" s="3" t="s">
        <v>3</v>
      </c>
      <c r="B10" s="39" t="s">
        <v>488</v>
      </c>
      <c r="C10" s="131" t="s">
        <v>497</v>
      </c>
      <c r="D10" s="132"/>
      <c r="E10" s="133" t="s">
        <v>281</v>
      </c>
      <c r="F10" s="132"/>
      <c r="G10" s="131" t="s">
        <v>466</v>
      </c>
      <c r="H10" s="132"/>
      <c r="I10" s="45">
        <v>500</v>
      </c>
      <c r="J10" s="61">
        <v>1</v>
      </c>
      <c r="K10" s="31" t="s">
        <v>490</v>
      </c>
    </row>
    <row r="11" spans="1:11" s="1" customFormat="1" ht="29.25" customHeight="1" x14ac:dyDescent="0.25">
      <c r="A11" s="3" t="s">
        <v>4</v>
      </c>
      <c r="B11" s="60" t="s">
        <v>446</v>
      </c>
      <c r="C11" s="131" t="s">
        <v>498</v>
      </c>
      <c r="D11" s="132"/>
      <c r="E11" s="133" t="s">
        <v>17</v>
      </c>
      <c r="F11" s="132"/>
      <c r="G11" s="131" t="s">
        <v>449</v>
      </c>
      <c r="H11" s="132"/>
      <c r="I11" s="45">
        <v>500</v>
      </c>
      <c r="J11" s="61">
        <v>1</v>
      </c>
      <c r="K11" s="31" t="s">
        <v>491</v>
      </c>
    </row>
    <row r="12" spans="1:11" s="1" customFormat="1" ht="29.25" customHeight="1" x14ac:dyDescent="0.25">
      <c r="A12" s="3" t="s">
        <v>5</v>
      </c>
      <c r="B12" s="60" t="s">
        <v>446</v>
      </c>
      <c r="C12" s="131" t="s">
        <v>498</v>
      </c>
      <c r="D12" s="132"/>
      <c r="E12" s="133" t="s">
        <v>17</v>
      </c>
      <c r="F12" s="132"/>
      <c r="G12" s="131" t="s">
        <v>266</v>
      </c>
      <c r="H12" s="132"/>
      <c r="I12" s="45">
        <v>500</v>
      </c>
      <c r="J12" s="61">
        <v>1</v>
      </c>
      <c r="K12" s="31" t="s">
        <v>254</v>
      </c>
    </row>
    <row r="13" spans="1:11" s="1" customFormat="1" ht="29.25" customHeight="1" x14ac:dyDescent="0.25">
      <c r="A13" s="3" t="s">
        <v>6</v>
      </c>
      <c r="B13" s="40" t="s">
        <v>259</v>
      </c>
      <c r="C13" s="131" t="s">
        <v>499</v>
      </c>
      <c r="D13" s="132"/>
      <c r="E13" s="133" t="s">
        <v>92</v>
      </c>
      <c r="F13" s="132"/>
      <c r="G13" s="131" t="s">
        <v>493</v>
      </c>
      <c r="H13" s="132"/>
      <c r="I13" s="45">
        <v>100</v>
      </c>
      <c r="J13" s="61">
        <v>1</v>
      </c>
      <c r="K13" s="31" t="s">
        <v>494</v>
      </c>
    </row>
    <row r="14" spans="1:11" s="1" customFormat="1" ht="29.25" customHeight="1" x14ac:dyDescent="0.25">
      <c r="A14" s="3" t="s">
        <v>12</v>
      </c>
      <c r="B14" s="40" t="s">
        <v>492</v>
      </c>
      <c r="C14" s="131" t="s">
        <v>500</v>
      </c>
      <c r="D14" s="132"/>
      <c r="E14" s="133" t="s">
        <v>92</v>
      </c>
      <c r="F14" s="132"/>
      <c r="G14" s="131" t="s">
        <v>493</v>
      </c>
      <c r="H14" s="132"/>
      <c r="I14" s="45">
        <v>400</v>
      </c>
      <c r="J14" s="61">
        <v>1</v>
      </c>
      <c r="K14" s="31" t="s">
        <v>495</v>
      </c>
    </row>
    <row r="15" spans="1:11" s="1" customFormat="1" ht="33" customHeight="1" x14ac:dyDescent="0.25">
      <c r="A15" s="118" t="s">
        <v>7</v>
      </c>
      <c r="B15" s="118"/>
      <c r="C15" s="118"/>
      <c r="D15" s="118"/>
      <c r="E15" s="118"/>
      <c r="F15" s="118"/>
      <c r="G15" s="118"/>
      <c r="H15" s="118"/>
      <c r="I15" s="9">
        <f>SUM(I9:I14)</f>
        <v>2500</v>
      </c>
      <c r="J15" s="9">
        <f>SUM(J9:J14)</f>
        <v>6</v>
      </c>
      <c r="K15" s="130" t="s">
        <v>651</v>
      </c>
    </row>
    <row r="16" spans="1:11" s="1" customFormat="1" ht="16.5" x14ac:dyDescent="0.25">
      <c r="A16" s="121" t="s">
        <v>19</v>
      </c>
      <c r="B16" s="121"/>
      <c r="C16" s="121"/>
      <c r="D16" s="121"/>
      <c r="E16" s="121"/>
      <c r="F16" s="121"/>
      <c r="G16" s="121"/>
      <c r="H16" s="121"/>
      <c r="I16" s="121">
        <f>I15</f>
        <v>2500</v>
      </c>
      <c r="J16" s="118">
        <f>J15</f>
        <v>6</v>
      </c>
      <c r="K16" s="118"/>
    </row>
    <row r="17" spans="1:11" ht="15" customHeight="1" x14ac:dyDescent="0.25">
      <c r="A17" s="121"/>
      <c r="B17" s="121"/>
      <c r="C17" s="121"/>
      <c r="D17" s="121"/>
      <c r="E17" s="121"/>
      <c r="F17" s="121"/>
      <c r="G17" s="121"/>
      <c r="H17" s="121"/>
      <c r="I17" s="121"/>
      <c r="J17" s="118"/>
      <c r="K17" s="118"/>
    </row>
    <row r="19" spans="1:11" x14ac:dyDescent="0.25">
      <c r="B19" s="10" t="s">
        <v>62</v>
      </c>
      <c r="H19" t="s">
        <v>23</v>
      </c>
    </row>
    <row r="20" spans="1:11" ht="101.25" customHeight="1" x14ac:dyDescent="0.25">
      <c r="B20" s="10"/>
    </row>
    <row r="21" spans="1:11" s="1" customFormat="1" ht="16.5" x14ac:dyDescent="0.25"/>
    <row r="22" spans="1:11" s="1" customFormat="1" ht="20.25" x14ac:dyDescent="0.3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</row>
    <row r="23" spans="1:11" s="1" customFormat="1" ht="20.25" x14ac:dyDescent="0.3">
      <c r="A23" s="99"/>
      <c r="B23" s="99"/>
      <c r="C23" s="99"/>
      <c r="D23" s="99"/>
      <c r="E23" s="99"/>
      <c r="F23" s="99"/>
      <c r="G23" s="99"/>
      <c r="H23" s="99"/>
      <c r="I23" s="99"/>
      <c r="J23" s="99"/>
      <c r="K23" s="99"/>
    </row>
    <row r="24" spans="1:11" s="1" customFormat="1" ht="20.2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</row>
    <row r="25" spans="1:11" s="1" customFormat="1" ht="16.5" x14ac:dyDescent="0.25"/>
    <row r="26" spans="1:11" s="1" customFormat="1" ht="16.5" x14ac:dyDescent="0.25"/>
    <row r="27" spans="1:11" s="1" customFormat="1" ht="19.5" customHeight="1" x14ac:dyDescent="0.25"/>
    <row r="28" spans="1:11" s="1" customFormat="1" ht="30.75" customHeight="1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21"/>
    </row>
    <row r="31" spans="1:11" s="1" customFormat="1" ht="35.25" customHeight="1" x14ac:dyDescent="0.25">
      <c r="A31" s="21"/>
    </row>
    <row r="32" spans="1:11" s="1" customFormat="1" ht="35.25" customHeight="1" x14ac:dyDescent="0.25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19"/>
    </row>
    <row r="33" spans="1:11" s="1" customFormat="1" ht="35.25" customHeight="1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</row>
    <row r="34" spans="1:11" s="1" customFormat="1" ht="16.5" x14ac:dyDescent="0.25">
      <c r="A34" s="100"/>
      <c r="B34" s="101"/>
      <c r="C34" s="11"/>
      <c r="D34" s="11"/>
      <c r="E34" s="11"/>
      <c r="F34" s="11"/>
      <c r="G34" s="11"/>
      <c r="H34" s="5"/>
      <c r="I34" s="5"/>
      <c r="J34" s="5"/>
      <c r="K34" s="5"/>
    </row>
    <row r="35" spans="1:11" s="1" customFormat="1" ht="16.5" x14ac:dyDescent="0.25">
      <c r="J35" s="102"/>
      <c r="K35" s="102"/>
    </row>
  </sheetData>
  <mergeCells count="32">
    <mergeCell ref="E12:F12"/>
    <mergeCell ref="E13:F13"/>
    <mergeCell ref="E14:F14"/>
    <mergeCell ref="G10:H10"/>
    <mergeCell ref="G11:H11"/>
    <mergeCell ref="G12:H12"/>
    <mergeCell ref="G13:H13"/>
    <mergeCell ref="G14:H14"/>
    <mergeCell ref="A23:K23"/>
    <mergeCell ref="A34:B34"/>
    <mergeCell ref="J35:K35"/>
    <mergeCell ref="C10:D10"/>
    <mergeCell ref="C11:D11"/>
    <mergeCell ref="C12:D12"/>
    <mergeCell ref="C13:D13"/>
    <mergeCell ref="C14:D14"/>
    <mergeCell ref="E10:F10"/>
    <mergeCell ref="E11:F11"/>
    <mergeCell ref="A15:H15"/>
    <mergeCell ref="K15:K17"/>
    <mergeCell ref="A16:H17"/>
    <mergeCell ref="I16:I17"/>
    <mergeCell ref="J16:J17"/>
    <mergeCell ref="A22:K22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ACDBDCFA-2543-4461-AD02-D133B6FD8E3B}"/>
  </hyperlinks>
  <pageMargins left="0.25" right="0.25" top="0.17" bottom="0.17" header="0.3" footer="0.2"/>
  <pageSetup paperSize="9" scale="79" fitToHeight="0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05773-F183-4FB2-83E7-EA3293804238}">
  <sheetPr codeName="Sheet72">
    <pageSetUpPr fitToPage="1"/>
  </sheetPr>
  <dimension ref="A1:K46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45915</v>
      </c>
    </row>
    <row r="6" spans="1:11" s="1" customFormat="1" ht="16.5" x14ac:dyDescent="0.25">
      <c r="A6" s="1" t="s">
        <v>78</v>
      </c>
      <c r="D6" s="1" t="s">
        <v>124</v>
      </c>
      <c r="I6" s="1" t="s">
        <v>18</v>
      </c>
    </row>
    <row r="7" spans="1:11" s="1" customFormat="1" ht="19.5" customHeight="1" x14ac:dyDescent="0.25">
      <c r="A7" s="1" t="s">
        <v>487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15" t="s">
        <v>35</v>
      </c>
      <c r="C9" s="134" t="s">
        <v>540</v>
      </c>
      <c r="D9" s="135"/>
      <c r="E9" s="136" t="s">
        <v>557</v>
      </c>
      <c r="F9" s="137"/>
      <c r="G9" s="131" t="s">
        <v>72</v>
      </c>
      <c r="H9" s="132"/>
      <c r="I9" s="65">
        <v>250</v>
      </c>
      <c r="J9" s="138">
        <v>1</v>
      </c>
      <c r="K9" s="125" t="s">
        <v>42</v>
      </c>
    </row>
    <row r="10" spans="1:11" s="1" customFormat="1" ht="29.25" customHeight="1" x14ac:dyDescent="0.25">
      <c r="A10" s="3" t="s">
        <v>3</v>
      </c>
      <c r="B10" s="13" t="s">
        <v>36</v>
      </c>
      <c r="C10" s="134" t="s">
        <v>541</v>
      </c>
      <c r="D10" s="135"/>
      <c r="E10" s="136" t="s">
        <v>17</v>
      </c>
      <c r="F10" s="137"/>
      <c r="G10" s="131" t="s">
        <v>72</v>
      </c>
      <c r="H10" s="132"/>
      <c r="I10" s="66">
        <v>1000</v>
      </c>
      <c r="J10" s="139"/>
      <c r="K10" s="126"/>
    </row>
    <row r="11" spans="1:11" s="1" customFormat="1" ht="29.25" customHeight="1" x14ac:dyDescent="0.25">
      <c r="A11" s="3" t="s">
        <v>4</v>
      </c>
      <c r="B11" s="64" t="s">
        <v>537</v>
      </c>
      <c r="C11" s="134" t="s">
        <v>542</v>
      </c>
      <c r="D11" s="135"/>
      <c r="E11" s="140" t="s">
        <v>25</v>
      </c>
      <c r="F11" s="141"/>
      <c r="G11" s="131" t="s">
        <v>72</v>
      </c>
      <c r="H11" s="132"/>
      <c r="I11" s="43">
        <v>100</v>
      </c>
      <c r="J11" s="138">
        <v>1</v>
      </c>
      <c r="K11" s="125" t="s">
        <v>561</v>
      </c>
    </row>
    <row r="12" spans="1:11" s="1" customFormat="1" ht="29.25" customHeight="1" x14ac:dyDescent="0.25">
      <c r="A12" s="3" t="s">
        <v>5</v>
      </c>
      <c r="B12" s="64" t="s">
        <v>538</v>
      </c>
      <c r="C12" s="134" t="s">
        <v>543</v>
      </c>
      <c r="D12" s="135"/>
      <c r="E12" s="140" t="s">
        <v>557</v>
      </c>
      <c r="F12" s="141"/>
      <c r="G12" s="131" t="s">
        <v>72</v>
      </c>
      <c r="H12" s="132"/>
      <c r="I12" s="43">
        <v>250</v>
      </c>
      <c r="J12" s="149"/>
      <c r="K12" s="148"/>
    </row>
    <row r="13" spans="1:11" s="1" customFormat="1" ht="29.25" customHeight="1" x14ac:dyDescent="0.25">
      <c r="A13" s="3" t="s">
        <v>6</v>
      </c>
      <c r="B13" s="64" t="s">
        <v>539</v>
      </c>
      <c r="C13" s="134" t="s">
        <v>544</v>
      </c>
      <c r="D13" s="135"/>
      <c r="E13" s="140" t="s">
        <v>17</v>
      </c>
      <c r="F13" s="141"/>
      <c r="G13" s="131" t="s">
        <v>72</v>
      </c>
      <c r="H13" s="132"/>
      <c r="I13" s="67">
        <v>500</v>
      </c>
      <c r="J13" s="139"/>
      <c r="K13" s="126"/>
    </row>
    <row r="14" spans="1:11" s="1" customFormat="1" ht="29.25" customHeight="1" x14ac:dyDescent="0.25">
      <c r="A14" s="3" t="s">
        <v>12</v>
      </c>
      <c r="B14" s="13" t="s">
        <v>31</v>
      </c>
      <c r="C14" s="134" t="s">
        <v>545</v>
      </c>
      <c r="D14" s="135"/>
      <c r="E14" s="142" t="s">
        <v>25</v>
      </c>
      <c r="F14" s="143"/>
      <c r="G14" s="131" t="s">
        <v>72</v>
      </c>
      <c r="H14" s="132"/>
      <c r="I14" s="65">
        <v>300</v>
      </c>
      <c r="J14" s="138">
        <v>1</v>
      </c>
      <c r="K14" s="125" t="s">
        <v>38</v>
      </c>
    </row>
    <row r="15" spans="1:11" s="1" customFormat="1" ht="29.25" customHeight="1" x14ac:dyDescent="0.25">
      <c r="A15" s="3" t="s">
        <v>13</v>
      </c>
      <c r="B15" s="13" t="s">
        <v>32</v>
      </c>
      <c r="C15" s="134" t="s">
        <v>546</v>
      </c>
      <c r="D15" s="135"/>
      <c r="E15" s="146" t="s">
        <v>558</v>
      </c>
      <c r="F15" s="147"/>
      <c r="G15" s="131" t="s">
        <v>72</v>
      </c>
      <c r="H15" s="132"/>
      <c r="I15" s="65">
        <v>300</v>
      </c>
      <c r="J15" s="149"/>
      <c r="K15" s="148"/>
    </row>
    <row r="16" spans="1:11" s="1" customFormat="1" ht="29.25" customHeight="1" x14ac:dyDescent="0.25">
      <c r="A16" s="3" t="s">
        <v>14</v>
      </c>
      <c r="B16" s="13" t="s">
        <v>33</v>
      </c>
      <c r="C16" s="134" t="s">
        <v>547</v>
      </c>
      <c r="D16" s="135"/>
      <c r="E16" s="144" t="s">
        <v>17</v>
      </c>
      <c r="F16" s="145"/>
      <c r="G16" s="131" t="s">
        <v>72</v>
      </c>
      <c r="H16" s="132"/>
      <c r="I16" s="68">
        <v>2500</v>
      </c>
      <c r="J16" s="139"/>
      <c r="K16" s="126"/>
    </row>
    <row r="17" spans="1:11" s="1" customFormat="1" ht="29.25" customHeight="1" x14ac:dyDescent="0.25">
      <c r="A17" s="3" t="s">
        <v>15</v>
      </c>
      <c r="B17" s="14" t="s">
        <v>34</v>
      </c>
      <c r="C17" s="134" t="s">
        <v>548</v>
      </c>
      <c r="D17" s="135"/>
      <c r="E17" s="144" t="s">
        <v>17</v>
      </c>
      <c r="F17" s="145"/>
      <c r="G17" s="131" t="s">
        <v>72</v>
      </c>
      <c r="H17" s="132"/>
      <c r="I17" s="69">
        <v>500</v>
      </c>
      <c r="J17" s="61">
        <v>1</v>
      </c>
      <c r="K17" s="31" t="s">
        <v>39</v>
      </c>
    </row>
    <row r="18" spans="1:11" s="1" customFormat="1" ht="29.25" customHeight="1" x14ac:dyDescent="0.25">
      <c r="A18" s="3" t="s">
        <v>16</v>
      </c>
      <c r="B18" s="15" t="s">
        <v>43</v>
      </c>
      <c r="C18" s="134" t="s">
        <v>549</v>
      </c>
      <c r="D18" s="135"/>
      <c r="E18" s="142" t="s">
        <v>25</v>
      </c>
      <c r="F18" s="143"/>
      <c r="G18" s="131" t="s">
        <v>72</v>
      </c>
      <c r="H18" s="132"/>
      <c r="I18" s="17">
        <v>300</v>
      </c>
      <c r="J18" s="138">
        <v>1</v>
      </c>
      <c r="K18" s="125" t="s">
        <v>59</v>
      </c>
    </row>
    <row r="19" spans="1:11" s="1" customFormat="1" ht="29.25" customHeight="1" x14ac:dyDescent="0.25">
      <c r="A19" s="3" t="s">
        <v>20</v>
      </c>
      <c r="B19" s="16" t="s">
        <v>44</v>
      </c>
      <c r="C19" s="134" t="s">
        <v>550</v>
      </c>
      <c r="D19" s="135"/>
      <c r="E19" s="146" t="s">
        <v>558</v>
      </c>
      <c r="F19" s="147"/>
      <c r="G19" s="131" t="s">
        <v>72</v>
      </c>
      <c r="H19" s="132"/>
      <c r="I19" s="17">
        <v>500</v>
      </c>
      <c r="J19" s="149"/>
      <c r="K19" s="148"/>
    </row>
    <row r="20" spans="1:11" s="1" customFormat="1" ht="29.25" customHeight="1" x14ac:dyDescent="0.25">
      <c r="A20" s="3" t="s">
        <v>21</v>
      </c>
      <c r="B20" s="16" t="s">
        <v>45</v>
      </c>
      <c r="C20" s="134" t="s">
        <v>551</v>
      </c>
      <c r="D20" s="135"/>
      <c r="E20" s="144" t="s">
        <v>17</v>
      </c>
      <c r="F20" s="145"/>
      <c r="G20" s="131" t="s">
        <v>72</v>
      </c>
      <c r="H20" s="132"/>
      <c r="I20" s="68">
        <v>8000</v>
      </c>
      <c r="J20" s="149"/>
      <c r="K20" s="148"/>
    </row>
    <row r="21" spans="1:11" s="1" customFormat="1" ht="29.25" customHeight="1" x14ac:dyDescent="0.25">
      <c r="A21" s="3" t="s">
        <v>22</v>
      </c>
      <c r="B21" s="16" t="s">
        <v>45</v>
      </c>
      <c r="C21" s="134" t="s">
        <v>552</v>
      </c>
      <c r="D21" s="135"/>
      <c r="E21" s="144" t="s">
        <v>17</v>
      </c>
      <c r="F21" s="145"/>
      <c r="G21" s="131" t="s">
        <v>72</v>
      </c>
      <c r="H21" s="132"/>
      <c r="I21" s="68">
        <v>150</v>
      </c>
      <c r="J21" s="149"/>
      <c r="K21" s="148"/>
    </row>
    <row r="22" spans="1:11" s="1" customFormat="1" ht="29.25" customHeight="1" x14ac:dyDescent="0.25">
      <c r="A22" s="3" t="s">
        <v>63</v>
      </c>
      <c r="B22" s="16" t="s">
        <v>46</v>
      </c>
      <c r="C22" s="134" t="s">
        <v>553</v>
      </c>
      <c r="D22" s="135"/>
      <c r="E22" s="142" t="s">
        <v>559</v>
      </c>
      <c r="F22" s="143"/>
      <c r="G22" s="131" t="s">
        <v>72</v>
      </c>
      <c r="H22" s="132"/>
      <c r="I22" s="17">
        <v>300</v>
      </c>
      <c r="J22" s="139"/>
      <c r="K22" s="126"/>
    </row>
    <row r="23" spans="1:11" s="1" customFormat="1" ht="29.25" customHeight="1" x14ac:dyDescent="0.25">
      <c r="A23" s="3" t="s">
        <v>64</v>
      </c>
      <c r="B23" s="26" t="s">
        <v>47</v>
      </c>
      <c r="C23" s="134" t="s">
        <v>554</v>
      </c>
      <c r="D23" s="135"/>
      <c r="E23" s="142" t="s">
        <v>560</v>
      </c>
      <c r="F23" s="143"/>
      <c r="G23" s="131" t="s">
        <v>72</v>
      </c>
      <c r="H23" s="132"/>
      <c r="I23" s="29">
        <v>500</v>
      </c>
      <c r="J23" s="138">
        <v>1</v>
      </c>
      <c r="K23" s="125" t="s">
        <v>60</v>
      </c>
    </row>
    <row r="24" spans="1:11" s="1" customFormat="1" ht="29.25" customHeight="1" x14ac:dyDescent="0.25">
      <c r="A24" s="3" t="s">
        <v>535</v>
      </c>
      <c r="B24" s="16" t="s">
        <v>48</v>
      </c>
      <c r="C24" s="134" t="s">
        <v>555</v>
      </c>
      <c r="D24" s="135"/>
      <c r="E24" s="146" t="s">
        <v>57</v>
      </c>
      <c r="F24" s="147"/>
      <c r="G24" s="131" t="s">
        <v>72</v>
      </c>
      <c r="H24" s="132"/>
      <c r="I24" s="17">
        <v>1500</v>
      </c>
      <c r="J24" s="139"/>
      <c r="K24" s="126"/>
    </row>
    <row r="25" spans="1:11" s="1" customFormat="1" ht="29.25" customHeight="1" x14ac:dyDescent="0.25">
      <c r="A25" s="3" t="s">
        <v>536</v>
      </c>
      <c r="B25" s="14" t="s">
        <v>49</v>
      </c>
      <c r="C25" s="134" t="s">
        <v>556</v>
      </c>
      <c r="D25" s="135"/>
      <c r="E25" s="146" t="s">
        <v>17</v>
      </c>
      <c r="F25" s="147"/>
      <c r="G25" s="131" t="s">
        <v>72</v>
      </c>
      <c r="H25" s="132"/>
      <c r="I25" s="69">
        <v>1000</v>
      </c>
      <c r="J25" s="61">
        <v>1</v>
      </c>
      <c r="K25" s="31" t="s">
        <v>61</v>
      </c>
    </row>
    <row r="26" spans="1:11" s="1" customFormat="1" ht="33" customHeight="1" x14ac:dyDescent="0.25">
      <c r="A26" s="118" t="s">
        <v>7</v>
      </c>
      <c r="B26" s="118"/>
      <c r="C26" s="118"/>
      <c r="D26" s="118"/>
      <c r="E26" s="118"/>
      <c r="F26" s="118"/>
      <c r="G26" s="118"/>
      <c r="H26" s="118"/>
      <c r="I26" s="9">
        <f>SUM(I9:I25)</f>
        <v>17950</v>
      </c>
      <c r="J26" s="9">
        <f>SUM(J9:J25)</f>
        <v>7</v>
      </c>
      <c r="K26" s="130" t="s">
        <v>651</v>
      </c>
    </row>
    <row r="27" spans="1:11" s="1" customFormat="1" ht="16.5" x14ac:dyDescent="0.25">
      <c r="A27" s="121" t="s">
        <v>19</v>
      </c>
      <c r="B27" s="121"/>
      <c r="C27" s="121"/>
      <c r="D27" s="121"/>
      <c r="E27" s="121"/>
      <c r="F27" s="121"/>
      <c r="G27" s="121"/>
      <c r="H27" s="121"/>
      <c r="I27" s="121">
        <f>I26</f>
        <v>17950</v>
      </c>
      <c r="J27" s="118">
        <f>J26</f>
        <v>7</v>
      </c>
      <c r="K27" s="118"/>
    </row>
    <row r="28" spans="1:11" ht="15" customHeight="1" x14ac:dyDescent="0.25">
      <c r="A28" s="121"/>
      <c r="B28" s="121"/>
      <c r="C28" s="121"/>
      <c r="D28" s="121"/>
      <c r="E28" s="121"/>
      <c r="F28" s="121"/>
      <c r="G28" s="121"/>
      <c r="H28" s="121"/>
      <c r="I28" s="121"/>
      <c r="J28" s="118"/>
      <c r="K28" s="118"/>
    </row>
    <row r="30" spans="1:11" x14ac:dyDescent="0.25">
      <c r="B30" s="10" t="s">
        <v>62</v>
      </c>
      <c r="H30" t="s">
        <v>23</v>
      </c>
    </row>
    <row r="31" spans="1:11" ht="101.25" customHeight="1" x14ac:dyDescent="0.25">
      <c r="B31" s="10"/>
    </row>
    <row r="32" spans="1:11" s="1" customFormat="1" ht="16.5" x14ac:dyDescent="0.25"/>
    <row r="33" spans="1:11" s="1" customFormat="1" ht="20.25" x14ac:dyDescent="0.3">
      <c r="A33" s="99"/>
      <c r="B33" s="99"/>
      <c r="C33" s="99"/>
      <c r="D33" s="99"/>
      <c r="E33" s="99"/>
      <c r="F33" s="99"/>
      <c r="G33" s="99"/>
      <c r="H33" s="99"/>
      <c r="I33" s="99"/>
      <c r="J33" s="99"/>
      <c r="K33" s="99"/>
    </row>
    <row r="34" spans="1:11" s="1" customFormat="1" ht="20.25" x14ac:dyDescent="0.3">
      <c r="A34" s="99"/>
      <c r="B34" s="99"/>
      <c r="C34" s="99"/>
      <c r="D34" s="99"/>
      <c r="E34" s="99"/>
      <c r="F34" s="99"/>
      <c r="G34" s="99"/>
      <c r="H34" s="99"/>
      <c r="I34" s="99"/>
      <c r="J34" s="99"/>
      <c r="K34" s="99"/>
    </row>
    <row r="35" spans="1:11" s="1" customFormat="1" ht="20.25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</row>
    <row r="36" spans="1:11" s="1" customFormat="1" ht="16.5" x14ac:dyDescent="0.25"/>
    <row r="37" spans="1:11" s="1" customFormat="1" ht="16.5" x14ac:dyDescent="0.25"/>
    <row r="38" spans="1:11" s="1" customFormat="1" ht="19.5" customHeight="1" x14ac:dyDescent="0.25"/>
    <row r="39" spans="1:11" s="1" customFormat="1" ht="30.75" customHeight="1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</row>
    <row r="40" spans="1:11" s="1" customFormat="1" ht="35.25" customHeight="1" x14ac:dyDescent="0.25">
      <c r="A40" s="21"/>
    </row>
    <row r="41" spans="1:11" s="1" customFormat="1" ht="35.25" customHeight="1" x14ac:dyDescent="0.25">
      <c r="A41" s="21"/>
    </row>
    <row r="42" spans="1:11" s="1" customFormat="1" ht="35.25" customHeight="1" x14ac:dyDescent="0.25">
      <c r="A42" s="21"/>
    </row>
    <row r="43" spans="1:11" s="1" customFormat="1" ht="35.25" customHeight="1" x14ac:dyDescent="0.25">
      <c r="A43" s="18"/>
      <c r="B43" s="19"/>
      <c r="C43" s="19"/>
      <c r="D43" s="19"/>
      <c r="E43" s="19"/>
      <c r="F43" s="19"/>
      <c r="G43" s="19"/>
      <c r="H43" s="19"/>
      <c r="I43" s="19"/>
      <c r="J43" s="19"/>
      <c r="K43" s="19"/>
    </row>
    <row r="44" spans="1:11" s="1" customFormat="1" ht="35.25" customHeight="1" x14ac:dyDescent="0.25">
      <c r="A44" s="3"/>
      <c r="B44" s="4"/>
      <c r="C44" s="4"/>
      <c r="D44" s="4"/>
      <c r="E44" s="4"/>
      <c r="F44" s="4"/>
      <c r="G44" s="4"/>
      <c r="H44" s="4"/>
      <c r="I44" s="4"/>
      <c r="J44" s="4"/>
      <c r="K44" s="4"/>
    </row>
    <row r="45" spans="1:11" s="1" customFormat="1" ht="16.5" x14ac:dyDescent="0.25">
      <c r="A45" s="100"/>
      <c r="B45" s="101"/>
      <c r="C45" s="11"/>
      <c r="D45" s="11"/>
      <c r="E45" s="11"/>
      <c r="F45" s="11"/>
      <c r="G45" s="11"/>
      <c r="H45" s="5"/>
      <c r="I45" s="5"/>
      <c r="J45" s="5"/>
      <c r="K45" s="5"/>
    </row>
    <row r="46" spans="1:11" s="1" customFormat="1" ht="16.5" x14ac:dyDescent="0.25">
      <c r="J46" s="102"/>
      <c r="K46" s="102"/>
    </row>
  </sheetData>
  <mergeCells count="75">
    <mergeCell ref="K11:K13"/>
    <mergeCell ref="J11:J13"/>
    <mergeCell ref="J14:J16"/>
    <mergeCell ref="J18:J22"/>
    <mergeCell ref="J23:J24"/>
    <mergeCell ref="K14:K16"/>
    <mergeCell ref="K18:K22"/>
    <mergeCell ref="K23:K24"/>
    <mergeCell ref="G15:H15"/>
    <mergeCell ref="G16:H16"/>
    <mergeCell ref="G17:H17"/>
    <mergeCell ref="G18:H18"/>
    <mergeCell ref="G19:H19"/>
    <mergeCell ref="J46:K46"/>
    <mergeCell ref="C15:D15"/>
    <mergeCell ref="C16:D16"/>
    <mergeCell ref="C17:D17"/>
    <mergeCell ref="C25:D25"/>
    <mergeCell ref="C18:D18"/>
    <mergeCell ref="C19:D19"/>
    <mergeCell ref="C23:D23"/>
    <mergeCell ref="C24:D24"/>
    <mergeCell ref="C22:D22"/>
    <mergeCell ref="E15:F15"/>
    <mergeCell ref="E16:F16"/>
    <mergeCell ref="E17:F17"/>
    <mergeCell ref="E18:F18"/>
    <mergeCell ref="E19:F19"/>
    <mergeCell ref="E20:F20"/>
    <mergeCell ref="C20:D20"/>
    <mergeCell ref="C21:D21"/>
    <mergeCell ref="A33:K33"/>
    <mergeCell ref="A34:K34"/>
    <mergeCell ref="A45:B45"/>
    <mergeCell ref="G25:H25"/>
    <mergeCell ref="E21:F21"/>
    <mergeCell ref="E22:F22"/>
    <mergeCell ref="E23:F23"/>
    <mergeCell ref="E24:F24"/>
    <mergeCell ref="E25:F25"/>
    <mergeCell ref="G20:H20"/>
    <mergeCell ref="G21:H21"/>
    <mergeCell ref="G22:H22"/>
    <mergeCell ref="G23:H23"/>
    <mergeCell ref="G24:H24"/>
    <mergeCell ref="A26:H26"/>
    <mergeCell ref="K26:K28"/>
    <mergeCell ref="A27:H28"/>
    <mergeCell ref="I27:I28"/>
    <mergeCell ref="J27:J28"/>
    <mergeCell ref="C13:D13"/>
    <mergeCell ref="E13:F13"/>
    <mergeCell ref="G13:H13"/>
    <mergeCell ref="C14:D14"/>
    <mergeCell ref="E14:F14"/>
    <mergeCell ref="G14:H14"/>
    <mergeCell ref="C11:D11"/>
    <mergeCell ref="E11:F11"/>
    <mergeCell ref="G11:H11"/>
    <mergeCell ref="C12:D12"/>
    <mergeCell ref="E12:F12"/>
    <mergeCell ref="G12:H12"/>
    <mergeCell ref="A2:K2"/>
    <mergeCell ref="A3:K3"/>
    <mergeCell ref="C8:D8"/>
    <mergeCell ref="E8:F8"/>
    <mergeCell ref="G8:H8"/>
    <mergeCell ref="C9:D9"/>
    <mergeCell ref="E9:F9"/>
    <mergeCell ref="G9:H9"/>
    <mergeCell ref="K9:K10"/>
    <mergeCell ref="J9:J10"/>
    <mergeCell ref="C10:D10"/>
    <mergeCell ref="E10:F10"/>
    <mergeCell ref="G10:H10"/>
  </mergeCells>
  <phoneticPr fontId="21" type="noConversion"/>
  <hyperlinks>
    <hyperlink ref="D5" location="'Muc Luc'!A1" display="Mr Cường" xr:uid="{77235874-7FF5-42D2-847A-434CC4CAE3EF}"/>
  </hyperlinks>
  <pageMargins left="0.25" right="0.25" top="0.17" bottom="0.17" header="0.3" footer="0.2"/>
  <pageSetup paperSize="9" scale="79" fitToHeight="0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A09BF-DC19-48A5-BB66-442A168552FD}">
  <sheetPr codeName="Sheet64">
    <pageSetUpPr fitToPage="1"/>
  </sheetPr>
  <dimension ref="A1:K32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45899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487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27" t="s">
        <v>505</v>
      </c>
      <c r="C9" s="131" t="s">
        <v>508</v>
      </c>
      <c r="D9" s="132"/>
      <c r="E9" s="133" t="s">
        <v>506</v>
      </c>
      <c r="F9" s="132"/>
      <c r="G9" s="131" t="s">
        <v>466</v>
      </c>
      <c r="H9" s="132"/>
      <c r="I9" s="45">
        <v>100</v>
      </c>
      <c r="J9" s="61">
        <v>1</v>
      </c>
      <c r="K9" s="31" t="s">
        <v>507</v>
      </c>
    </row>
    <row r="10" spans="1:11" s="1" customFormat="1" ht="29.25" customHeight="1" x14ac:dyDescent="0.25">
      <c r="A10" s="3" t="s">
        <v>3</v>
      </c>
      <c r="B10" s="39" t="s">
        <v>462</v>
      </c>
      <c r="C10" s="131" t="s">
        <v>501</v>
      </c>
      <c r="D10" s="132"/>
      <c r="E10" s="133" t="s">
        <v>456</v>
      </c>
      <c r="F10" s="132"/>
      <c r="G10" s="131" t="s">
        <v>469</v>
      </c>
      <c r="H10" s="132"/>
      <c r="I10" s="45">
        <v>200</v>
      </c>
      <c r="J10" s="61">
        <v>1</v>
      </c>
      <c r="K10" s="31" t="s">
        <v>503</v>
      </c>
    </row>
    <row r="11" spans="1:11" s="1" customFormat="1" ht="29.25" customHeight="1" x14ac:dyDescent="0.25">
      <c r="A11" s="3" t="s">
        <v>4</v>
      </c>
      <c r="B11" s="39" t="s">
        <v>462</v>
      </c>
      <c r="C11" s="131" t="s">
        <v>502</v>
      </c>
      <c r="D11" s="132"/>
      <c r="E11" s="133" t="s">
        <v>456</v>
      </c>
      <c r="F11" s="132"/>
      <c r="G11" s="131" t="s">
        <v>469</v>
      </c>
      <c r="H11" s="132"/>
      <c r="I11" s="45">
        <v>300</v>
      </c>
      <c r="J11" s="61">
        <v>1</v>
      </c>
      <c r="K11" s="31" t="s">
        <v>504</v>
      </c>
    </row>
    <row r="12" spans="1:11" s="1" customFormat="1" ht="33" customHeight="1" x14ac:dyDescent="0.25">
      <c r="A12" s="118" t="s">
        <v>7</v>
      </c>
      <c r="B12" s="118"/>
      <c r="C12" s="118"/>
      <c r="D12" s="118"/>
      <c r="E12" s="118"/>
      <c r="F12" s="118"/>
      <c r="G12" s="118"/>
      <c r="H12" s="118"/>
      <c r="I12" s="9">
        <f>SUM(I9:I11)</f>
        <v>600</v>
      </c>
      <c r="J12" s="9">
        <f>SUM(J9:J11)</f>
        <v>3</v>
      </c>
      <c r="K12" s="130" t="s">
        <v>651</v>
      </c>
    </row>
    <row r="13" spans="1:11" s="1" customFormat="1" ht="16.5" x14ac:dyDescent="0.25">
      <c r="A13" s="121" t="s">
        <v>19</v>
      </c>
      <c r="B13" s="121"/>
      <c r="C13" s="121"/>
      <c r="D13" s="121"/>
      <c r="E13" s="121"/>
      <c r="F13" s="121"/>
      <c r="G13" s="121"/>
      <c r="H13" s="121"/>
      <c r="I13" s="121">
        <f>I12</f>
        <v>600</v>
      </c>
      <c r="J13" s="118">
        <f>J12</f>
        <v>3</v>
      </c>
      <c r="K13" s="118"/>
    </row>
    <row r="14" spans="1:11" ht="15" customHeight="1" x14ac:dyDescent="0.25">
      <c r="A14" s="121"/>
      <c r="B14" s="121"/>
      <c r="C14" s="121"/>
      <c r="D14" s="121"/>
      <c r="E14" s="121"/>
      <c r="F14" s="121"/>
      <c r="G14" s="121"/>
      <c r="H14" s="121"/>
      <c r="I14" s="121"/>
      <c r="J14" s="118"/>
      <c r="K14" s="118"/>
    </row>
    <row r="16" spans="1:11" x14ac:dyDescent="0.25">
      <c r="B16" s="10" t="s">
        <v>62</v>
      </c>
      <c r="H16" t="s">
        <v>23</v>
      </c>
    </row>
    <row r="17" spans="1:11" ht="101.25" customHeight="1" x14ac:dyDescent="0.25">
      <c r="B17" s="10"/>
    </row>
    <row r="18" spans="1:11" s="1" customFormat="1" ht="16.5" x14ac:dyDescent="0.25"/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</row>
    <row r="22" spans="1:11" s="1" customFormat="1" ht="16.5" x14ac:dyDescent="0.25"/>
    <row r="23" spans="1:11" s="1" customFormat="1" ht="16.5" x14ac:dyDescent="0.25"/>
    <row r="24" spans="1:11" s="1" customFormat="1" ht="19.5" customHeight="1" x14ac:dyDescent="0.25"/>
    <row r="25" spans="1:11" s="1" customFormat="1" ht="30.75" customHeight="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18"/>
      <c r="B29" s="19"/>
      <c r="C29" s="19"/>
      <c r="D29" s="19"/>
      <c r="E29" s="19"/>
      <c r="F29" s="19"/>
      <c r="G29" s="19"/>
      <c r="H29" s="19"/>
      <c r="I29" s="19"/>
      <c r="J29" s="19"/>
      <c r="K29" s="19"/>
    </row>
    <row r="30" spans="1:11" s="1" customFormat="1" ht="35.25" customHeight="1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s="1" customFormat="1" ht="16.5" x14ac:dyDescent="0.25">
      <c r="A31" s="100"/>
      <c r="B31" s="101"/>
      <c r="C31" s="11"/>
      <c r="D31" s="11"/>
      <c r="E31" s="11"/>
      <c r="F31" s="11"/>
      <c r="G31" s="11"/>
      <c r="H31" s="5"/>
      <c r="I31" s="5"/>
      <c r="J31" s="5"/>
      <c r="K31" s="5"/>
    </row>
    <row r="32" spans="1:11" s="1" customFormat="1" ht="16.5" x14ac:dyDescent="0.25">
      <c r="J32" s="102"/>
      <c r="K32" s="102"/>
    </row>
  </sheetData>
  <mergeCells count="23">
    <mergeCell ref="C9:D9"/>
    <mergeCell ref="E9:F9"/>
    <mergeCell ref="G9:H9"/>
    <mergeCell ref="A2:K2"/>
    <mergeCell ref="A3:K3"/>
    <mergeCell ref="C8:D8"/>
    <mergeCell ref="E8:F8"/>
    <mergeCell ref="G8:H8"/>
    <mergeCell ref="C10:D10"/>
    <mergeCell ref="E10:F10"/>
    <mergeCell ref="G10:H10"/>
    <mergeCell ref="C11:D11"/>
    <mergeCell ref="E11:F11"/>
    <mergeCell ref="G11:H11"/>
    <mergeCell ref="A19:K19"/>
    <mergeCell ref="A20:K20"/>
    <mergeCell ref="A31:B31"/>
    <mergeCell ref="J32:K32"/>
    <mergeCell ref="A12:H12"/>
    <mergeCell ref="K12:K14"/>
    <mergeCell ref="A13:H14"/>
    <mergeCell ref="I13:I14"/>
    <mergeCell ref="J13:J14"/>
  </mergeCells>
  <phoneticPr fontId="21" type="noConversion"/>
  <hyperlinks>
    <hyperlink ref="D5" location="'Muc Luc'!A1" display="Mr Cường" xr:uid="{F0A76813-B6E4-47A9-95FD-91D687C5856A}"/>
  </hyperlinks>
  <pageMargins left="0.25" right="0.25" top="0.17" bottom="0.17" header="0.3" footer="0.2"/>
  <pageSetup paperSize="9" scale="79" fitToHeight="0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9ABCA-190F-45A7-9D56-C21E1EFAE8B9}">
  <sheetPr codeName="Sheet65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45899</v>
      </c>
    </row>
    <row r="6" spans="1:11" s="1" customFormat="1" ht="16.5" x14ac:dyDescent="0.25">
      <c r="A6" s="1" t="s">
        <v>78</v>
      </c>
      <c r="D6" s="1" t="s">
        <v>97</v>
      </c>
      <c r="I6" s="1" t="s">
        <v>18</v>
      </c>
    </row>
    <row r="7" spans="1:11" s="1" customFormat="1" ht="19.5" customHeight="1" x14ac:dyDescent="0.25">
      <c r="A7" s="1" t="s">
        <v>487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40" t="s">
        <v>509</v>
      </c>
      <c r="C9" s="131" t="s">
        <v>511</v>
      </c>
      <c r="D9" s="132"/>
      <c r="E9" s="133" t="s">
        <v>17</v>
      </c>
      <c r="F9" s="132"/>
      <c r="G9" s="131" t="s">
        <v>231</v>
      </c>
      <c r="H9" s="132"/>
      <c r="I9" s="45">
        <v>500</v>
      </c>
      <c r="J9" s="61">
        <v>1</v>
      </c>
      <c r="K9" s="31" t="s">
        <v>510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500</v>
      </c>
      <c r="J10" s="9">
        <f>SUM(J9:J9)</f>
        <v>1</v>
      </c>
      <c r="K10" s="130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500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</mergeCells>
  <hyperlinks>
    <hyperlink ref="D5" location="'Muc Luc'!A1" display="Mr Cường" xr:uid="{F40E2EBE-4960-4E30-BC88-034164D37A86}"/>
  </hyperlinks>
  <pageMargins left="0.25" right="0.25" top="0.17" bottom="0.17" header="0.3" footer="0.2"/>
  <pageSetup paperSize="9" scale="79" fitToHeight="0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61B5F-6D31-4D17-870D-695FCDA66075}">
  <sheetPr codeName="Sheet74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45929</v>
      </c>
    </row>
    <row r="6" spans="1:11" s="1" customFormat="1" ht="16.5" x14ac:dyDescent="0.25">
      <c r="A6" s="1" t="s">
        <v>78</v>
      </c>
      <c r="D6" s="1" t="s">
        <v>79</v>
      </c>
      <c r="I6" s="1" t="s">
        <v>18</v>
      </c>
    </row>
    <row r="7" spans="1:11" s="1" customFormat="1" ht="19.5" customHeight="1" x14ac:dyDescent="0.25">
      <c r="A7" s="1" t="s">
        <v>487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29.25" customHeight="1" x14ac:dyDescent="0.25">
      <c r="A9" s="3" t="s">
        <v>2</v>
      </c>
      <c r="B9" s="27" t="s">
        <v>565</v>
      </c>
      <c r="C9" s="131" t="s">
        <v>696</v>
      </c>
      <c r="D9" s="132"/>
      <c r="E9" s="133" t="s">
        <v>92</v>
      </c>
      <c r="F9" s="132"/>
      <c r="G9" s="131" t="s">
        <v>466</v>
      </c>
      <c r="H9" s="132"/>
      <c r="I9" s="45">
        <v>50</v>
      </c>
      <c r="J9" s="61">
        <v>1</v>
      </c>
      <c r="K9" s="31" t="s">
        <v>566</v>
      </c>
    </row>
    <row r="10" spans="1:11" s="1" customFormat="1" ht="29.25" customHeight="1" x14ac:dyDescent="0.25">
      <c r="A10" s="3" t="s">
        <v>3</v>
      </c>
      <c r="B10" s="14" t="s">
        <v>80</v>
      </c>
      <c r="C10" s="131" t="s">
        <v>697</v>
      </c>
      <c r="D10" s="132"/>
      <c r="E10" s="133" t="s">
        <v>17</v>
      </c>
      <c r="F10" s="132"/>
      <c r="G10" s="131" t="s">
        <v>72</v>
      </c>
      <c r="H10" s="132"/>
      <c r="I10" s="45">
        <v>250</v>
      </c>
      <c r="J10" s="61">
        <v>1</v>
      </c>
      <c r="K10" s="31" t="s">
        <v>81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SUM(I9:I9)</f>
        <v>50</v>
      </c>
      <c r="J11" s="9">
        <f>SUM(J9:J9)</f>
        <v>1</v>
      </c>
      <c r="K11" s="130"/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50</v>
      </c>
      <c r="J12" s="118">
        <f>J11</f>
        <v>1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C9:D9"/>
    <mergeCell ref="E9:F9"/>
    <mergeCell ref="G9:H9"/>
    <mergeCell ref="A2:K2"/>
    <mergeCell ref="A3:K3"/>
    <mergeCell ref="C8:D8"/>
    <mergeCell ref="E8:F8"/>
    <mergeCell ref="G8:H8"/>
    <mergeCell ref="A19:K19"/>
    <mergeCell ref="A30:B30"/>
    <mergeCell ref="J31:K31"/>
    <mergeCell ref="C10:D10"/>
    <mergeCell ref="E10:F10"/>
    <mergeCell ref="G10:H10"/>
    <mergeCell ref="A11:H11"/>
    <mergeCell ref="K11:K13"/>
    <mergeCell ref="A12:H13"/>
    <mergeCell ref="I12:I13"/>
    <mergeCell ref="J12:J13"/>
    <mergeCell ref="A18:K18"/>
  </mergeCells>
  <phoneticPr fontId="21" type="noConversion"/>
  <hyperlinks>
    <hyperlink ref="D5" location="'Muc Luc'!A1" display="Mr Cường" xr:uid="{1B9059CF-E496-41DF-8AD0-AAC79738BCD2}"/>
  </hyperlinks>
  <pageMargins left="0.25" right="0.25" top="0.17" bottom="0.17" header="0.3" footer="0.2"/>
  <pageSetup paperSize="9" scale="78" fitToHeight="0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473F9-220F-4774-A67B-B6073C4B2522}">
  <sheetPr codeName="Sheet66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45906</v>
      </c>
    </row>
    <row r="6" spans="1:11" s="1" customFormat="1" ht="16.5" x14ac:dyDescent="0.25">
      <c r="A6" s="1" t="s">
        <v>78</v>
      </c>
      <c r="D6" s="1" t="s">
        <v>136</v>
      </c>
      <c r="I6" s="1" t="s">
        <v>18</v>
      </c>
    </row>
    <row r="7" spans="1:11" s="1" customFormat="1" ht="19.5" customHeight="1" x14ac:dyDescent="0.25">
      <c r="A7" s="1" t="s">
        <v>661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53.25" customHeight="1" x14ac:dyDescent="0.25">
      <c r="A9" s="63" t="s">
        <v>2</v>
      </c>
      <c r="B9" s="14" t="s">
        <v>250</v>
      </c>
      <c r="C9" s="103" t="s">
        <v>252</v>
      </c>
      <c r="D9" s="104"/>
      <c r="E9" s="105" t="s">
        <v>92</v>
      </c>
      <c r="F9" s="104"/>
      <c r="G9" s="103" t="s">
        <v>93</v>
      </c>
      <c r="H9" s="104"/>
      <c r="I9" s="45">
        <v>400</v>
      </c>
      <c r="J9" s="24">
        <v>1</v>
      </c>
      <c r="K9" s="31" t="s">
        <v>251</v>
      </c>
    </row>
    <row r="10" spans="1:11" s="1" customFormat="1" ht="53.25" customHeight="1" x14ac:dyDescent="0.25">
      <c r="A10" s="63" t="s">
        <v>3</v>
      </c>
      <c r="B10" s="14" t="s">
        <v>250</v>
      </c>
      <c r="C10" s="103" t="s">
        <v>252</v>
      </c>
      <c r="D10" s="104"/>
      <c r="E10" s="105" t="s">
        <v>92</v>
      </c>
      <c r="F10" s="104"/>
      <c r="G10" s="103" t="s">
        <v>253</v>
      </c>
      <c r="H10" s="104"/>
      <c r="I10" s="45">
        <v>400</v>
      </c>
      <c r="J10" s="24">
        <v>1</v>
      </c>
      <c r="K10" s="31" t="s">
        <v>254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800</v>
      </c>
      <c r="J11" s="9">
        <f>SUM(J9:J10)</f>
        <v>2</v>
      </c>
      <c r="K11" s="130" t="s">
        <v>651</v>
      </c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800</v>
      </c>
      <c r="J12" s="118">
        <f>J11</f>
        <v>2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19:K19"/>
    <mergeCell ref="A30:B30"/>
    <mergeCell ref="J31:K31"/>
    <mergeCell ref="C10:D10"/>
    <mergeCell ref="E10:F10"/>
    <mergeCell ref="G10:H10"/>
    <mergeCell ref="A11:H11"/>
    <mergeCell ref="K11:K13"/>
    <mergeCell ref="A12:H13"/>
    <mergeCell ref="I12:I13"/>
    <mergeCell ref="J12:J13"/>
  </mergeCells>
  <hyperlinks>
    <hyperlink ref="D5" location="'Muc Luc'!A1" display="Mr Cường" xr:uid="{83F49233-A92A-4E33-80DE-EA02592429AB}"/>
  </hyperlinks>
  <pageMargins left="0.25" right="0.25" top="0.17" bottom="0.17" header="0.3" footer="0.2"/>
  <pageSetup paperSize="9" scale="79" fitToHeight="0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8903D-9965-4107-93CA-27596866A68F}">
  <sheetPr codeName="Sheet67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45906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53.25" customHeight="1" x14ac:dyDescent="0.25">
      <c r="A9" s="63" t="s">
        <v>2</v>
      </c>
      <c r="B9" s="25" t="s">
        <v>201</v>
      </c>
      <c r="C9" s="103" t="s">
        <v>514</v>
      </c>
      <c r="D9" s="104"/>
      <c r="E9" s="105" t="s">
        <v>92</v>
      </c>
      <c r="F9" s="104"/>
      <c r="G9" s="103" t="s">
        <v>466</v>
      </c>
      <c r="H9" s="104"/>
      <c r="I9" s="45">
        <v>400</v>
      </c>
      <c r="J9" s="24">
        <v>1</v>
      </c>
      <c r="K9" s="31" t="s">
        <v>512</v>
      </c>
    </row>
    <row r="10" spans="1:11" s="1" customFormat="1" ht="53.25" customHeight="1" x14ac:dyDescent="0.25">
      <c r="A10" s="63" t="s">
        <v>3</v>
      </c>
      <c r="B10" s="42" t="s">
        <v>216</v>
      </c>
      <c r="C10" s="103" t="s">
        <v>515</v>
      </c>
      <c r="D10" s="104"/>
      <c r="E10" s="105" t="s">
        <v>214</v>
      </c>
      <c r="F10" s="104"/>
      <c r="G10" s="103" t="s">
        <v>513</v>
      </c>
      <c r="H10" s="104"/>
      <c r="I10" s="45">
        <v>20</v>
      </c>
      <c r="J10" s="24">
        <v>1</v>
      </c>
      <c r="K10" s="31" t="s">
        <v>217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420</v>
      </c>
      <c r="J11" s="9">
        <f>SUM(J9:J10)</f>
        <v>2</v>
      </c>
      <c r="K11" s="118" t="s">
        <v>651</v>
      </c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420</v>
      </c>
      <c r="J12" s="118">
        <f>J11</f>
        <v>2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19:K19"/>
    <mergeCell ref="A30:B30"/>
    <mergeCell ref="J31:K31"/>
    <mergeCell ref="C10:D10"/>
    <mergeCell ref="E10:F10"/>
    <mergeCell ref="G10:H10"/>
    <mergeCell ref="A11:H11"/>
    <mergeCell ref="K11:K13"/>
    <mergeCell ref="A12:H13"/>
    <mergeCell ref="I12:I13"/>
    <mergeCell ref="J12:J13"/>
  </mergeCells>
  <hyperlinks>
    <hyperlink ref="D5" location="'Muc Luc'!A1" display="Mr Cường" xr:uid="{ABE8520D-C569-4132-BB40-D5F94885DF36}"/>
  </hyperlinks>
  <pageMargins left="0.25" right="0.25" top="0.17" bottom="0.17" header="0.3" footer="0.2"/>
  <pageSetup paperSize="9" scale="79" fitToHeight="0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FB32-59B7-4508-94CF-E592C5300F48}">
  <sheetPr codeName="Sheet68">
    <pageSetUpPr fitToPage="1"/>
  </sheetPr>
  <dimension ref="A1:K32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45910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53.25" customHeight="1" x14ac:dyDescent="0.25">
      <c r="A9" s="63" t="s">
        <v>2</v>
      </c>
      <c r="B9" s="30" t="s">
        <v>522</v>
      </c>
      <c r="C9" s="103" t="s">
        <v>523</v>
      </c>
      <c r="D9" s="104"/>
      <c r="E9" s="105" t="s">
        <v>17</v>
      </c>
      <c r="F9" s="104"/>
      <c r="G9" s="103" t="s">
        <v>469</v>
      </c>
      <c r="H9" s="104"/>
      <c r="I9" s="45">
        <v>50</v>
      </c>
      <c r="J9" s="24">
        <v>1</v>
      </c>
      <c r="K9" s="31" t="s">
        <v>524</v>
      </c>
    </row>
    <row r="10" spans="1:11" s="1" customFormat="1" ht="53.25" customHeight="1" x14ac:dyDescent="0.25">
      <c r="A10" s="63" t="s">
        <v>3</v>
      </c>
      <c r="B10" s="27" t="s">
        <v>505</v>
      </c>
      <c r="C10" s="103" t="s">
        <v>520</v>
      </c>
      <c r="D10" s="104"/>
      <c r="E10" s="105" t="s">
        <v>92</v>
      </c>
      <c r="F10" s="104"/>
      <c r="G10" s="103" t="s">
        <v>466</v>
      </c>
      <c r="H10" s="104"/>
      <c r="I10" s="45">
        <v>100</v>
      </c>
      <c r="J10" s="24">
        <v>1</v>
      </c>
      <c r="K10" s="31" t="s">
        <v>518</v>
      </c>
    </row>
    <row r="11" spans="1:11" s="1" customFormat="1" ht="53.25" customHeight="1" x14ac:dyDescent="0.25">
      <c r="A11" s="63" t="s">
        <v>4</v>
      </c>
      <c r="B11" s="27" t="s">
        <v>505</v>
      </c>
      <c r="C11" s="103" t="s">
        <v>521</v>
      </c>
      <c r="D11" s="104"/>
      <c r="E11" s="105" t="s">
        <v>92</v>
      </c>
      <c r="F11" s="104"/>
      <c r="G11" s="103" t="s">
        <v>466</v>
      </c>
      <c r="H11" s="104"/>
      <c r="I11" s="45">
        <v>100</v>
      </c>
      <c r="J11" s="24">
        <v>1</v>
      </c>
      <c r="K11" s="31" t="s">
        <v>519</v>
      </c>
    </row>
    <row r="12" spans="1:11" s="1" customFormat="1" ht="33" customHeight="1" x14ac:dyDescent="0.25">
      <c r="A12" s="118" t="s">
        <v>7</v>
      </c>
      <c r="B12" s="118"/>
      <c r="C12" s="118"/>
      <c r="D12" s="118"/>
      <c r="E12" s="118"/>
      <c r="F12" s="118"/>
      <c r="G12" s="118"/>
      <c r="H12" s="118"/>
      <c r="I12" s="9">
        <f>SUM(I9:I11)</f>
        <v>250</v>
      </c>
      <c r="J12" s="9">
        <f>SUM(J9:J11)</f>
        <v>3</v>
      </c>
      <c r="K12" s="118" t="s">
        <v>651</v>
      </c>
    </row>
    <row r="13" spans="1:11" s="1" customFormat="1" ht="16.5" x14ac:dyDescent="0.25">
      <c r="A13" s="121" t="s">
        <v>19</v>
      </c>
      <c r="B13" s="121"/>
      <c r="C13" s="121"/>
      <c r="D13" s="121"/>
      <c r="E13" s="121"/>
      <c r="F13" s="121"/>
      <c r="G13" s="121"/>
      <c r="H13" s="121"/>
      <c r="I13" s="121">
        <f>I12</f>
        <v>250</v>
      </c>
      <c r="J13" s="118">
        <f>J12</f>
        <v>3</v>
      </c>
      <c r="K13" s="118"/>
    </row>
    <row r="14" spans="1:11" ht="15" customHeight="1" x14ac:dyDescent="0.25">
      <c r="A14" s="121"/>
      <c r="B14" s="121"/>
      <c r="C14" s="121"/>
      <c r="D14" s="121"/>
      <c r="E14" s="121"/>
      <c r="F14" s="121"/>
      <c r="G14" s="121"/>
      <c r="H14" s="121"/>
      <c r="I14" s="121"/>
      <c r="J14" s="118"/>
      <c r="K14" s="118"/>
    </row>
    <row r="16" spans="1:11" x14ac:dyDescent="0.25">
      <c r="B16" s="10" t="s">
        <v>62</v>
      </c>
      <c r="H16" t="s">
        <v>23</v>
      </c>
    </row>
    <row r="17" spans="1:11" ht="101.25" customHeight="1" x14ac:dyDescent="0.25">
      <c r="B17" s="10"/>
    </row>
    <row r="18" spans="1:11" s="1" customFormat="1" ht="16.5" x14ac:dyDescent="0.25"/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</row>
    <row r="22" spans="1:11" s="1" customFormat="1" ht="16.5" x14ac:dyDescent="0.25"/>
    <row r="23" spans="1:11" s="1" customFormat="1" ht="16.5" x14ac:dyDescent="0.25"/>
    <row r="24" spans="1:11" s="1" customFormat="1" ht="19.5" customHeight="1" x14ac:dyDescent="0.25"/>
    <row r="25" spans="1:11" s="1" customFormat="1" ht="30.75" customHeight="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18"/>
      <c r="B29" s="19"/>
      <c r="C29" s="19"/>
      <c r="D29" s="19"/>
      <c r="E29" s="19"/>
      <c r="F29" s="19"/>
      <c r="G29" s="19"/>
      <c r="H29" s="19"/>
      <c r="I29" s="19"/>
      <c r="J29" s="19"/>
      <c r="K29" s="19"/>
    </row>
    <row r="30" spans="1:11" s="1" customFormat="1" ht="35.25" customHeight="1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s="1" customFormat="1" ht="16.5" x14ac:dyDescent="0.25">
      <c r="A31" s="100"/>
      <c r="B31" s="101"/>
      <c r="C31" s="11"/>
      <c r="D31" s="11"/>
      <c r="E31" s="11"/>
      <c r="F31" s="11"/>
      <c r="G31" s="11"/>
      <c r="H31" s="5"/>
      <c r="I31" s="5"/>
      <c r="J31" s="5"/>
      <c r="K31" s="5"/>
    </row>
    <row r="32" spans="1:11" s="1" customFormat="1" ht="16.5" x14ac:dyDescent="0.25">
      <c r="J32" s="102"/>
      <c r="K32" s="102"/>
    </row>
  </sheetData>
  <mergeCells count="23">
    <mergeCell ref="A19:K19"/>
    <mergeCell ref="A20:K20"/>
    <mergeCell ref="A31:B31"/>
    <mergeCell ref="J32:K32"/>
    <mergeCell ref="C11:D11"/>
    <mergeCell ref="E11:F11"/>
    <mergeCell ref="G11:H11"/>
    <mergeCell ref="C10:D10"/>
    <mergeCell ref="E10:F10"/>
    <mergeCell ref="G10:H10"/>
    <mergeCell ref="A12:H12"/>
    <mergeCell ref="K12:K14"/>
    <mergeCell ref="A13:H14"/>
    <mergeCell ref="I13:I14"/>
    <mergeCell ref="J13:J14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DA4A95E9-DD71-4B8E-A263-18157F997563}"/>
  </hyperlinks>
  <pageMargins left="0.25" right="0.25" top="0.17" bottom="0.17" header="0.3" footer="0.2"/>
  <pageSetup paperSize="9" scale="79" fitToHeight="0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E3BC-4799-417E-840F-2145D5DC5F4D}">
  <sheetPr codeName="Sheet70">
    <pageSetUpPr fitToPage="1"/>
  </sheetPr>
  <dimension ref="A1:K33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45913</v>
      </c>
    </row>
    <row r="6" spans="1:11" s="1" customFormat="1" ht="16.5" x14ac:dyDescent="0.25">
      <c r="A6" s="1" t="s">
        <v>78</v>
      </c>
      <c r="D6" s="1" t="s">
        <v>154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53.25" customHeight="1" x14ac:dyDescent="0.25">
      <c r="A9" s="63" t="s">
        <v>2</v>
      </c>
      <c r="B9" s="41" t="s">
        <v>525</v>
      </c>
      <c r="C9" s="103" t="s">
        <v>527</v>
      </c>
      <c r="D9" s="104"/>
      <c r="E9" s="105" t="s">
        <v>92</v>
      </c>
      <c r="F9" s="104"/>
      <c r="G9" s="103" t="s">
        <v>466</v>
      </c>
      <c r="H9" s="104"/>
      <c r="I9" s="45">
        <v>400</v>
      </c>
      <c r="J9" s="24">
        <v>1</v>
      </c>
      <c r="K9" s="31" t="s">
        <v>526</v>
      </c>
    </row>
    <row r="10" spans="1:11" s="1" customFormat="1" ht="53.25" customHeight="1" x14ac:dyDescent="0.25">
      <c r="A10" s="63" t="s">
        <v>3</v>
      </c>
      <c r="B10" s="41" t="s">
        <v>194</v>
      </c>
      <c r="C10" s="103" t="s">
        <v>532</v>
      </c>
      <c r="D10" s="104"/>
      <c r="E10" s="105" t="s">
        <v>92</v>
      </c>
      <c r="F10" s="104"/>
      <c r="G10" s="103" t="s">
        <v>466</v>
      </c>
      <c r="H10" s="104"/>
      <c r="I10" s="45">
        <v>200</v>
      </c>
      <c r="J10" s="24">
        <v>1</v>
      </c>
      <c r="K10" s="31" t="s">
        <v>528</v>
      </c>
    </row>
    <row r="11" spans="1:11" s="1" customFormat="1" ht="53.25" customHeight="1" x14ac:dyDescent="0.25">
      <c r="A11" s="63" t="s">
        <v>4</v>
      </c>
      <c r="B11" s="41" t="s">
        <v>194</v>
      </c>
      <c r="C11" s="103" t="s">
        <v>533</v>
      </c>
      <c r="D11" s="104"/>
      <c r="E11" s="105" t="s">
        <v>92</v>
      </c>
      <c r="F11" s="104"/>
      <c r="G11" s="103" t="s">
        <v>466</v>
      </c>
      <c r="H11" s="104"/>
      <c r="I11" s="45">
        <v>200</v>
      </c>
      <c r="J11" s="24">
        <v>1</v>
      </c>
      <c r="K11" s="31" t="s">
        <v>529</v>
      </c>
    </row>
    <row r="12" spans="1:11" s="1" customFormat="1" ht="53.25" customHeight="1" x14ac:dyDescent="0.25">
      <c r="A12" s="63" t="s">
        <v>5</v>
      </c>
      <c r="B12" s="40" t="s">
        <v>531</v>
      </c>
      <c r="C12" s="103" t="s">
        <v>534</v>
      </c>
      <c r="D12" s="104"/>
      <c r="E12" s="105" t="s">
        <v>92</v>
      </c>
      <c r="F12" s="104"/>
      <c r="G12" s="103" t="s">
        <v>469</v>
      </c>
      <c r="H12" s="104"/>
      <c r="I12" s="45">
        <v>100</v>
      </c>
      <c r="J12" s="24">
        <v>1</v>
      </c>
      <c r="K12" s="31" t="s">
        <v>530</v>
      </c>
    </row>
    <row r="13" spans="1:11" s="1" customFormat="1" ht="33" customHeight="1" x14ac:dyDescent="0.25">
      <c r="A13" s="118" t="s">
        <v>7</v>
      </c>
      <c r="B13" s="118"/>
      <c r="C13" s="118"/>
      <c r="D13" s="118"/>
      <c r="E13" s="118"/>
      <c r="F13" s="118"/>
      <c r="G13" s="118"/>
      <c r="H13" s="118"/>
      <c r="I13" s="9">
        <f>SUM(I9:I12)</f>
        <v>900</v>
      </c>
      <c r="J13" s="9">
        <f>SUM(J9:J12)</f>
        <v>4</v>
      </c>
      <c r="K13" s="118" t="s">
        <v>651</v>
      </c>
    </row>
    <row r="14" spans="1:11" s="1" customFormat="1" ht="16.5" x14ac:dyDescent="0.25">
      <c r="A14" s="121" t="s">
        <v>19</v>
      </c>
      <c r="B14" s="121"/>
      <c r="C14" s="121"/>
      <c r="D14" s="121"/>
      <c r="E14" s="121"/>
      <c r="F14" s="121"/>
      <c r="G14" s="121"/>
      <c r="H14" s="121"/>
      <c r="I14" s="121">
        <f>I13</f>
        <v>900</v>
      </c>
      <c r="J14" s="118">
        <f>J13</f>
        <v>4</v>
      </c>
      <c r="K14" s="118"/>
    </row>
    <row r="15" spans="1:11" ht="15" customHeight="1" x14ac:dyDescent="0.25">
      <c r="A15" s="121"/>
      <c r="B15" s="121"/>
      <c r="C15" s="121"/>
      <c r="D15" s="121"/>
      <c r="E15" s="121"/>
      <c r="F15" s="121"/>
      <c r="G15" s="121"/>
      <c r="H15" s="121"/>
      <c r="I15" s="121"/>
      <c r="J15" s="118"/>
      <c r="K15" s="118"/>
    </row>
    <row r="17" spans="1:11" x14ac:dyDescent="0.25">
      <c r="B17" s="10" t="s">
        <v>62</v>
      </c>
      <c r="H17" t="s">
        <v>23</v>
      </c>
    </row>
    <row r="18" spans="1:11" ht="101.25" customHeight="1" x14ac:dyDescent="0.25">
      <c r="B18" s="10"/>
    </row>
    <row r="19" spans="1:11" s="1" customFormat="1" ht="16.5" x14ac:dyDescent="0.25"/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1:11" s="1" customFormat="1" ht="20.2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</row>
    <row r="23" spans="1:11" s="1" customFormat="1" ht="16.5" x14ac:dyDescent="0.25"/>
    <row r="24" spans="1:11" s="1" customFormat="1" ht="16.5" x14ac:dyDescent="0.25"/>
    <row r="25" spans="1:11" s="1" customFormat="1" ht="19.5" customHeight="1" x14ac:dyDescent="0.25"/>
    <row r="26" spans="1:11" s="1" customFormat="1" ht="30.75" customHeight="1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1" s="1" customFormat="1" ht="35.25" customHeight="1" x14ac:dyDescent="0.2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1" s="1" customFormat="1" ht="16.5" x14ac:dyDescent="0.25">
      <c r="A32" s="100"/>
      <c r="B32" s="101"/>
      <c r="C32" s="11"/>
      <c r="D32" s="11"/>
      <c r="E32" s="11"/>
      <c r="F32" s="11"/>
      <c r="G32" s="11"/>
      <c r="H32" s="5"/>
      <c r="I32" s="5"/>
      <c r="J32" s="5"/>
      <c r="K32" s="5"/>
    </row>
    <row r="33" spans="10:11" s="1" customFormat="1" ht="16.5" x14ac:dyDescent="0.25">
      <c r="J33" s="102"/>
      <c r="K33" s="102"/>
    </row>
  </sheetData>
  <mergeCells count="26">
    <mergeCell ref="C9:D9"/>
    <mergeCell ref="E9:F9"/>
    <mergeCell ref="G9:H9"/>
    <mergeCell ref="A2:K2"/>
    <mergeCell ref="A3:K3"/>
    <mergeCell ref="C8:D8"/>
    <mergeCell ref="E8:F8"/>
    <mergeCell ref="G8:H8"/>
    <mergeCell ref="C10:D10"/>
    <mergeCell ref="E10:F10"/>
    <mergeCell ref="G10:H10"/>
    <mergeCell ref="C11:D11"/>
    <mergeCell ref="E11:F11"/>
    <mergeCell ref="G11:H11"/>
    <mergeCell ref="A21:K21"/>
    <mergeCell ref="A32:B32"/>
    <mergeCell ref="J33:K33"/>
    <mergeCell ref="C12:D12"/>
    <mergeCell ref="E12:F12"/>
    <mergeCell ref="G12:H12"/>
    <mergeCell ref="A13:H13"/>
    <mergeCell ref="K13:K15"/>
    <mergeCell ref="A14:H15"/>
    <mergeCell ref="I14:I15"/>
    <mergeCell ref="J14:J15"/>
    <mergeCell ref="A20:K20"/>
  </mergeCells>
  <phoneticPr fontId="21" type="noConversion"/>
  <hyperlinks>
    <hyperlink ref="D5" location="'Muc Luc'!A1" display="Mr Cường" xr:uid="{82529DA4-01F1-4915-8756-0F7195A1DBA1}"/>
  </hyperlinks>
  <pageMargins left="0.25" right="0.25" top="0.17" bottom="0.17" header="0.3" footer="0.2"/>
  <pageSetup paperSize="9" scale="79" fitToHeight="0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BDAEE-80EF-4929-976B-913B7E9AEA39}">
  <sheetPr codeName="Sheet69">
    <pageSetUpPr fitToPage="1"/>
  </sheetPr>
  <dimension ref="A1:K30"/>
  <sheetViews>
    <sheetView zoomScaleNormal="100" workbookViewId="0"/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45910</v>
      </c>
    </row>
    <row r="6" spans="1:11" s="1" customFormat="1" ht="16.5" x14ac:dyDescent="0.25">
      <c r="A6" s="1" t="s">
        <v>78</v>
      </c>
      <c r="D6" s="1" t="s">
        <v>123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53.25" customHeight="1" x14ac:dyDescent="0.25">
      <c r="A9" s="63" t="s">
        <v>2</v>
      </c>
      <c r="B9" s="40" t="s">
        <v>516</v>
      </c>
      <c r="C9" s="103" t="s">
        <v>654</v>
      </c>
      <c r="D9" s="104"/>
      <c r="E9" s="105" t="s">
        <v>92</v>
      </c>
      <c r="F9" s="104"/>
      <c r="G9" s="103" t="s">
        <v>493</v>
      </c>
      <c r="H9" s="104"/>
      <c r="I9" s="45">
        <v>300</v>
      </c>
      <c r="J9" s="24">
        <v>1</v>
      </c>
      <c r="K9" s="31" t="s">
        <v>517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300</v>
      </c>
      <c r="J10" s="9">
        <f>SUM(J9:J9)</f>
        <v>1</v>
      </c>
      <c r="K10" s="118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300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7:K17"/>
    <mergeCell ref="A18:K18"/>
    <mergeCell ref="A29:B29"/>
    <mergeCell ref="J30:K30"/>
    <mergeCell ref="A10:H10"/>
    <mergeCell ref="K10:K12"/>
    <mergeCell ref="A11:H12"/>
    <mergeCell ref="I11:I12"/>
    <mergeCell ref="J11:J12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150E800D-9C91-4AE0-8ED5-13809A9F7B17}"/>
  </hyperlinks>
  <pageMargins left="0.25" right="0.25" top="0.17" bottom="0.17" header="0.3" footer="0.2"/>
  <pageSetup paperSize="9" scale="79" fitToHeight="0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65C51-D59E-4004-9282-D01FCD7B4FB6}">
  <sheetPr codeName="Sheet76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45908</v>
      </c>
    </row>
    <row r="6" spans="1:11" s="1" customFormat="1" ht="16.5" x14ac:dyDescent="0.25">
      <c r="A6" s="1" t="s">
        <v>78</v>
      </c>
      <c r="D6" s="1" t="s">
        <v>123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53.25" customHeight="1" x14ac:dyDescent="0.25">
      <c r="A9" s="63" t="s">
        <v>2</v>
      </c>
      <c r="B9" s="40" t="s">
        <v>656</v>
      </c>
      <c r="C9" s="103" t="s">
        <v>657</v>
      </c>
      <c r="D9" s="104"/>
      <c r="E9" s="105" t="s">
        <v>92</v>
      </c>
      <c r="F9" s="104"/>
      <c r="G9" s="103" t="s">
        <v>466</v>
      </c>
      <c r="H9" s="104"/>
      <c r="I9" s="45">
        <v>100</v>
      </c>
      <c r="J9" s="24">
        <v>1</v>
      </c>
      <c r="K9" s="31" t="s">
        <v>658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100</v>
      </c>
      <c r="J10" s="9">
        <f>SUM(J9:J9)</f>
        <v>1</v>
      </c>
      <c r="K10" s="118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100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</mergeCells>
  <hyperlinks>
    <hyperlink ref="D5" location="'Muc Luc'!A1" display="Mr Cường" xr:uid="{AA895AFC-A575-4F9A-9ACA-1844D4A61111}"/>
  </hyperlinks>
  <pageMargins left="0.25" right="0.25" top="0.17" bottom="0.17" header="0.3" footer="0.2"/>
  <pageSetup paperSize="9" scale="79" fitToHeight="0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FA846-6FF1-4CFC-9485-F5A3FB4B4C0C}">
  <sheetPr codeName="Sheet73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45915</v>
      </c>
    </row>
    <row r="6" spans="1:11" s="1" customFormat="1" ht="16.5" x14ac:dyDescent="0.25">
      <c r="A6" s="1" t="s">
        <v>78</v>
      </c>
      <c r="D6" s="1" t="s">
        <v>177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53.25" customHeight="1" x14ac:dyDescent="0.25">
      <c r="A9" s="63" t="s">
        <v>2</v>
      </c>
      <c r="B9" s="70" t="s">
        <v>563</v>
      </c>
      <c r="C9" s="103" t="s">
        <v>562</v>
      </c>
      <c r="D9" s="104"/>
      <c r="E9" s="105" t="s">
        <v>92</v>
      </c>
      <c r="F9" s="104"/>
      <c r="G9" s="103" t="s">
        <v>469</v>
      </c>
      <c r="H9" s="104"/>
      <c r="I9" s="45">
        <v>300</v>
      </c>
      <c r="J9" s="24">
        <v>1</v>
      </c>
      <c r="K9" s="31" t="s">
        <v>564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300</v>
      </c>
      <c r="J10" s="9">
        <f>SUM(J9:J9)</f>
        <v>1</v>
      </c>
      <c r="K10" s="118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300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C6A08F90-ED1F-4CCC-8CE5-F11DFB21BFE3}"/>
  </hyperlinks>
  <pageMargins left="0.25" right="0.25" top="0.17" bottom="0.17" header="0.3" footer="0.2"/>
  <pageSetup paperSize="9" scale="78" fitToHeight="0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F114D-3579-404E-A751-54B95B2611DB}">
  <sheetPr codeName="Sheet75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45918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70" t="s">
        <v>505</v>
      </c>
      <c r="C9" s="103" t="s">
        <v>646</v>
      </c>
      <c r="D9" s="104"/>
      <c r="E9" s="105" t="s">
        <v>92</v>
      </c>
      <c r="F9" s="104"/>
      <c r="G9" s="103" t="s">
        <v>466</v>
      </c>
      <c r="H9" s="104"/>
      <c r="I9" s="45">
        <v>100</v>
      </c>
      <c r="J9" s="24">
        <v>1</v>
      </c>
      <c r="K9" s="31" t="s">
        <v>648</v>
      </c>
    </row>
    <row r="10" spans="1:11" s="1" customFormat="1" ht="28.5" customHeight="1" x14ac:dyDescent="0.25">
      <c r="A10" s="63" t="s">
        <v>3</v>
      </c>
      <c r="B10" s="70" t="s">
        <v>505</v>
      </c>
      <c r="C10" s="103" t="s">
        <v>647</v>
      </c>
      <c r="D10" s="104"/>
      <c r="E10" s="105" t="s">
        <v>92</v>
      </c>
      <c r="F10" s="104"/>
      <c r="G10" s="103" t="s">
        <v>466</v>
      </c>
      <c r="H10" s="104"/>
      <c r="I10" s="45">
        <v>100</v>
      </c>
      <c r="J10" s="24">
        <v>1</v>
      </c>
      <c r="K10" s="31" t="s">
        <v>649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200</v>
      </c>
      <c r="J11" s="9">
        <f>SUM(J9:J10)</f>
        <v>2</v>
      </c>
      <c r="K11" s="118" t="s">
        <v>651</v>
      </c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200</v>
      </c>
      <c r="J12" s="118">
        <f>J11</f>
        <v>2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A19:K19"/>
    <mergeCell ref="A30:B30"/>
    <mergeCell ref="J31:K31"/>
    <mergeCell ref="C10:D10"/>
    <mergeCell ref="E10:F10"/>
    <mergeCell ref="G10:H10"/>
    <mergeCell ref="A11:H11"/>
    <mergeCell ref="K11:K13"/>
    <mergeCell ref="A12:H13"/>
    <mergeCell ref="I12:I13"/>
    <mergeCell ref="J12:J13"/>
    <mergeCell ref="A18:K18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1E830206-F385-464B-90D1-861DCF0108F8}"/>
  </hyperlinks>
  <pageMargins left="0.25" right="0.25" top="0.17" bottom="0.17" header="0.3" footer="0.2"/>
  <pageSetup paperSize="9" scale="79" fitToHeight="0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1B786-5877-4846-80C1-AC10EC62298E}">
  <sheetPr codeName="Sheet77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45924</v>
      </c>
    </row>
    <row r="6" spans="1:11" s="1" customFormat="1" ht="16.5" x14ac:dyDescent="0.25">
      <c r="A6" s="1" t="s">
        <v>78</v>
      </c>
      <c r="D6" s="1" t="s">
        <v>435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41" t="s">
        <v>662</v>
      </c>
      <c r="C9" s="103" t="s">
        <v>664</v>
      </c>
      <c r="D9" s="104"/>
      <c r="E9" s="105" t="s">
        <v>17</v>
      </c>
      <c r="F9" s="104"/>
      <c r="G9" s="103" t="s">
        <v>231</v>
      </c>
      <c r="H9" s="104"/>
      <c r="I9" s="45">
        <v>150</v>
      </c>
      <c r="J9" s="24">
        <v>1</v>
      </c>
      <c r="K9" s="31" t="s">
        <v>663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150</v>
      </c>
      <c r="J10" s="9">
        <f>SUM(J9:J9)</f>
        <v>1</v>
      </c>
      <c r="K10" s="118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150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7:K17"/>
    <mergeCell ref="A18:K18"/>
    <mergeCell ref="A29:B29"/>
    <mergeCell ref="J30:K30"/>
    <mergeCell ref="A10:H10"/>
    <mergeCell ref="K10:K12"/>
    <mergeCell ref="A11:H12"/>
    <mergeCell ref="I11:I12"/>
    <mergeCell ref="J11:J12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0BE5AC0A-4103-45A1-BA04-125CE73BA9C3}"/>
  </hyperlinks>
  <pageMargins left="0.25" right="0.25" top="0.17" bottom="0.17" header="0.3" footer="0.2"/>
  <pageSetup paperSize="9" scale="79" fitToHeight="0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B9951-DB9D-4AC8-A7DF-6054C9FE545D}">
  <sheetPr codeName="Sheet78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45924</v>
      </c>
    </row>
    <row r="6" spans="1:11" s="1" customFormat="1" ht="16.5" x14ac:dyDescent="0.25">
      <c r="A6" s="1" t="s">
        <v>78</v>
      </c>
      <c r="D6" s="1" t="s">
        <v>108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27" t="s">
        <v>665</v>
      </c>
      <c r="C9" s="103" t="s">
        <v>667</v>
      </c>
      <c r="D9" s="104"/>
      <c r="E9" s="105" t="s">
        <v>92</v>
      </c>
      <c r="F9" s="104"/>
      <c r="G9" s="103" t="s">
        <v>231</v>
      </c>
      <c r="H9" s="104"/>
      <c r="I9" s="45">
        <v>100</v>
      </c>
      <c r="J9" s="24">
        <v>1</v>
      </c>
      <c r="K9" s="31" t="s">
        <v>666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100</v>
      </c>
      <c r="J10" s="9">
        <f>SUM(J9:J9)</f>
        <v>1</v>
      </c>
      <c r="K10" s="118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100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3E1FD64C-5706-4218-9CF9-522342098A7F}"/>
  </hyperlinks>
  <pageMargins left="0.25" right="0.25" top="0.17" bottom="0.17" header="0.3" footer="0.2"/>
  <pageSetup paperSize="9" scale="79" fitToHeight="0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821F0-E0F8-4A63-A2E4-C12B0F557105}">
  <sheetPr codeName="Sheet79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45930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27" t="s">
        <v>698</v>
      </c>
      <c r="C9" s="103" t="s">
        <v>700</v>
      </c>
      <c r="D9" s="104"/>
      <c r="E9" s="105" t="s">
        <v>699</v>
      </c>
      <c r="F9" s="104"/>
      <c r="G9" s="103" t="s">
        <v>466</v>
      </c>
      <c r="H9" s="104"/>
      <c r="I9" s="45">
        <v>50</v>
      </c>
      <c r="J9" s="24">
        <v>1</v>
      </c>
      <c r="K9" s="31" t="s">
        <v>701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50</v>
      </c>
      <c r="J10" s="77">
        <f>SUM(J9:J9)</f>
        <v>1</v>
      </c>
      <c r="K10" s="106" t="s">
        <v>651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50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CFAC1CCA-1AEC-49E8-BEC3-AD0FA37E65A0}"/>
  </hyperlinks>
  <pageMargins left="0.25" right="0.25" top="0.17" bottom="0.17" header="0.3" footer="0.2"/>
  <pageSetup paperSize="9" scale="79" fitToHeight="0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0A993-1583-4080-89F7-6ECDC7925B29}">
  <sheetPr codeName="Sheet80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45925</v>
      </c>
    </row>
    <row r="6" spans="1:11" s="1" customFormat="1" ht="16.5" x14ac:dyDescent="0.25">
      <c r="A6" s="1" t="s">
        <v>78</v>
      </c>
      <c r="D6" s="1" t="s">
        <v>147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27" t="s">
        <v>680</v>
      </c>
      <c r="C9" s="103" t="s">
        <v>683</v>
      </c>
      <c r="D9" s="104"/>
      <c r="E9" s="105" t="s">
        <v>281</v>
      </c>
      <c r="F9" s="104"/>
      <c r="G9" s="103" t="s">
        <v>681</v>
      </c>
      <c r="H9" s="104"/>
      <c r="I9" s="45">
        <v>100</v>
      </c>
      <c r="J9" s="24">
        <v>1</v>
      </c>
      <c r="K9" s="31" t="s">
        <v>682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100</v>
      </c>
      <c r="J10" s="77">
        <f>SUM(J9:J9)</f>
        <v>1</v>
      </c>
      <c r="K10" s="106" t="s">
        <v>651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100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A25D37B7-5719-4622-9DDA-24FE4EE2E126}"/>
  </hyperlinks>
  <pageMargins left="0.25" right="0.25" top="0.17" bottom="0.17" header="0.3" footer="0.2"/>
  <pageSetup paperSize="9" scale="79" fitToHeight="0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62390-AFE1-4DDF-8EEC-C5538FCB0F22}">
  <sheetPr codeName="Sheet81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45936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27" t="s">
        <v>247</v>
      </c>
      <c r="C9" s="103" t="s">
        <v>713</v>
      </c>
      <c r="D9" s="104"/>
      <c r="E9" s="105" t="s">
        <v>92</v>
      </c>
      <c r="F9" s="104"/>
      <c r="G9" s="103" t="s">
        <v>466</v>
      </c>
      <c r="H9" s="104"/>
      <c r="I9" s="45">
        <v>200</v>
      </c>
      <c r="J9" s="24">
        <v>1</v>
      </c>
      <c r="K9" s="31" t="s">
        <v>714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200</v>
      </c>
      <c r="J10" s="77">
        <f>SUM(J9:J9)</f>
        <v>1</v>
      </c>
      <c r="K10" s="106" t="s">
        <v>651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200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82291E85-92D8-4DB7-82E8-DF9D8B58AD8A}"/>
  </hyperlinks>
  <pageMargins left="0.25" right="0.25" top="0.17" bottom="0.17" header="0.3" footer="0.2"/>
  <pageSetup paperSize="9" scale="79" fitToHeight="0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8A63B-A487-4B1D-A3CD-B88DAB8A1623}">
  <sheetPr codeName="Sheet82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45925</v>
      </c>
    </row>
    <row r="6" spans="1:11" s="1" customFormat="1" ht="16.5" x14ac:dyDescent="0.25">
      <c r="A6" s="1" t="s">
        <v>78</v>
      </c>
      <c r="D6" s="1" t="s">
        <v>190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56" t="s">
        <v>677</v>
      </c>
      <c r="C9" s="103" t="s">
        <v>679</v>
      </c>
      <c r="D9" s="104"/>
      <c r="E9" s="105" t="s">
        <v>17</v>
      </c>
      <c r="F9" s="104"/>
      <c r="G9" s="103" t="s">
        <v>466</v>
      </c>
      <c r="H9" s="104"/>
      <c r="I9" s="45">
        <v>200</v>
      </c>
      <c r="J9" s="24">
        <v>1</v>
      </c>
      <c r="K9" s="31" t="s">
        <v>678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200</v>
      </c>
      <c r="J10" s="9">
        <f>SUM(J9:J9)</f>
        <v>1</v>
      </c>
      <c r="K10" s="118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200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3390518D-73B5-47D7-BE3D-23D39B38423B}"/>
  </hyperlinks>
  <pageMargins left="0.25" right="0.25" top="0.17" bottom="0.17" header="0.3" footer="0.2"/>
  <pageSetup paperSize="9" scale="79" fitToHeight="0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0D827-D904-42FD-9C71-973783773B7E}">
  <sheetPr codeName="Sheet83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45926</v>
      </c>
    </row>
    <row r="6" spans="1:11" s="1" customFormat="1" ht="16.5" x14ac:dyDescent="0.25">
      <c r="A6" s="1" t="s">
        <v>78</v>
      </c>
      <c r="D6" s="1" t="s">
        <v>329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39" t="s">
        <v>257</v>
      </c>
      <c r="C9" s="103" t="s">
        <v>684</v>
      </c>
      <c r="D9" s="104"/>
      <c r="E9" s="105" t="s">
        <v>92</v>
      </c>
      <c r="F9" s="104"/>
      <c r="G9" s="103" t="s">
        <v>493</v>
      </c>
      <c r="H9" s="104"/>
      <c r="I9" s="45">
        <v>384</v>
      </c>
      <c r="J9" s="24">
        <v>1</v>
      </c>
      <c r="K9" s="31" t="s">
        <v>685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384</v>
      </c>
      <c r="J10" s="9">
        <f>SUM(J9:J9)</f>
        <v>1</v>
      </c>
      <c r="K10" s="118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384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A2188E9B-C03D-4930-AF97-A0C85A9327FF}"/>
  </hyperlinks>
  <pageMargins left="0.25" right="0.25" top="0.17" bottom="0.17" header="0.3" footer="0.2"/>
  <pageSetup paperSize="9" scale="79" fitToHeight="0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EC137-79DD-47AD-90A3-796CDA94B692}">
  <sheetPr codeName="Sheet84">
    <pageSetUpPr fitToPage="1"/>
  </sheetPr>
  <dimension ref="A1:K33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45926</v>
      </c>
    </row>
    <row r="6" spans="1:11" s="1" customFormat="1" ht="16.5" x14ac:dyDescent="0.25">
      <c r="A6" s="1" t="s">
        <v>78</v>
      </c>
      <c r="D6" s="1" t="s">
        <v>154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41" t="s">
        <v>686</v>
      </c>
      <c r="C9" s="103" t="s">
        <v>692</v>
      </c>
      <c r="D9" s="104"/>
      <c r="E9" s="105" t="s">
        <v>92</v>
      </c>
      <c r="F9" s="104"/>
      <c r="G9" s="103" t="s">
        <v>466</v>
      </c>
      <c r="H9" s="104"/>
      <c r="I9" s="45">
        <v>100</v>
      </c>
      <c r="J9" s="24">
        <v>1</v>
      </c>
      <c r="K9" s="31" t="s">
        <v>687</v>
      </c>
    </row>
    <row r="10" spans="1:11" s="1" customFormat="1" ht="30.75" customHeight="1" x14ac:dyDescent="0.25">
      <c r="A10" s="63" t="s">
        <v>3</v>
      </c>
      <c r="B10" s="27" t="s">
        <v>688</v>
      </c>
      <c r="C10" s="103" t="s">
        <v>693</v>
      </c>
      <c r="D10" s="104"/>
      <c r="E10" s="105" t="s">
        <v>281</v>
      </c>
      <c r="F10" s="104"/>
      <c r="G10" s="103" t="s">
        <v>469</v>
      </c>
      <c r="H10" s="104"/>
      <c r="I10" s="45">
        <v>100</v>
      </c>
      <c r="J10" s="24">
        <v>1</v>
      </c>
      <c r="K10" s="31" t="s">
        <v>689</v>
      </c>
    </row>
    <row r="11" spans="1:11" s="1" customFormat="1" ht="30.75" customHeight="1" x14ac:dyDescent="0.25">
      <c r="A11" s="63" t="s">
        <v>4</v>
      </c>
      <c r="B11" s="27" t="s">
        <v>259</v>
      </c>
      <c r="C11" s="103" t="s">
        <v>694</v>
      </c>
      <c r="D11" s="104"/>
      <c r="E11" s="105" t="s">
        <v>92</v>
      </c>
      <c r="F11" s="104"/>
      <c r="G11" s="103" t="s">
        <v>453</v>
      </c>
      <c r="H11" s="104"/>
      <c r="I11" s="45">
        <v>100</v>
      </c>
      <c r="J11" s="24">
        <v>1</v>
      </c>
      <c r="K11" s="31" t="s">
        <v>690</v>
      </c>
    </row>
    <row r="12" spans="1:11" s="1" customFormat="1" ht="30.75" customHeight="1" x14ac:dyDescent="0.25">
      <c r="A12" s="63" t="s">
        <v>5</v>
      </c>
      <c r="B12" s="27" t="s">
        <v>194</v>
      </c>
      <c r="C12" s="103" t="s">
        <v>695</v>
      </c>
      <c r="D12" s="104"/>
      <c r="E12" s="105" t="s">
        <v>92</v>
      </c>
      <c r="F12" s="104"/>
      <c r="G12" s="103" t="s">
        <v>466</v>
      </c>
      <c r="H12" s="104"/>
      <c r="I12" s="45">
        <v>200</v>
      </c>
      <c r="J12" s="24">
        <v>1</v>
      </c>
      <c r="K12" s="31" t="s">
        <v>691</v>
      </c>
    </row>
    <row r="13" spans="1:11" s="1" customFormat="1" ht="33" customHeight="1" x14ac:dyDescent="0.25">
      <c r="A13" s="118" t="s">
        <v>7</v>
      </c>
      <c r="B13" s="118"/>
      <c r="C13" s="118"/>
      <c r="D13" s="118"/>
      <c r="E13" s="118"/>
      <c r="F13" s="118"/>
      <c r="G13" s="118"/>
      <c r="H13" s="118"/>
      <c r="I13" s="9">
        <f>SUM(I9:I9)</f>
        <v>100</v>
      </c>
      <c r="J13" s="9">
        <f>SUM(J9:J9)</f>
        <v>1</v>
      </c>
      <c r="K13" s="118" t="s">
        <v>651</v>
      </c>
    </row>
    <row r="14" spans="1:11" s="1" customFormat="1" ht="16.5" x14ac:dyDescent="0.25">
      <c r="A14" s="121" t="s">
        <v>19</v>
      </c>
      <c r="B14" s="121"/>
      <c r="C14" s="121"/>
      <c r="D14" s="121"/>
      <c r="E14" s="121"/>
      <c r="F14" s="121"/>
      <c r="G14" s="121"/>
      <c r="H14" s="121"/>
      <c r="I14" s="121">
        <f>I13</f>
        <v>100</v>
      </c>
      <c r="J14" s="118">
        <f>J13</f>
        <v>1</v>
      </c>
      <c r="K14" s="118"/>
    </row>
    <row r="15" spans="1:11" ht="15" customHeight="1" x14ac:dyDescent="0.25">
      <c r="A15" s="121"/>
      <c r="B15" s="121"/>
      <c r="C15" s="121"/>
      <c r="D15" s="121"/>
      <c r="E15" s="121"/>
      <c r="F15" s="121"/>
      <c r="G15" s="121"/>
      <c r="H15" s="121"/>
      <c r="I15" s="121"/>
      <c r="J15" s="118"/>
      <c r="K15" s="118"/>
    </row>
    <row r="17" spans="1:11" x14ac:dyDescent="0.25">
      <c r="B17" s="10" t="s">
        <v>62</v>
      </c>
      <c r="H17" t="s">
        <v>23</v>
      </c>
    </row>
    <row r="18" spans="1:11" ht="101.25" customHeight="1" x14ac:dyDescent="0.25">
      <c r="B18" s="10"/>
    </row>
    <row r="19" spans="1:11" s="1" customFormat="1" ht="16.5" x14ac:dyDescent="0.25"/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1:11" s="1" customFormat="1" ht="20.2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</row>
    <row r="23" spans="1:11" s="1" customFormat="1" ht="16.5" x14ac:dyDescent="0.25"/>
    <row r="24" spans="1:11" s="1" customFormat="1" ht="16.5" x14ac:dyDescent="0.25"/>
    <row r="25" spans="1:11" s="1" customFormat="1" ht="19.5" customHeight="1" x14ac:dyDescent="0.25"/>
    <row r="26" spans="1:11" s="1" customFormat="1" ht="30.75" customHeight="1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1" s="1" customFormat="1" ht="35.25" customHeight="1" x14ac:dyDescent="0.2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1" s="1" customFormat="1" ht="16.5" x14ac:dyDescent="0.25">
      <c r="A32" s="100"/>
      <c r="B32" s="101"/>
      <c r="C32" s="11"/>
      <c r="D32" s="11"/>
      <c r="E32" s="11"/>
      <c r="F32" s="11"/>
      <c r="G32" s="11"/>
      <c r="H32" s="5"/>
      <c r="I32" s="5"/>
      <c r="J32" s="5"/>
      <c r="K32" s="5"/>
    </row>
    <row r="33" spans="10:11" s="1" customFormat="1" ht="16.5" x14ac:dyDescent="0.25">
      <c r="J33" s="102"/>
      <c r="K33" s="102"/>
    </row>
  </sheetData>
  <mergeCells count="26">
    <mergeCell ref="G10:H10"/>
    <mergeCell ref="G11:H11"/>
    <mergeCell ref="G12:H12"/>
    <mergeCell ref="C10:D10"/>
    <mergeCell ref="C11:D11"/>
    <mergeCell ref="C12:D12"/>
    <mergeCell ref="E10:F10"/>
    <mergeCell ref="E11:F11"/>
    <mergeCell ref="E12:F12"/>
    <mergeCell ref="A21:K21"/>
    <mergeCell ref="A32:B32"/>
    <mergeCell ref="J33:K33"/>
    <mergeCell ref="A13:H13"/>
    <mergeCell ref="K13:K15"/>
    <mergeCell ref="A14:H15"/>
    <mergeCell ref="I14:I15"/>
    <mergeCell ref="J14:J15"/>
    <mergeCell ref="A20:K20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61B76C78-8211-4064-BDAD-4E0B71CF74DF}"/>
  </hyperlinks>
  <pageMargins left="0.25" right="0.25" top="0.17" bottom="0.17" header="0.3" footer="0.2"/>
  <pageSetup paperSize="9" scale="79" fitToHeight="0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F4AB7-7399-4600-9478-38BF373DE71D}">
  <sheetPr codeName="Sheet85">
    <pageSetUpPr fitToPage="1"/>
  </sheetPr>
  <dimension ref="A1:K33"/>
  <sheetViews>
    <sheetView zoomScaleNormal="100" workbookViewId="0">
      <selection activeCell="K9" sqref="K9:K12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45934</v>
      </c>
    </row>
    <row r="6" spans="1:11" s="1" customFormat="1" ht="16.5" x14ac:dyDescent="0.25">
      <c r="A6" s="1" t="s">
        <v>78</v>
      </c>
      <c r="D6" s="1" t="s">
        <v>178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25" t="s">
        <v>341</v>
      </c>
      <c r="C9" s="103" t="s">
        <v>719</v>
      </c>
      <c r="D9" s="104"/>
      <c r="E9" s="105" t="s">
        <v>92</v>
      </c>
      <c r="F9" s="104"/>
      <c r="G9" s="103" t="s">
        <v>231</v>
      </c>
      <c r="H9" s="104"/>
      <c r="I9" s="45">
        <v>100</v>
      </c>
      <c r="J9" s="127">
        <v>1</v>
      </c>
      <c r="K9" s="150" t="s">
        <v>721</v>
      </c>
    </row>
    <row r="10" spans="1:11" s="1" customFormat="1" ht="30.75" customHeight="1" x14ac:dyDescent="0.25">
      <c r="A10" s="63" t="s">
        <v>3</v>
      </c>
      <c r="B10" s="25" t="s">
        <v>341</v>
      </c>
      <c r="C10" s="103" t="s">
        <v>719</v>
      </c>
      <c r="D10" s="104"/>
      <c r="E10" s="105" t="s">
        <v>92</v>
      </c>
      <c r="F10" s="104"/>
      <c r="G10" s="103" t="s">
        <v>231</v>
      </c>
      <c r="H10" s="104"/>
      <c r="I10" s="45">
        <v>100</v>
      </c>
      <c r="J10" s="129"/>
      <c r="K10" s="148"/>
    </row>
    <row r="11" spans="1:11" s="1" customFormat="1" ht="30.75" customHeight="1" x14ac:dyDescent="0.25">
      <c r="A11" s="63" t="s">
        <v>4</v>
      </c>
      <c r="B11" s="25" t="s">
        <v>341</v>
      </c>
      <c r="C11" s="103" t="s">
        <v>720</v>
      </c>
      <c r="D11" s="104"/>
      <c r="E11" s="105" t="s">
        <v>92</v>
      </c>
      <c r="F11" s="104"/>
      <c r="G11" s="103" t="s">
        <v>718</v>
      </c>
      <c r="H11" s="104"/>
      <c r="I11" s="45">
        <v>100</v>
      </c>
      <c r="J11" s="129"/>
      <c r="K11" s="148"/>
    </row>
    <row r="12" spans="1:11" s="1" customFormat="1" ht="30.75" customHeight="1" x14ac:dyDescent="0.25">
      <c r="A12" s="63" t="s">
        <v>5</v>
      </c>
      <c r="B12" s="25" t="s">
        <v>341</v>
      </c>
      <c r="C12" s="103" t="s">
        <v>720</v>
      </c>
      <c r="D12" s="104"/>
      <c r="E12" s="105" t="s">
        <v>92</v>
      </c>
      <c r="F12" s="104"/>
      <c r="G12" s="103" t="s">
        <v>718</v>
      </c>
      <c r="H12" s="104"/>
      <c r="I12" s="45">
        <v>100</v>
      </c>
      <c r="J12" s="128"/>
      <c r="K12" s="126"/>
    </row>
    <row r="13" spans="1:11" s="1" customFormat="1" ht="33" customHeight="1" x14ac:dyDescent="0.25">
      <c r="A13" s="118" t="s">
        <v>7</v>
      </c>
      <c r="B13" s="118"/>
      <c r="C13" s="118"/>
      <c r="D13" s="118"/>
      <c r="E13" s="118"/>
      <c r="F13" s="118"/>
      <c r="G13" s="118"/>
      <c r="H13" s="118"/>
      <c r="I13" s="9">
        <f>SUM(I9:I12)</f>
        <v>400</v>
      </c>
      <c r="J13" s="9">
        <f>SUM(J9:J12)</f>
        <v>1</v>
      </c>
      <c r="K13" s="118" t="s">
        <v>651</v>
      </c>
    </row>
    <row r="14" spans="1:11" s="1" customFormat="1" ht="16.5" x14ac:dyDescent="0.25">
      <c r="A14" s="121" t="s">
        <v>19</v>
      </c>
      <c r="B14" s="121"/>
      <c r="C14" s="121"/>
      <c r="D14" s="121"/>
      <c r="E14" s="121"/>
      <c r="F14" s="121"/>
      <c r="G14" s="121"/>
      <c r="H14" s="121"/>
      <c r="I14" s="121">
        <f>I13</f>
        <v>400</v>
      </c>
      <c r="J14" s="118">
        <f>J13</f>
        <v>1</v>
      </c>
      <c r="K14" s="118"/>
    </row>
    <row r="15" spans="1:11" ht="15" customHeight="1" x14ac:dyDescent="0.25">
      <c r="A15" s="121"/>
      <c r="B15" s="121"/>
      <c r="C15" s="121"/>
      <c r="D15" s="121"/>
      <c r="E15" s="121"/>
      <c r="F15" s="121"/>
      <c r="G15" s="121"/>
      <c r="H15" s="121"/>
      <c r="I15" s="121"/>
      <c r="J15" s="118"/>
      <c r="K15" s="118"/>
    </row>
    <row r="17" spans="1:11" x14ac:dyDescent="0.25">
      <c r="B17" s="10" t="s">
        <v>62</v>
      </c>
      <c r="H17" t="s">
        <v>23</v>
      </c>
    </row>
    <row r="18" spans="1:11" ht="101.25" customHeight="1" x14ac:dyDescent="0.25">
      <c r="B18" s="10"/>
    </row>
    <row r="19" spans="1:11" s="1" customFormat="1" ht="16.5" x14ac:dyDescent="0.25"/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1:11" s="1" customFormat="1" ht="20.2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</row>
    <row r="23" spans="1:11" s="1" customFormat="1" ht="16.5" x14ac:dyDescent="0.25"/>
    <row r="24" spans="1:11" s="1" customFormat="1" ht="16.5" x14ac:dyDescent="0.25"/>
    <row r="25" spans="1:11" s="1" customFormat="1" ht="19.5" customHeight="1" x14ac:dyDescent="0.25"/>
    <row r="26" spans="1:11" s="1" customFormat="1" ht="30.75" customHeight="1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1" s="1" customFormat="1" ht="35.25" customHeight="1" x14ac:dyDescent="0.2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1" s="1" customFormat="1" ht="16.5" x14ac:dyDescent="0.25">
      <c r="A32" s="100"/>
      <c r="B32" s="101"/>
      <c r="C32" s="11"/>
      <c r="D32" s="11"/>
      <c r="E32" s="11"/>
      <c r="F32" s="11"/>
      <c r="G32" s="11"/>
      <c r="H32" s="5"/>
      <c r="I32" s="5"/>
      <c r="J32" s="5"/>
      <c r="K32" s="5"/>
    </row>
    <row r="33" spans="10:11" s="1" customFormat="1" ht="16.5" x14ac:dyDescent="0.25">
      <c r="J33" s="102"/>
      <c r="K33" s="102"/>
    </row>
  </sheetData>
  <mergeCells count="28">
    <mergeCell ref="E12:F12"/>
    <mergeCell ref="G11:H11"/>
    <mergeCell ref="G12:H12"/>
    <mergeCell ref="A21:K21"/>
    <mergeCell ref="A32:B32"/>
    <mergeCell ref="K9:K12"/>
    <mergeCell ref="C10:D10"/>
    <mergeCell ref="E10:F10"/>
    <mergeCell ref="G10:H10"/>
    <mergeCell ref="C11:D11"/>
    <mergeCell ref="J9:J12"/>
    <mergeCell ref="C9:D9"/>
    <mergeCell ref="E9:F9"/>
    <mergeCell ref="G9:H9"/>
    <mergeCell ref="C12:D12"/>
    <mergeCell ref="E11:F11"/>
    <mergeCell ref="J33:K33"/>
    <mergeCell ref="A13:H13"/>
    <mergeCell ref="K13:K15"/>
    <mergeCell ref="A14:H15"/>
    <mergeCell ref="I14:I15"/>
    <mergeCell ref="J14:J15"/>
    <mergeCell ref="A20:K20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C789E283-D8A7-4E1C-BC9C-4E3F333DFC9C}"/>
  </hyperlinks>
  <pageMargins left="0.25" right="0.25" top="0.17" bottom="0.17" header="0.3" footer="0.2"/>
  <pageSetup paperSize="9" scale="79" fitToHeight="0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40084-4464-4B6F-B4DD-861580757BC9}">
  <sheetPr codeName="Sheet86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45938</v>
      </c>
    </row>
    <row r="6" spans="1:11" s="1" customFormat="1" ht="16.5" x14ac:dyDescent="0.25">
      <c r="A6" s="1" t="s">
        <v>78</v>
      </c>
      <c r="D6" s="1" t="s">
        <v>702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64" t="s">
        <v>705</v>
      </c>
      <c r="C9" s="103" t="s">
        <v>707</v>
      </c>
      <c r="D9" s="104"/>
      <c r="E9" s="105" t="s">
        <v>17</v>
      </c>
      <c r="F9" s="104"/>
      <c r="G9" s="103" t="s">
        <v>706</v>
      </c>
      <c r="H9" s="104"/>
      <c r="I9" s="45">
        <v>250</v>
      </c>
      <c r="J9" s="24">
        <v>1</v>
      </c>
      <c r="K9" s="31" t="s">
        <v>708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250</v>
      </c>
      <c r="J10" s="9">
        <f>SUM(J9:J9)</f>
        <v>1</v>
      </c>
      <c r="K10" s="118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250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</mergeCells>
  <hyperlinks>
    <hyperlink ref="D5" location="'Muc Luc'!A1" display="Mr Cường" xr:uid="{9E5D0A90-5733-4B1B-9CF8-7F727429A83F}"/>
  </hyperlinks>
  <pageMargins left="0.25" right="0.25" top="0.17" bottom="0.17" header="0.3" footer="0.2"/>
  <pageSetup paperSize="9" scale="79" fitToHeight="0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B394-0360-42E2-85A8-1324B33BDD59}">
  <sheetPr codeName="Sheet87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45937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39" t="s">
        <v>709</v>
      </c>
      <c r="C9" s="103" t="s">
        <v>710</v>
      </c>
      <c r="D9" s="104"/>
      <c r="E9" s="105" t="s">
        <v>17</v>
      </c>
      <c r="F9" s="104"/>
      <c r="G9" s="103" t="s">
        <v>712</v>
      </c>
      <c r="H9" s="104"/>
      <c r="I9" s="45">
        <v>145</v>
      </c>
      <c r="J9" s="24">
        <v>1</v>
      </c>
      <c r="K9" s="78">
        <v>45992</v>
      </c>
    </row>
    <row r="10" spans="1:11" s="1" customFormat="1" ht="30.75" customHeight="1" x14ac:dyDescent="0.25">
      <c r="A10" s="63" t="s">
        <v>3</v>
      </c>
      <c r="B10" s="39" t="s">
        <v>709</v>
      </c>
      <c r="C10" s="103" t="s">
        <v>711</v>
      </c>
      <c r="D10" s="104"/>
      <c r="E10" s="105" t="s">
        <v>17</v>
      </c>
      <c r="F10" s="104"/>
      <c r="G10" s="103" t="s">
        <v>712</v>
      </c>
      <c r="H10" s="104"/>
      <c r="I10" s="45">
        <v>145</v>
      </c>
      <c r="J10" s="24">
        <v>1</v>
      </c>
      <c r="K10" s="78">
        <v>46023</v>
      </c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290</v>
      </c>
      <c r="J11" s="9">
        <f>SUM(J9:J10)</f>
        <v>2</v>
      </c>
      <c r="K11" s="118" t="s">
        <v>651</v>
      </c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290</v>
      </c>
      <c r="J12" s="118">
        <f>J11</f>
        <v>2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C9:D9"/>
    <mergeCell ref="E9:F9"/>
    <mergeCell ref="G9:H9"/>
    <mergeCell ref="A2:K2"/>
    <mergeCell ref="A3:K3"/>
    <mergeCell ref="C8:D8"/>
    <mergeCell ref="E8:F8"/>
    <mergeCell ref="G8:H8"/>
    <mergeCell ref="A19:K19"/>
    <mergeCell ref="A30:B30"/>
    <mergeCell ref="J31:K31"/>
    <mergeCell ref="C10:D10"/>
    <mergeCell ref="E10:F10"/>
    <mergeCell ref="G10:H10"/>
    <mergeCell ref="A11:H11"/>
    <mergeCell ref="K11:K13"/>
    <mergeCell ref="A12:H13"/>
    <mergeCell ref="I12:I13"/>
    <mergeCell ref="J12:J13"/>
    <mergeCell ref="A18:K18"/>
  </mergeCells>
  <phoneticPr fontId="21" type="noConversion"/>
  <hyperlinks>
    <hyperlink ref="D5" location="'Muc Luc'!A1" display="Mr Cường" xr:uid="{6D47D3B6-949E-4AD7-A007-087A8C613176}"/>
  </hyperlinks>
  <pageMargins left="0.25" right="0.25" top="0.17" bottom="0.17" header="0.3" footer="0.2"/>
  <pageSetup paperSize="9" scale="79" fitToHeight="0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3A71A-8F7D-41E0-BE63-8055774D6505}">
  <sheetPr codeName="Sheet88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45940</v>
      </c>
    </row>
    <row r="6" spans="1:11" s="1" customFormat="1" ht="16.5" x14ac:dyDescent="0.25">
      <c r="A6" s="1" t="s">
        <v>78</v>
      </c>
      <c r="D6" s="1" t="s">
        <v>124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27" t="s">
        <v>44</v>
      </c>
      <c r="C9" s="103" t="s">
        <v>703</v>
      </c>
      <c r="D9" s="104"/>
      <c r="E9" s="105" t="s">
        <v>557</v>
      </c>
      <c r="F9" s="104"/>
      <c r="G9" s="103" t="s">
        <v>72</v>
      </c>
      <c r="H9" s="104"/>
      <c r="I9" s="45">
        <v>768</v>
      </c>
      <c r="J9" s="127">
        <v>1</v>
      </c>
      <c r="K9" s="125" t="s">
        <v>59</v>
      </c>
    </row>
    <row r="10" spans="1:11" s="1" customFormat="1" ht="30.75" customHeight="1" x14ac:dyDescent="0.25">
      <c r="A10" s="63" t="s">
        <v>3</v>
      </c>
      <c r="B10" s="27" t="s">
        <v>45</v>
      </c>
      <c r="C10" s="103" t="s">
        <v>704</v>
      </c>
      <c r="D10" s="104"/>
      <c r="E10" s="105" t="s">
        <v>17</v>
      </c>
      <c r="F10" s="104"/>
      <c r="G10" s="103" t="s">
        <v>72</v>
      </c>
      <c r="H10" s="104"/>
      <c r="I10" s="45">
        <v>4232</v>
      </c>
      <c r="J10" s="128"/>
      <c r="K10" s="126"/>
    </row>
    <row r="11" spans="1:11" s="1" customFormat="1" ht="33" customHeight="1" x14ac:dyDescent="0.25">
      <c r="A11" s="118" t="s">
        <v>7</v>
      </c>
      <c r="B11" s="118"/>
      <c r="C11" s="118"/>
      <c r="D11" s="118"/>
      <c r="E11" s="118"/>
      <c r="F11" s="118"/>
      <c r="G11" s="118"/>
      <c r="H11" s="118"/>
      <c r="I11" s="9">
        <f>SUM(I9:I10)</f>
        <v>5000</v>
      </c>
      <c r="J11" s="9">
        <f>SUM(J9:J10)</f>
        <v>1</v>
      </c>
      <c r="K11" s="118" t="s">
        <v>651</v>
      </c>
    </row>
    <row r="12" spans="1:11" s="1" customFormat="1" ht="16.5" x14ac:dyDescent="0.25">
      <c r="A12" s="121" t="s">
        <v>19</v>
      </c>
      <c r="B12" s="121"/>
      <c r="C12" s="121"/>
      <c r="D12" s="121"/>
      <c r="E12" s="121"/>
      <c r="F12" s="121"/>
      <c r="G12" s="121"/>
      <c r="H12" s="121"/>
      <c r="I12" s="121">
        <f>I11</f>
        <v>5000</v>
      </c>
      <c r="J12" s="118">
        <f>J11</f>
        <v>1</v>
      </c>
      <c r="K12" s="118"/>
    </row>
    <row r="13" spans="1:11" ht="15" customHeight="1" x14ac:dyDescent="0.25">
      <c r="A13" s="121"/>
      <c r="B13" s="121"/>
      <c r="C13" s="121"/>
      <c r="D13" s="121"/>
      <c r="E13" s="121"/>
      <c r="F13" s="121"/>
      <c r="G13" s="121"/>
      <c r="H13" s="121"/>
      <c r="I13" s="121"/>
      <c r="J13" s="118"/>
      <c r="K13" s="118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2">
    <mergeCell ref="G9:H9"/>
    <mergeCell ref="A2:K2"/>
    <mergeCell ref="A3:K3"/>
    <mergeCell ref="C8:D8"/>
    <mergeCell ref="E8:F8"/>
    <mergeCell ref="G8:H8"/>
    <mergeCell ref="A19:K19"/>
    <mergeCell ref="A30:B30"/>
    <mergeCell ref="J31:K31"/>
    <mergeCell ref="C10:D10"/>
    <mergeCell ref="E10:F10"/>
    <mergeCell ref="G10:H10"/>
    <mergeCell ref="J9:J10"/>
    <mergeCell ref="K9:K10"/>
    <mergeCell ref="A11:H11"/>
    <mergeCell ref="K11:K13"/>
    <mergeCell ref="A12:H13"/>
    <mergeCell ref="I12:I13"/>
    <mergeCell ref="J12:J13"/>
    <mergeCell ref="A18:K18"/>
    <mergeCell ref="C9:D9"/>
    <mergeCell ref="E9:F9"/>
  </mergeCells>
  <phoneticPr fontId="21" type="noConversion"/>
  <hyperlinks>
    <hyperlink ref="D5" location="'Muc Luc'!A1" display="Mr Cường" xr:uid="{0B7A2D38-C3A7-4CD2-A727-6381062BCDEF}"/>
  </hyperlinks>
  <pageMargins left="0.25" right="0.25" top="0.17" bottom="0.17" header="0.3" footer="0.2"/>
  <pageSetup paperSize="9" scale="79" fitToHeight="0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7E489-51DE-4871-995E-03716BC5DE18}">
  <sheetPr codeName="Sheet89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45939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27" t="s">
        <v>505</v>
      </c>
      <c r="C9" s="103" t="s">
        <v>722</v>
      </c>
      <c r="D9" s="104"/>
      <c r="E9" s="105" t="s">
        <v>506</v>
      </c>
      <c r="F9" s="104"/>
      <c r="G9" s="103" t="s">
        <v>466</v>
      </c>
      <c r="H9" s="104"/>
      <c r="I9" s="45">
        <v>100</v>
      </c>
      <c r="J9" s="54">
        <v>1</v>
      </c>
      <c r="K9" s="79" t="s">
        <v>723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100</v>
      </c>
      <c r="J10" s="9">
        <f>SUM(J9:J9)</f>
        <v>1</v>
      </c>
      <c r="K10" s="118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100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7:K17"/>
    <mergeCell ref="A18:K18"/>
    <mergeCell ref="A29:B29"/>
    <mergeCell ref="J30:K30"/>
    <mergeCell ref="A10:H10"/>
    <mergeCell ref="K10:K12"/>
    <mergeCell ref="A11:H12"/>
    <mergeCell ref="I11:I12"/>
    <mergeCell ref="J11:J12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49BBA896-CD79-42ED-BDD4-F8388A62B412}"/>
  </hyperlinks>
  <pageMargins left="0.25" right="0.25" top="0.17" bottom="0.17" header="0.3" footer="0.2"/>
  <pageSetup paperSize="9" scale="79" fitToHeight="0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57A70-112C-4984-8CDA-3F59D8A29DE9}">
  <sheetPr codeName="Sheet97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45954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27" t="s">
        <v>505</v>
      </c>
      <c r="C9" s="103" t="s">
        <v>754</v>
      </c>
      <c r="D9" s="104"/>
      <c r="E9" s="105" t="s">
        <v>506</v>
      </c>
      <c r="F9" s="104"/>
      <c r="G9" s="103" t="s">
        <v>466</v>
      </c>
      <c r="H9" s="104"/>
      <c r="I9" s="45">
        <v>100</v>
      </c>
      <c r="J9" s="54">
        <v>1</v>
      </c>
      <c r="K9" s="79" t="s">
        <v>755</v>
      </c>
    </row>
    <row r="10" spans="1:11" s="1" customFormat="1" ht="33" customHeight="1" x14ac:dyDescent="0.25">
      <c r="A10" s="118" t="s">
        <v>7</v>
      </c>
      <c r="B10" s="118"/>
      <c r="C10" s="118"/>
      <c r="D10" s="118"/>
      <c r="E10" s="118"/>
      <c r="F10" s="118"/>
      <c r="G10" s="118"/>
      <c r="H10" s="118"/>
      <c r="I10" s="9">
        <f>SUM(I9:I9)</f>
        <v>100</v>
      </c>
      <c r="J10" s="9">
        <f>SUM(J9:J9)</f>
        <v>1</v>
      </c>
      <c r="K10" s="118" t="s">
        <v>651</v>
      </c>
    </row>
    <row r="11" spans="1:11" s="1" customFormat="1" ht="16.5" x14ac:dyDescent="0.25">
      <c r="A11" s="121" t="s">
        <v>19</v>
      </c>
      <c r="B11" s="121"/>
      <c r="C11" s="121"/>
      <c r="D11" s="121"/>
      <c r="E11" s="121"/>
      <c r="F11" s="121"/>
      <c r="G11" s="121"/>
      <c r="H11" s="121"/>
      <c r="I11" s="121">
        <f>I10</f>
        <v>100</v>
      </c>
      <c r="J11" s="118">
        <f>J10</f>
        <v>1</v>
      </c>
      <c r="K11" s="118"/>
    </row>
    <row r="12" spans="1:11" ht="15" customHeight="1" x14ac:dyDescent="0.25">
      <c r="A12" s="121"/>
      <c r="B12" s="121"/>
      <c r="C12" s="121"/>
      <c r="D12" s="121"/>
      <c r="E12" s="121"/>
      <c r="F12" s="121"/>
      <c r="G12" s="121"/>
      <c r="H12" s="121"/>
      <c r="I12" s="121"/>
      <c r="J12" s="118"/>
      <c r="K12" s="118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</mergeCells>
  <hyperlinks>
    <hyperlink ref="D5" location="'Muc Luc'!A1" display="Mr Cường" xr:uid="{2AF688CF-DDEC-441B-BCE4-960670325E7E}"/>
  </hyperlinks>
  <pageMargins left="0.25" right="0.25" top="0.17" bottom="0.17" header="0.3" footer="0.2"/>
  <pageSetup paperSize="9" scale="79" fitToHeight="0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B0116-826D-4BBF-B997-4689DFCEEACC}">
  <sheetPr codeName="Sheet90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45944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39" t="s">
        <v>724</v>
      </c>
      <c r="C9" s="103" t="s">
        <v>726</v>
      </c>
      <c r="D9" s="104"/>
      <c r="E9" s="105" t="s">
        <v>17</v>
      </c>
      <c r="F9" s="104"/>
      <c r="G9" s="103" t="s">
        <v>466</v>
      </c>
      <c r="H9" s="104"/>
      <c r="I9" s="45">
        <v>200</v>
      </c>
      <c r="J9" s="54">
        <v>1</v>
      </c>
      <c r="K9" s="43" t="s">
        <v>727</v>
      </c>
    </row>
    <row r="10" spans="1:11" s="1" customFormat="1" ht="30.75" customHeight="1" x14ac:dyDescent="0.25">
      <c r="A10" s="63" t="s">
        <v>3</v>
      </c>
      <c r="B10" s="39" t="s">
        <v>724</v>
      </c>
      <c r="C10" s="103" t="s">
        <v>725</v>
      </c>
      <c r="D10" s="104"/>
      <c r="E10" s="105" t="s">
        <v>17</v>
      </c>
      <c r="F10" s="104"/>
      <c r="G10" s="103" t="s">
        <v>466</v>
      </c>
      <c r="H10" s="104"/>
      <c r="I10" s="45">
        <v>200</v>
      </c>
      <c r="J10" s="54">
        <v>1</v>
      </c>
      <c r="K10" s="43" t="s">
        <v>728</v>
      </c>
    </row>
    <row r="11" spans="1:11" s="1" customFormat="1" ht="33" customHeight="1" x14ac:dyDescent="0.25">
      <c r="A11" s="106" t="s">
        <v>7</v>
      </c>
      <c r="B11" s="106"/>
      <c r="C11" s="106"/>
      <c r="D11" s="106"/>
      <c r="E11" s="106"/>
      <c r="F11" s="106"/>
      <c r="G11" s="106"/>
      <c r="H11" s="106"/>
      <c r="I11" s="77">
        <f>SUM(I9:I10)</f>
        <v>400</v>
      </c>
      <c r="J11" s="77">
        <f>SUM(J9:J10)</f>
        <v>2</v>
      </c>
      <c r="K11" s="106" t="s">
        <v>651</v>
      </c>
    </row>
    <row r="12" spans="1:11" s="1" customFormat="1" ht="16.5" x14ac:dyDescent="0.25">
      <c r="A12" s="108" t="s">
        <v>19</v>
      </c>
      <c r="B12" s="108"/>
      <c r="C12" s="108"/>
      <c r="D12" s="108"/>
      <c r="E12" s="108"/>
      <c r="F12" s="108"/>
      <c r="G12" s="108"/>
      <c r="H12" s="108"/>
      <c r="I12" s="108">
        <f>I11</f>
        <v>400</v>
      </c>
      <c r="J12" s="106">
        <f>J11</f>
        <v>2</v>
      </c>
      <c r="K12" s="106"/>
    </row>
    <row r="13" spans="1:11" ht="15" customHeight="1" x14ac:dyDescent="0.25">
      <c r="A13" s="108"/>
      <c r="B13" s="108"/>
      <c r="C13" s="108"/>
      <c r="D13" s="108"/>
      <c r="E13" s="108"/>
      <c r="F13" s="108"/>
      <c r="G13" s="108"/>
      <c r="H13" s="108"/>
      <c r="I13" s="108"/>
      <c r="J13" s="106"/>
      <c r="K13" s="106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C9:D9"/>
    <mergeCell ref="E9:F9"/>
    <mergeCell ref="G9:H9"/>
    <mergeCell ref="A2:K2"/>
    <mergeCell ref="A3:K3"/>
    <mergeCell ref="C8:D8"/>
    <mergeCell ref="E8:F8"/>
    <mergeCell ref="G8:H8"/>
    <mergeCell ref="A19:K19"/>
    <mergeCell ref="A30:B30"/>
    <mergeCell ref="J31:K31"/>
    <mergeCell ref="C10:D10"/>
    <mergeCell ref="E10:F10"/>
    <mergeCell ref="G10:H10"/>
    <mergeCell ref="A11:H11"/>
    <mergeCell ref="K11:K13"/>
    <mergeCell ref="A12:H13"/>
    <mergeCell ref="I12:I13"/>
    <mergeCell ref="J12:J13"/>
    <mergeCell ref="A18:K18"/>
  </mergeCells>
  <phoneticPr fontId="21" type="noConversion"/>
  <hyperlinks>
    <hyperlink ref="D5" location="'Muc Luc'!A1" display="Mr Cường" xr:uid="{44A92731-B981-4FBF-8F7A-927BC0308BEF}"/>
  </hyperlinks>
  <pageMargins left="0.25" right="0.25" top="0.17" bottom="0.17" header="0.3" footer="0.2"/>
  <pageSetup paperSize="9" scale="79" fitToHeight="0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BCFF7-012D-4E91-A98A-04B10D41FDC6}">
  <sheetPr codeName="Sheet91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45945</v>
      </c>
    </row>
    <row r="6" spans="1:11" s="1" customFormat="1" ht="16.5" x14ac:dyDescent="0.25">
      <c r="A6" s="1" t="s">
        <v>78</v>
      </c>
      <c r="D6" s="1" t="s">
        <v>154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27" t="s">
        <v>729</v>
      </c>
      <c r="C9" s="103" t="s">
        <v>730</v>
      </c>
      <c r="D9" s="104"/>
      <c r="E9" s="105" t="s">
        <v>17</v>
      </c>
      <c r="F9" s="104"/>
      <c r="G9" s="103" t="s">
        <v>493</v>
      </c>
      <c r="H9" s="104"/>
      <c r="I9" s="45">
        <v>400</v>
      </c>
      <c r="J9" s="54">
        <v>1</v>
      </c>
      <c r="K9" s="31" t="s">
        <v>731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400</v>
      </c>
      <c r="J10" s="77">
        <f>SUM(J9:J9)</f>
        <v>1</v>
      </c>
      <c r="K10" s="106" t="s">
        <v>651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400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7:K17"/>
    <mergeCell ref="A18:K18"/>
    <mergeCell ref="A29:B29"/>
    <mergeCell ref="J30:K30"/>
    <mergeCell ref="A10:H10"/>
    <mergeCell ref="K10:K12"/>
    <mergeCell ref="A11:H12"/>
    <mergeCell ref="I11:I12"/>
    <mergeCell ref="J11:J12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D73D1F30-84A9-4118-A946-469F5B30DE4B}"/>
  </hyperlinks>
  <pageMargins left="0.25" right="0.25" top="0.17" bottom="0.17" header="0.3" footer="0.2"/>
  <pageSetup paperSize="9" scale="79" fitToHeight="0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C9E09-FCF9-4284-A1B0-387B68C0B35C}">
  <sheetPr codeName="Sheet92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45945</v>
      </c>
    </row>
    <row r="6" spans="1:11" s="1" customFormat="1" ht="16.5" x14ac:dyDescent="0.25">
      <c r="A6" s="1" t="s">
        <v>78</v>
      </c>
      <c r="D6" s="1" t="s">
        <v>177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7" t="s">
        <v>732</v>
      </c>
      <c r="C9" s="103" t="s">
        <v>734</v>
      </c>
      <c r="D9" s="104"/>
      <c r="E9" s="105" t="s">
        <v>506</v>
      </c>
      <c r="F9" s="104"/>
      <c r="G9" s="103" t="s">
        <v>466</v>
      </c>
      <c r="H9" s="104"/>
      <c r="I9" s="45">
        <v>500</v>
      </c>
      <c r="J9" s="54">
        <v>1</v>
      </c>
      <c r="K9" s="31" t="s">
        <v>733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500</v>
      </c>
      <c r="J10" s="77">
        <f>SUM(J9:J9)</f>
        <v>1</v>
      </c>
      <c r="K10" s="106" t="s">
        <v>651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500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A258C536-9DA7-41A1-80D6-2D857C8BC001}"/>
  </hyperlinks>
  <pageMargins left="0.25" right="0.25" top="0.17" bottom="0.17" header="0.3" footer="0.2"/>
  <pageSetup paperSize="9" scale="79" fitToHeight="0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F4DA0-082D-470E-B02C-2292516E3B19}">
  <sheetPr codeName="Sheet93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45946</v>
      </c>
    </row>
    <row r="6" spans="1:11" s="1" customFormat="1" ht="16.5" x14ac:dyDescent="0.25">
      <c r="A6" s="1" t="s">
        <v>78</v>
      </c>
      <c r="D6" s="1" t="s">
        <v>190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41" t="s">
        <v>735</v>
      </c>
      <c r="C9" s="103" t="s">
        <v>736</v>
      </c>
      <c r="D9" s="104"/>
      <c r="E9" s="105" t="s">
        <v>17</v>
      </c>
      <c r="F9" s="104"/>
      <c r="G9" s="103" t="s">
        <v>466</v>
      </c>
      <c r="H9" s="104"/>
      <c r="I9" s="45">
        <v>400</v>
      </c>
      <c r="J9" s="54">
        <v>1</v>
      </c>
      <c r="K9" s="31" t="s">
        <v>737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400</v>
      </c>
      <c r="J10" s="77">
        <f>SUM(J9:J9)</f>
        <v>1</v>
      </c>
      <c r="K10" s="106" t="s">
        <v>651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400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</mergeCells>
  <hyperlinks>
    <hyperlink ref="D5" location="'Muc Luc'!A1" display="Mr Cường" xr:uid="{DC1707C0-514C-4F6D-A187-500B3A639850}"/>
  </hyperlinks>
  <pageMargins left="0.25" right="0.25" top="0.17" bottom="0.17" header="0.3" footer="0.2"/>
  <pageSetup paperSize="9" scale="79" fitToHeight="0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F284B-5739-4CC6-B7BC-8ED42878B37A}">
  <sheetPr codeName="Sheet94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45946</v>
      </c>
    </row>
    <row r="6" spans="1:11" s="1" customFormat="1" ht="16.5" x14ac:dyDescent="0.25">
      <c r="A6" s="1" t="s">
        <v>78</v>
      </c>
      <c r="D6" s="1" t="s">
        <v>738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64" t="s">
        <v>739</v>
      </c>
      <c r="C9" s="103" t="s">
        <v>740</v>
      </c>
      <c r="D9" s="104"/>
      <c r="E9" s="105" t="s">
        <v>92</v>
      </c>
      <c r="F9" s="104"/>
      <c r="G9" s="103" t="s">
        <v>466</v>
      </c>
      <c r="H9" s="104"/>
      <c r="I9" s="45">
        <v>300</v>
      </c>
      <c r="J9" s="54">
        <v>1</v>
      </c>
      <c r="K9" s="31" t="s">
        <v>741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300</v>
      </c>
      <c r="J10" s="77">
        <f>SUM(J9:J9)</f>
        <v>1</v>
      </c>
      <c r="K10" s="106" t="s">
        <v>651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300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</mergeCells>
  <hyperlinks>
    <hyperlink ref="D5" location="'Muc Luc'!A1" display="Mr Cường" xr:uid="{BBE989F7-9478-40D2-993D-E6EC554FC29F}"/>
  </hyperlinks>
  <pageMargins left="0.25" right="0.25" top="0.17" bottom="0.17" header="0.3" footer="0.2"/>
  <pageSetup paperSize="9" scale="79" fitToHeight="0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246DD-B01F-4007-B53A-651F36B977B1}">
  <sheetPr codeName="Sheet95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45950</v>
      </c>
    </row>
    <row r="6" spans="1:11" s="1" customFormat="1" ht="16.5" x14ac:dyDescent="0.25">
      <c r="A6" s="1" t="s">
        <v>78</v>
      </c>
      <c r="D6" s="1" t="s">
        <v>435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40" t="s">
        <v>492</v>
      </c>
      <c r="C9" s="103" t="s">
        <v>743</v>
      </c>
      <c r="D9" s="104"/>
      <c r="E9" s="105" t="s">
        <v>92</v>
      </c>
      <c r="F9" s="104"/>
      <c r="G9" s="103" t="s">
        <v>493</v>
      </c>
      <c r="H9" s="104"/>
      <c r="I9" s="45">
        <v>500</v>
      </c>
      <c r="J9" s="54">
        <v>1</v>
      </c>
      <c r="K9" s="31" t="s">
        <v>742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500</v>
      </c>
      <c r="J10" s="77">
        <f>SUM(J9:J9)</f>
        <v>1</v>
      </c>
      <c r="K10" s="106" t="s">
        <v>651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500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24006BEA-18D5-43A3-99C1-371D266E9EFA}"/>
  </hyperlinks>
  <pageMargins left="0.25" right="0.25" top="0.17" bottom="0.17" header="0.3" footer="0.2"/>
  <pageSetup paperSize="9" scale="79" fitToHeight="0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55431-BA36-4D65-9486-D77A066FE2DD}">
  <sheetPr codeName="Sheet96">
    <pageSetUpPr fitToPage="1"/>
  </sheetPr>
  <dimension ref="A1:K30"/>
  <sheetViews>
    <sheetView zoomScaleNormal="100" workbookViewId="0"/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45950</v>
      </c>
    </row>
    <row r="6" spans="1:11" s="1" customFormat="1" ht="16.5" x14ac:dyDescent="0.25">
      <c r="A6" s="1" t="s">
        <v>78</v>
      </c>
      <c r="D6" s="1" t="s">
        <v>702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80" t="s">
        <v>744</v>
      </c>
      <c r="C9" s="103" t="s">
        <v>745</v>
      </c>
      <c r="D9" s="104"/>
      <c r="E9" s="105" t="s">
        <v>92</v>
      </c>
      <c r="F9" s="104"/>
      <c r="G9" s="103" t="s">
        <v>231</v>
      </c>
      <c r="H9" s="104"/>
      <c r="I9" s="45">
        <v>500</v>
      </c>
      <c r="J9" s="54">
        <v>1</v>
      </c>
      <c r="K9" s="31">
        <v>3327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500</v>
      </c>
      <c r="J10" s="77">
        <f>SUM(J9:J9)</f>
        <v>1</v>
      </c>
      <c r="K10" s="106" t="s">
        <v>651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500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823ECAFF-B2AC-42B4-8021-AAC848055873}"/>
  </hyperlinks>
  <pageMargins left="0.25" right="0.25" top="0.17" bottom="0.17" header="0.3" footer="0.2"/>
  <pageSetup paperSize="9" scale="79" fitToHeight="0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CDAE9-AA58-4A5D-9EFA-B842CCA140F2}">
  <sheetPr codeName="Sheet98">
    <pageSetUpPr fitToPage="1"/>
  </sheetPr>
  <dimension ref="A1:K30"/>
  <sheetViews>
    <sheetView zoomScaleNormal="100" workbookViewId="0">
      <selection activeCell="K10" sqref="K10:K12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45951</v>
      </c>
    </row>
    <row r="6" spans="1:11" s="1" customFormat="1" ht="16.5" x14ac:dyDescent="0.25">
      <c r="A6" s="1" t="s">
        <v>78</v>
      </c>
      <c r="D6" s="1" t="s">
        <v>178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80" t="s">
        <v>757</v>
      </c>
      <c r="C9" s="103" t="s">
        <v>758</v>
      </c>
      <c r="D9" s="104"/>
      <c r="E9" s="105" t="s">
        <v>92</v>
      </c>
      <c r="F9" s="104"/>
      <c r="G9" s="103" t="s">
        <v>231</v>
      </c>
      <c r="H9" s="104"/>
      <c r="I9" s="45">
        <v>500</v>
      </c>
      <c r="J9" s="54">
        <v>1</v>
      </c>
      <c r="K9" s="31">
        <v>3375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500</v>
      </c>
      <c r="J10" s="77">
        <f>SUM(J9:J9)</f>
        <v>1</v>
      </c>
      <c r="K10" s="106" t="s">
        <v>651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500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</mergeCells>
  <hyperlinks>
    <hyperlink ref="D5" location="'Muc Luc'!A1" display="Mr Cường" xr:uid="{068EC49D-B10C-47A4-9411-1786446A080F}"/>
  </hyperlinks>
  <pageMargins left="0.25" right="0.25" top="0.17" bottom="0.17" header="0.3" footer="0.2"/>
  <pageSetup paperSize="9" scale="79" fitToHeight="0"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04789-225B-4675-A69E-02CE5410A5E9}">
  <sheetPr codeName="Sheet99">
    <pageSetUpPr fitToPage="1"/>
  </sheetPr>
  <dimension ref="A1:K31"/>
  <sheetViews>
    <sheetView zoomScaleNormal="100" workbookViewId="0"/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45951</v>
      </c>
    </row>
    <row r="6" spans="1:11" s="1" customFormat="1" ht="16.5" x14ac:dyDescent="0.25">
      <c r="A6" s="1" t="s">
        <v>78</v>
      </c>
      <c r="D6" s="1" t="s">
        <v>123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80" t="s">
        <v>516</v>
      </c>
      <c r="C9" s="103" t="s">
        <v>760</v>
      </c>
      <c r="D9" s="104"/>
      <c r="E9" s="105" t="s">
        <v>92</v>
      </c>
      <c r="F9" s="104"/>
      <c r="G9" s="103" t="s">
        <v>493</v>
      </c>
      <c r="H9" s="104"/>
      <c r="I9" s="45">
        <v>400</v>
      </c>
      <c r="J9" s="54">
        <v>1</v>
      </c>
      <c r="K9" s="31" t="s">
        <v>762</v>
      </c>
    </row>
    <row r="10" spans="1:11" s="1" customFormat="1" ht="30.75" customHeight="1" x14ac:dyDescent="0.25">
      <c r="A10" s="63" t="s">
        <v>3</v>
      </c>
      <c r="B10" s="80" t="s">
        <v>759</v>
      </c>
      <c r="C10" s="103" t="s">
        <v>761</v>
      </c>
      <c r="D10" s="104"/>
      <c r="E10" s="105" t="s">
        <v>92</v>
      </c>
      <c r="F10" s="104"/>
      <c r="G10" s="103" t="s">
        <v>466</v>
      </c>
      <c r="H10" s="104"/>
      <c r="I10" s="45">
        <v>400</v>
      </c>
      <c r="J10" s="54">
        <v>1</v>
      </c>
      <c r="K10" s="31" t="s">
        <v>763</v>
      </c>
    </row>
    <row r="11" spans="1:11" s="1" customFormat="1" ht="33" customHeight="1" x14ac:dyDescent="0.25">
      <c r="A11" s="106" t="s">
        <v>7</v>
      </c>
      <c r="B11" s="106"/>
      <c r="C11" s="106"/>
      <c r="D11" s="106"/>
      <c r="E11" s="106"/>
      <c r="F11" s="106"/>
      <c r="G11" s="106"/>
      <c r="H11" s="106"/>
      <c r="I11" s="77">
        <f>SUM(I9:I10)</f>
        <v>800</v>
      </c>
      <c r="J11" s="77">
        <f>SUM(J9:J10)</f>
        <v>2</v>
      </c>
      <c r="K11" s="106" t="s">
        <v>651</v>
      </c>
    </row>
    <row r="12" spans="1:11" s="1" customFormat="1" ht="16.5" x14ac:dyDescent="0.25">
      <c r="A12" s="108" t="s">
        <v>19</v>
      </c>
      <c r="B12" s="108"/>
      <c r="C12" s="108"/>
      <c r="D12" s="108"/>
      <c r="E12" s="108"/>
      <c r="F12" s="108"/>
      <c r="G12" s="108"/>
      <c r="H12" s="108"/>
      <c r="I12" s="108">
        <f>I11</f>
        <v>800</v>
      </c>
      <c r="J12" s="106">
        <f>J11</f>
        <v>2</v>
      </c>
      <c r="K12" s="106"/>
    </row>
    <row r="13" spans="1:11" ht="15" customHeight="1" x14ac:dyDescent="0.25">
      <c r="A13" s="108"/>
      <c r="B13" s="108"/>
      <c r="C13" s="108"/>
      <c r="D13" s="108"/>
      <c r="E13" s="108"/>
      <c r="F13" s="108"/>
      <c r="G13" s="108"/>
      <c r="H13" s="108"/>
      <c r="I13" s="108"/>
      <c r="J13" s="106"/>
      <c r="K13" s="106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C9:D9"/>
    <mergeCell ref="E9:F9"/>
    <mergeCell ref="G9:H9"/>
    <mergeCell ref="A2:K2"/>
    <mergeCell ref="A3:K3"/>
    <mergeCell ref="C8:D8"/>
    <mergeCell ref="E8:F8"/>
    <mergeCell ref="G8:H8"/>
    <mergeCell ref="A19:K19"/>
    <mergeCell ref="A30:B30"/>
    <mergeCell ref="J31:K31"/>
    <mergeCell ref="C10:D10"/>
    <mergeCell ref="E10:F10"/>
    <mergeCell ref="G10:H10"/>
    <mergeCell ref="A11:H11"/>
    <mergeCell ref="K11:K13"/>
    <mergeCell ref="A12:H13"/>
    <mergeCell ref="I12:I13"/>
    <mergeCell ref="J12:J13"/>
    <mergeCell ref="A18:K18"/>
  </mergeCells>
  <phoneticPr fontId="21" type="noConversion"/>
  <hyperlinks>
    <hyperlink ref="D5" location="'Muc Luc'!A1" display="Mr Cường" xr:uid="{A2E8EE15-B10F-4E59-868F-F7F03C9617B4}"/>
  </hyperlinks>
  <pageMargins left="0.25" right="0.25" top="0.17" bottom="0.17" header="0.3" footer="0.2"/>
  <pageSetup paperSize="9" scale="79" fitToHeight="0"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242D-261A-4895-A92A-21A13280991F}">
  <sheetPr codeName="Sheet101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45961</v>
      </c>
    </row>
    <row r="6" spans="1:11" s="1" customFormat="1" ht="16.5" x14ac:dyDescent="0.25">
      <c r="A6" s="1" t="s">
        <v>78</v>
      </c>
      <c r="D6" s="1" t="s">
        <v>123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41" t="s">
        <v>782</v>
      </c>
      <c r="C9" s="103" t="s">
        <v>781</v>
      </c>
      <c r="D9" s="104"/>
      <c r="E9" s="105" t="s">
        <v>92</v>
      </c>
      <c r="F9" s="104"/>
      <c r="G9" s="103" t="s">
        <v>466</v>
      </c>
      <c r="H9" s="104"/>
      <c r="I9" s="45">
        <v>60</v>
      </c>
      <c r="J9" s="54">
        <v>1</v>
      </c>
      <c r="K9" s="31" t="s">
        <v>783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60</v>
      </c>
      <c r="J10" s="77">
        <f>SUM(J9:J9)</f>
        <v>1</v>
      </c>
      <c r="K10" s="106" t="s">
        <v>651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60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7:K17"/>
    <mergeCell ref="A18:K18"/>
    <mergeCell ref="A29:B29"/>
    <mergeCell ref="J30:K30"/>
    <mergeCell ref="A10:H10"/>
    <mergeCell ref="K10:K12"/>
    <mergeCell ref="A11:H12"/>
    <mergeCell ref="I11:I12"/>
    <mergeCell ref="J11:J12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F0F7F928-F760-4102-9EA1-8725D2226D5A}"/>
  </hyperlinks>
  <pageMargins left="0.25" right="0.25" top="0.17" bottom="0.17" header="0.3" footer="0.2"/>
  <pageSetup paperSize="9" scale="79" fitToHeight="0" orientation="portrait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2D9B8-ECE4-496B-97EA-56CC706CA2FD}">
  <sheetPr codeName="Sheet107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45978</v>
      </c>
    </row>
    <row r="6" spans="1:11" s="1" customFormat="1" ht="16.5" x14ac:dyDescent="0.25">
      <c r="A6" s="1" t="s">
        <v>78</v>
      </c>
      <c r="D6" s="1" t="s">
        <v>329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7" t="s">
        <v>732</v>
      </c>
      <c r="C9" s="103" t="s">
        <v>822</v>
      </c>
      <c r="D9" s="104"/>
      <c r="E9" s="105" t="s">
        <v>92</v>
      </c>
      <c r="F9" s="104"/>
      <c r="G9" s="103" t="s">
        <v>466</v>
      </c>
      <c r="H9" s="104"/>
      <c r="I9" s="45">
        <v>300</v>
      </c>
      <c r="J9" s="54">
        <v>1</v>
      </c>
      <c r="K9" s="31" t="s">
        <v>823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300</v>
      </c>
      <c r="J10" s="77">
        <f>SUM(J9:J9)</f>
        <v>1</v>
      </c>
      <c r="K10" s="106" t="s">
        <v>651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300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</mergeCells>
  <hyperlinks>
    <hyperlink ref="D5" location="'Muc Luc'!A1" display="Mr Cường" xr:uid="{A388FF9E-4476-4D29-810A-CFCF86785385}"/>
  </hyperlinks>
  <pageMargins left="0.25" right="0.25" top="0.17" bottom="0.17" header="0.3" footer="0.2"/>
  <pageSetup paperSize="9" scale="79" fitToHeight="0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BF7CF-609B-4CC4-AB52-B1FBCA0C7977}">
  <sheetPr codeName="Sheet100">
    <pageSetUpPr fitToPage="1"/>
  </sheetPr>
  <dimension ref="A1:K35"/>
  <sheetViews>
    <sheetView zoomScaleNormal="100" workbookViewId="0"/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45959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43" t="s">
        <v>767</v>
      </c>
      <c r="C9" s="103" t="s">
        <v>768</v>
      </c>
      <c r="D9" s="104"/>
      <c r="E9" s="105" t="s">
        <v>92</v>
      </c>
      <c r="F9" s="104"/>
      <c r="G9" s="103" t="s">
        <v>449</v>
      </c>
      <c r="H9" s="104"/>
      <c r="I9" s="45">
        <v>100</v>
      </c>
      <c r="J9" s="24">
        <v>1</v>
      </c>
      <c r="K9" s="31" t="s">
        <v>771</v>
      </c>
    </row>
    <row r="10" spans="1:11" s="1" customFormat="1" ht="30.75" customHeight="1" x14ac:dyDescent="0.25">
      <c r="A10" s="63" t="s">
        <v>3</v>
      </c>
      <c r="B10" s="43" t="s">
        <v>767</v>
      </c>
      <c r="C10" s="103" t="s">
        <v>769</v>
      </c>
      <c r="D10" s="104"/>
      <c r="E10" s="105" t="s">
        <v>92</v>
      </c>
      <c r="F10" s="104"/>
      <c r="G10" s="103" t="s">
        <v>449</v>
      </c>
      <c r="H10" s="104"/>
      <c r="I10" s="45">
        <v>100</v>
      </c>
      <c r="J10" s="24">
        <v>1</v>
      </c>
      <c r="K10" s="31" t="s">
        <v>772</v>
      </c>
    </row>
    <row r="11" spans="1:11" s="1" customFormat="1" ht="30.75" customHeight="1" x14ac:dyDescent="0.25">
      <c r="A11" s="63" t="s">
        <v>4</v>
      </c>
      <c r="B11" s="43" t="s">
        <v>767</v>
      </c>
      <c r="C11" s="103" t="s">
        <v>770</v>
      </c>
      <c r="D11" s="104"/>
      <c r="E11" s="105" t="s">
        <v>92</v>
      </c>
      <c r="F11" s="104"/>
      <c r="G11" s="103" t="s">
        <v>449</v>
      </c>
      <c r="H11" s="104"/>
      <c r="I11" s="45">
        <v>100</v>
      </c>
      <c r="J11" s="24">
        <v>1</v>
      </c>
      <c r="K11" s="31" t="s">
        <v>773</v>
      </c>
    </row>
    <row r="12" spans="1:11" s="1" customFormat="1" ht="30.75" customHeight="1" x14ac:dyDescent="0.25">
      <c r="A12" s="63" t="s">
        <v>5</v>
      </c>
      <c r="B12" s="27" t="s">
        <v>505</v>
      </c>
      <c r="C12" s="103" t="s">
        <v>774</v>
      </c>
      <c r="D12" s="104"/>
      <c r="E12" s="105" t="s">
        <v>92</v>
      </c>
      <c r="F12" s="104"/>
      <c r="G12" s="103" t="s">
        <v>466</v>
      </c>
      <c r="H12" s="104"/>
      <c r="I12" s="45">
        <v>100</v>
      </c>
      <c r="J12" s="24">
        <v>1</v>
      </c>
      <c r="K12" s="31" t="s">
        <v>776</v>
      </c>
    </row>
    <row r="13" spans="1:11" s="1" customFormat="1" ht="30.75" customHeight="1" x14ac:dyDescent="0.25">
      <c r="A13" s="63" t="s">
        <v>6</v>
      </c>
      <c r="B13" s="27" t="s">
        <v>505</v>
      </c>
      <c r="C13" s="103" t="s">
        <v>775</v>
      </c>
      <c r="D13" s="104"/>
      <c r="E13" s="105" t="s">
        <v>92</v>
      </c>
      <c r="F13" s="104"/>
      <c r="G13" s="103" t="s">
        <v>466</v>
      </c>
      <c r="H13" s="104"/>
      <c r="I13" s="45">
        <v>100</v>
      </c>
      <c r="J13" s="54">
        <v>1</v>
      </c>
      <c r="K13" s="31" t="s">
        <v>777</v>
      </c>
    </row>
    <row r="14" spans="1:11" s="1" customFormat="1" ht="30.75" customHeight="1" x14ac:dyDescent="0.25">
      <c r="A14" s="63" t="s">
        <v>12</v>
      </c>
      <c r="B14" s="43" t="s">
        <v>767</v>
      </c>
      <c r="C14" s="103" t="s">
        <v>778</v>
      </c>
      <c r="D14" s="104"/>
      <c r="E14" s="105" t="s">
        <v>301</v>
      </c>
      <c r="F14" s="104"/>
      <c r="G14" s="103" t="s">
        <v>94</v>
      </c>
      <c r="H14" s="104"/>
      <c r="I14" s="45">
        <v>150</v>
      </c>
      <c r="J14" s="54">
        <v>1</v>
      </c>
      <c r="K14" s="31" t="s">
        <v>779</v>
      </c>
    </row>
    <row r="15" spans="1:11" s="1" customFormat="1" ht="33" customHeight="1" x14ac:dyDescent="0.25">
      <c r="A15" s="106" t="s">
        <v>7</v>
      </c>
      <c r="B15" s="106"/>
      <c r="C15" s="106"/>
      <c r="D15" s="106"/>
      <c r="E15" s="106"/>
      <c r="F15" s="106"/>
      <c r="G15" s="106"/>
      <c r="H15" s="106"/>
      <c r="I15" s="77">
        <f>SUM(I9:I14)</f>
        <v>650</v>
      </c>
      <c r="J15" s="77">
        <f>SUM(J9:J14)</f>
        <v>6</v>
      </c>
      <c r="K15" s="106" t="s">
        <v>651</v>
      </c>
    </row>
    <row r="16" spans="1:11" s="1" customFormat="1" ht="16.5" x14ac:dyDescent="0.25">
      <c r="A16" s="108" t="s">
        <v>19</v>
      </c>
      <c r="B16" s="108"/>
      <c r="C16" s="108"/>
      <c r="D16" s="108"/>
      <c r="E16" s="108"/>
      <c r="F16" s="108"/>
      <c r="G16" s="108"/>
      <c r="H16" s="108"/>
      <c r="I16" s="108">
        <f>I15</f>
        <v>650</v>
      </c>
      <c r="J16" s="106">
        <f>J15</f>
        <v>6</v>
      </c>
      <c r="K16" s="106"/>
    </row>
    <row r="17" spans="1:11" ht="15" customHeight="1" x14ac:dyDescent="0.25">
      <c r="A17" s="108"/>
      <c r="B17" s="108"/>
      <c r="C17" s="108"/>
      <c r="D17" s="108"/>
      <c r="E17" s="108"/>
      <c r="F17" s="108"/>
      <c r="G17" s="108"/>
      <c r="H17" s="108"/>
      <c r="I17" s="108"/>
      <c r="J17" s="106"/>
      <c r="K17" s="106"/>
    </row>
    <row r="19" spans="1:11" x14ac:dyDescent="0.25">
      <c r="B19" s="10" t="s">
        <v>62</v>
      </c>
      <c r="H19" t="s">
        <v>23</v>
      </c>
    </row>
    <row r="20" spans="1:11" ht="101.25" customHeight="1" x14ac:dyDescent="0.25">
      <c r="B20" s="10"/>
    </row>
    <row r="21" spans="1:11" s="1" customFormat="1" ht="16.5" x14ac:dyDescent="0.25"/>
    <row r="22" spans="1:11" s="1" customFormat="1" ht="20.25" x14ac:dyDescent="0.3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</row>
    <row r="23" spans="1:11" s="1" customFormat="1" ht="20.25" x14ac:dyDescent="0.3">
      <c r="A23" s="99"/>
      <c r="B23" s="99"/>
      <c r="C23" s="99"/>
      <c r="D23" s="99"/>
      <c r="E23" s="99"/>
      <c r="F23" s="99"/>
      <c r="G23" s="99"/>
      <c r="H23" s="99"/>
      <c r="I23" s="99"/>
      <c r="J23" s="99"/>
      <c r="K23" s="99"/>
    </row>
    <row r="24" spans="1:11" s="1" customFormat="1" ht="20.2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</row>
    <row r="25" spans="1:11" s="1" customFormat="1" ht="16.5" x14ac:dyDescent="0.25"/>
    <row r="26" spans="1:11" s="1" customFormat="1" ht="16.5" x14ac:dyDescent="0.25"/>
    <row r="27" spans="1:11" s="1" customFormat="1" ht="19.5" customHeight="1" x14ac:dyDescent="0.25"/>
    <row r="28" spans="1:11" s="1" customFormat="1" ht="30.75" customHeight="1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21"/>
    </row>
    <row r="31" spans="1:11" s="1" customFormat="1" ht="35.25" customHeight="1" x14ac:dyDescent="0.25">
      <c r="A31" s="21"/>
    </row>
    <row r="32" spans="1:11" s="1" customFormat="1" ht="35.25" customHeight="1" x14ac:dyDescent="0.25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19"/>
    </row>
    <row r="33" spans="1:11" s="1" customFormat="1" ht="35.25" customHeight="1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</row>
    <row r="34" spans="1:11" s="1" customFormat="1" ht="16.5" x14ac:dyDescent="0.25">
      <c r="A34" s="100"/>
      <c r="B34" s="101"/>
      <c r="C34" s="11"/>
      <c r="D34" s="11"/>
      <c r="E34" s="11"/>
      <c r="F34" s="11"/>
      <c r="G34" s="11"/>
      <c r="H34" s="5"/>
      <c r="I34" s="5"/>
      <c r="J34" s="5"/>
      <c r="K34" s="5"/>
    </row>
    <row r="35" spans="1:11" s="1" customFormat="1" ht="16.5" x14ac:dyDescent="0.25">
      <c r="J35" s="102"/>
      <c r="K35" s="102"/>
    </row>
  </sheetData>
  <mergeCells count="32">
    <mergeCell ref="A22:K22"/>
    <mergeCell ref="A23:K23"/>
    <mergeCell ref="A34:B34"/>
    <mergeCell ref="J35:K35"/>
    <mergeCell ref="C11:D11"/>
    <mergeCell ref="C12:D12"/>
    <mergeCell ref="C13:D13"/>
    <mergeCell ref="C14:D14"/>
    <mergeCell ref="E11:F11"/>
    <mergeCell ref="E14:F14"/>
    <mergeCell ref="G11:H11"/>
    <mergeCell ref="G12:H12"/>
    <mergeCell ref="G13:H13"/>
    <mergeCell ref="G14:H14"/>
    <mergeCell ref="C10:D10"/>
    <mergeCell ref="E10:F10"/>
    <mergeCell ref="G10:H10"/>
    <mergeCell ref="A15:H15"/>
    <mergeCell ref="K15:K17"/>
    <mergeCell ref="A16:H17"/>
    <mergeCell ref="I16:I17"/>
    <mergeCell ref="J16:J17"/>
    <mergeCell ref="E12:F12"/>
    <mergeCell ref="E13:F13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AED78084-2397-403B-8178-E8E10FC2A015}"/>
  </hyperlinks>
  <pageMargins left="0.25" right="0.25" top="0.17" bottom="0.17" header="0.3" footer="0.2"/>
  <pageSetup paperSize="9" scale="79" fitToHeight="0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9C869-9359-46BF-BF2C-C3E2ABD71518}">
  <sheetPr codeName="Sheet102">
    <pageSetUpPr fitToPage="1"/>
  </sheetPr>
  <dimension ref="A1:K32"/>
  <sheetViews>
    <sheetView zoomScaleNormal="100" workbookViewId="0">
      <selection activeCell="K10" sqref="K10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45965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43" t="s">
        <v>785</v>
      </c>
      <c r="C9" s="103" t="s">
        <v>786</v>
      </c>
      <c r="D9" s="104"/>
      <c r="E9" s="105" t="s">
        <v>699</v>
      </c>
      <c r="F9" s="104"/>
      <c r="G9" s="103" t="s">
        <v>466</v>
      </c>
      <c r="H9" s="104"/>
      <c r="I9" s="45">
        <v>50</v>
      </c>
      <c r="J9" s="24">
        <v>1</v>
      </c>
      <c r="K9" s="31" t="s">
        <v>787</v>
      </c>
    </row>
    <row r="10" spans="1:11" s="1" customFormat="1" ht="30.75" customHeight="1" x14ac:dyDescent="0.25">
      <c r="A10" s="63" t="s">
        <v>3</v>
      </c>
      <c r="B10" s="42" t="s">
        <v>216</v>
      </c>
      <c r="C10" s="103" t="s">
        <v>788</v>
      </c>
      <c r="D10" s="104"/>
      <c r="E10" s="105" t="s">
        <v>214</v>
      </c>
      <c r="F10" s="104"/>
      <c r="G10" s="103" t="s">
        <v>513</v>
      </c>
      <c r="H10" s="104"/>
      <c r="I10" s="45">
        <v>70</v>
      </c>
      <c r="J10" s="24">
        <v>1</v>
      </c>
      <c r="K10" s="31" t="s">
        <v>789</v>
      </c>
    </row>
    <row r="11" spans="1:11" s="1" customFormat="1" ht="30.75" customHeight="1" x14ac:dyDescent="0.25">
      <c r="A11" s="63" t="s">
        <v>4</v>
      </c>
      <c r="B11" s="39" t="s">
        <v>709</v>
      </c>
      <c r="C11" s="103" t="s">
        <v>790</v>
      </c>
      <c r="D11" s="104"/>
      <c r="E11" s="105" t="s">
        <v>17</v>
      </c>
      <c r="F11" s="104"/>
      <c r="G11" s="103" t="s">
        <v>712</v>
      </c>
      <c r="H11" s="104"/>
      <c r="I11" s="45">
        <v>300</v>
      </c>
      <c r="J11" s="24">
        <v>1</v>
      </c>
      <c r="K11" s="31" t="s">
        <v>791</v>
      </c>
    </row>
    <row r="12" spans="1:11" s="1" customFormat="1" ht="33" customHeight="1" x14ac:dyDescent="0.25">
      <c r="A12" s="106" t="s">
        <v>7</v>
      </c>
      <c r="B12" s="106"/>
      <c r="C12" s="106"/>
      <c r="D12" s="106"/>
      <c r="E12" s="106"/>
      <c r="F12" s="106"/>
      <c r="G12" s="106"/>
      <c r="H12" s="106"/>
      <c r="I12" s="77">
        <f>SUM(I9:I11)</f>
        <v>420</v>
      </c>
      <c r="J12" s="77">
        <f>SUM(J9:J11)</f>
        <v>3</v>
      </c>
      <c r="K12" s="106" t="s">
        <v>651</v>
      </c>
    </row>
    <row r="13" spans="1:11" s="1" customFormat="1" ht="16.5" x14ac:dyDescent="0.25">
      <c r="A13" s="108" t="s">
        <v>19</v>
      </c>
      <c r="B13" s="108"/>
      <c r="C13" s="108"/>
      <c r="D13" s="108"/>
      <c r="E13" s="108"/>
      <c r="F13" s="108"/>
      <c r="G13" s="108"/>
      <c r="H13" s="108"/>
      <c r="I13" s="108">
        <f>I12</f>
        <v>420</v>
      </c>
      <c r="J13" s="106">
        <f>J12</f>
        <v>3</v>
      </c>
      <c r="K13" s="106"/>
    </row>
    <row r="14" spans="1:11" ht="15" customHeight="1" x14ac:dyDescent="0.25">
      <c r="A14" s="108"/>
      <c r="B14" s="108"/>
      <c r="C14" s="108"/>
      <c r="D14" s="108"/>
      <c r="E14" s="108"/>
      <c r="F14" s="108"/>
      <c r="G14" s="108"/>
      <c r="H14" s="108"/>
      <c r="I14" s="108"/>
      <c r="J14" s="106"/>
      <c r="K14" s="106"/>
    </row>
    <row r="16" spans="1:11" x14ac:dyDescent="0.25">
      <c r="B16" s="10" t="s">
        <v>62</v>
      </c>
      <c r="H16" t="s">
        <v>23</v>
      </c>
    </row>
    <row r="17" spans="1:11" ht="101.25" customHeight="1" x14ac:dyDescent="0.25">
      <c r="B17" s="10"/>
    </row>
    <row r="18" spans="1:11" s="1" customFormat="1" ht="16.5" x14ac:dyDescent="0.25"/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</row>
    <row r="22" spans="1:11" s="1" customFormat="1" ht="16.5" x14ac:dyDescent="0.25"/>
    <row r="23" spans="1:11" s="1" customFormat="1" ht="16.5" x14ac:dyDescent="0.25"/>
    <row r="24" spans="1:11" s="1" customFormat="1" ht="19.5" customHeight="1" x14ac:dyDescent="0.25"/>
    <row r="25" spans="1:11" s="1" customFormat="1" ht="30.75" customHeight="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18"/>
      <c r="B29" s="19"/>
      <c r="C29" s="19"/>
      <c r="D29" s="19"/>
      <c r="E29" s="19"/>
      <c r="F29" s="19"/>
      <c r="G29" s="19"/>
      <c r="H29" s="19"/>
      <c r="I29" s="19"/>
      <c r="J29" s="19"/>
      <c r="K29" s="19"/>
    </row>
    <row r="30" spans="1:11" s="1" customFormat="1" ht="35.25" customHeight="1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s="1" customFormat="1" ht="16.5" x14ac:dyDescent="0.25">
      <c r="A31" s="100"/>
      <c r="B31" s="101"/>
      <c r="C31" s="11"/>
      <c r="D31" s="11"/>
      <c r="E31" s="11"/>
      <c r="F31" s="11"/>
      <c r="G31" s="11"/>
      <c r="H31" s="5"/>
      <c r="I31" s="5"/>
      <c r="J31" s="5"/>
      <c r="K31" s="5"/>
    </row>
    <row r="32" spans="1:11" s="1" customFormat="1" ht="16.5" x14ac:dyDescent="0.25">
      <c r="J32" s="102"/>
      <c r="K32" s="102"/>
    </row>
  </sheetData>
  <mergeCells count="23">
    <mergeCell ref="C9:D9"/>
    <mergeCell ref="E9:F9"/>
    <mergeCell ref="G9:H9"/>
    <mergeCell ref="A2:K2"/>
    <mergeCell ref="A3:K3"/>
    <mergeCell ref="C8:D8"/>
    <mergeCell ref="E8:F8"/>
    <mergeCell ref="G8:H8"/>
    <mergeCell ref="C10:D10"/>
    <mergeCell ref="E10:F10"/>
    <mergeCell ref="G10:H10"/>
    <mergeCell ref="C11:D11"/>
    <mergeCell ref="E11:F11"/>
    <mergeCell ref="G11:H11"/>
    <mergeCell ref="A19:K19"/>
    <mergeCell ref="A20:K20"/>
    <mergeCell ref="A31:B31"/>
    <mergeCell ref="J32:K32"/>
    <mergeCell ref="A12:H12"/>
    <mergeCell ref="K12:K14"/>
    <mergeCell ref="A13:H14"/>
    <mergeCell ref="I13:I14"/>
    <mergeCell ref="J13:J14"/>
  </mergeCells>
  <hyperlinks>
    <hyperlink ref="D5" location="'Muc Luc'!A1" display="Mr Cường" xr:uid="{E55D4FE4-29E7-4F63-B9F7-FF2545FEB07F}"/>
  </hyperlinks>
  <pageMargins left="0.25" right="0.25" top="0.17" bottom="0.17" header="0.3" footer="0.2"/>
  <pageSetup paperSize="9" scale="77" fitToHeight="0" orientation="portrait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C99A0-64D5-4B65-836B-7E52D36A713A}">
  <sheetPr codeName="Sheet118">
    <pageSetUpPr fitToPage="1"/>
  </sheetPr>
  <dimension ref="A1:K31"/>
  <sheetViews>
    <sheetView zoomScaleNormal="100" workbookViewId="0">
      <selection activeCell="J15" sqref="J1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 t="s">
        <v>2</v>
      </c>
      <c r="B9" s="43" t="s">
        <v>883</v>
      </c>
      <c r="C9" s="103" t="s">
        <v>884</v>
      </c>
      <c r="D9" s="104"/>
      <c r="E9" s="105" t="s">
        <v>92</v>
      </c>
      <c r="F9" s="104"/>
      <c r="G9" s="103" t="s">
        <v>493</v>
      </c>
      <c r="H9" s="104"/>
      <c r="I9" s="45">
        <v>100</v>
      </c>
      <c r="J9" s="24">
        <v>1</v>
      </c>
      <c r="K9" s="31" t="s">
        <v>885</v>
      </c>
    </row>
    <row r="10" spans="1:11" s="1" customFormat="1" ht="30.75" customHeight="1" x14ac:dyDescent="0.25">
      <c r="A10" s="63" t="s">
        <v>3</v>
      </c>
      <c r="B10" s="42" t="s">
        <v>216</v>
      </c>
      <c r="C10" s="103" t="s">
        <v>882</v>
      </c>
      <c r="D10" s="104"/>
      <c r="E10" s="105" t="s">
        <v>214</v>
      </c>
      <c r="F10" s="104"/>
      <c r="G10" s="103" t="s">
        <v>513</v>
      </c>
      <c r="H10" s="104"/>
      <c r="I10" s="45">
        <v>70</v>
      </c>
      <c r="J10" s="24">
        <v>1</v>
      </c>
      <c r="K10" s="31" t="s">
        <v>789</v>
      </c>
    </row>
    <row r="11" spans="1:11" s="1" customFormat="1" ht="33" customHeight="1" x14ac:dyDescent="0.25">
      <c r="A11" s="106" t="s">
        <v>7</v>
      </c>
      <c r="B11" s="106"/>
      <c r="C11" s="106"/>
      <c r="D11" s="106"/>
      <c r="E11" s="106"/>
      <c r="F11" s="106"/>
      <c r="G11" s="106"/>
      <c r="H11" s="106"/>
      <c r="I11" s="77">
        <f>SUM(I9:I10)</f>
        <v>170</v>
      </c>
      <c r="J11" s="77">
        <f>SUM(J9:J10)</f>
        <v>2</v>
      </c>
      <c r="K11" s="106" t="s">
        <v>651</v>
      </c>
    </row>
    <row r="12" spans="1:11" s="1" customFormat="1" ht="16.5" x14ac:dyDescent="0.25">
      <c r="A12" s="108" t="s">
        <v>19</v>
      </c>
      <c r="B12" s="108"/>
      <c r="C12" s="108"/>
      <c r="D12" s="108"/>
      <c r="E12" s="108"/>
      <c r="F12" s="108"/>
      <c r="G12" s="108"/>
      <c r="H12" s="108"/>
      <c r="I12" s="108">
        <f>I11</f>
        <v>170</v>
      </c>
      <c r="J12" s="106">
        <f>J11</f>
        <v>2</v>
      </c>
      <c r="K12" s="106"/>
    </row>
    <row r="13" spans="1:11" ht="15" customHeight="1" x14ac:dyDescent="0.25">
      <c r="A13" s="108"/>
      <c r="B13" s="108"/>
      <c r="C13" s="108"/>
      <c r="D13" s="108"/>
      <c r="E13" s="108"/>
      <c r="F13" s="108"/>
      <c r="G13" s="108"/>
      <c r="H13" s="108"/>
      <c r="I13" s="108"/>
      <c r="J13" s="106"/>
      <c r="K13" s="106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A19:K19"/>
    <mergeCell ref="A30:B30"/>
    <mergeCell ref="J31:K31"/>
    <mergeCell ref="A11:H11"/>
    <mergeCell ref="K11:K13"/>
    <mergeCell ref="A12:H13"/>
    <mergeCell ref="I12:I13"/>
    <mergeCell ref="J12:J13"/>
    <mergeCell ref="A18:K18"/>
    <mergeCell ref="C10:D10"/>
    <mergeCell ref="E10:F10"/>
    <mergeCell ref="G10:H10"/>
    <mergeCell ref="A2:K2"/>
    <mergeCell ref="A3:K3"/>
    <mergeCell ref="C8:D8"/>
    <mergeCell ref="E8:F8"/>
    <mergeCell ref="G8:H8"/>
    <mergeCell ref="C9:D9"/>
    <mergeCell ref="E9:F9"/>
    <mergeCell ref="G9:H9"/>
  </mergeCells>
  <hyperlinks>
    <hyperlink ref="D5" location="'Muc Luc'!A1" display="Mr Cường" xr:uid="{54B6FEBC-EA01-41AA-A93D-490B13E090E0}"/>
  </hyperlinks>
  <pageMargins left="0.25" right="0.25" top="0.17" bottom="0.17" header="0.3" footer="0.2"/>
  <pageSetup paperSize="9" scale="77" fitToHeight="0" orientation="portrait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0E0C1-33CF-4BF7-ABD4-5425A7EB2121}">
  <sheetPr codeName="Sheet103">
    <pageSetUpPr fitToPage="1"/>
  </sheetPr>
  <dimension ref="A1:K31"/>
  <sheetViews>
    <sheetView zoomScaleNormal="100" workbookViewId="0">
      <selection activeCell="L13" sqref="L13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45966</v>
      </c>
    </row>
    <row r="6" spans="1:11" s="1" customFormat="1" ht="16.5" x14ac:dyDescent="0.25">
      <c r="A6" s="1" t="s">
        <v>78</v>
      </c>
      <c r="D6" s="1" t="s">
        <v>123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40" t="s">
        <v>793</v>
      </c>
      <c r="C9" s="103" t="s">
        <v>792</v>
      </c>
      <c r="D9" s="104"/>
      <c r="E9" s="105" t="s">
        <v>794</v>
      </c>
      <c r="F9" s="104"/>
      <c r="G9" s="103" t="s">
        <v>795</v>
      </c>
      <c r="H9" s="104"/>
      <c r="I9" s="45">
        <v>200</v>
      </c>
      <c r="J9" s="24">
        <v>1</v>
      </c>
      <c r="K9" s="31" t="s">
        <v>796</v>
      </c>
    </row>
    <row r="10" spans="1:11" s="1" customFormat="1" ht="30.75" customHeight="1" x14ac:dyDescent="0.25">
      <c r="A10" s="63">
        <v>2</v>
      </c>
      <c r="B10" s="40" t="s">
        <v>793</v>
      </c>
      <c r="C10" s="103" t="s">
        <v>792</v>
      </c>
      <c r="D10" s="104"/>
      <c r="E10" s="105" t="s">
        <v>794</v>
      </c>
      <c r="F10" s="104"/>
      <c r="G10" s="103" t="s">
        <v>266</v>
      </c>
      <c r="H10" s="104"/>
      <c r="I10" s="45">
        <v>200</v>
      </c>
      <c r="J10" s="24">
        <v>1</v>
      </c>
      <c r="K10" s="31" t="s">
        <v>906</v>
      </c>
    </row>
    <row r="11" spans="1:11" s="1" customFormat="1" ht="33" customHeight="1" x14ac:dyDescent="0.25">
      <c r="A11" s="106" t="s">
        <v>7</v>
      </c>
      <c r="B11" s="106"/>
      <c r="C11" s="106"/>
      <c r="D11" s="106"/>
      <c r="E11" s="106"/>
      <c r="F11" s="106"/>
      <c r="G11" s="106"/>
      <c r="H11" s="106"/>
      <c r="I11" s="77">
        <f>SUM(I9:I10)</f>
        <v>400</v>
      </c>
      <c r="J11" s="77">
        <f>SUM(J9:J10)</f>
        <v>2</v>
      </c>
      <c r="K11" s="106" t="s">
        <v>651</v>
      </c>
    </row>
    <row r="12" spans="1:11" s="1" customFormat="1" ht="16.5" x14ac:dyDescent="0.25">
      <c r="A12" s="108" t="s">
        <v>19</v>
      </c>
      <c r="B12" s="108"/>
      <c r="C12" s="108"/>
      <c r="D12" s="108"/>
      <c r="E12" s="108"/>
      <c r="F12" s="108"/>
      <c r="G12" s="108"/>
      <c r="H12" s="108"/>
      <c r="I12" s="108">
        <f>I11</f>
        <v>400</v>
      </c>
      <c r="J12" s="106">
        <f>J11</f>
        <v>2</v>
      </c>
      <c r="K12" s="106"/>
    </row>
    <row r="13" spans="1:11" ht="15" customHeight="1" x14ac:dyDescent="0.25">
      <c r="A13" s="108"/>
      <c r="B13" s="108"/>
      <c r="C13" s="108"/>
      <c r="D13" s="108"/>
      <c r="E13" s="108"/>
      <c r="F13" s="108"/>
      <c r="G13" s="108"/>
      <c r="H13" s="108"/>
      <c r="I13" s="108"/>
      <c r="J13" s="106"/>
      <c r="K13" s="106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A19:K19"/>
    <mergeCell ref="A30:B30"/>
    <mergeCell ref="J31:K31"/>
    <mergeCell ref="A11:H11"/>
    <mergeCell ref="K11:K13"/>
    <mergeCell ref="A12:H13"/>
    <mergeCell ref="I12:I13"/>
    <mergeCell ref="J12:J13"/>
    <mergeCell ref="A18:K18"/>
    <mergeCell ref="C10:D10"/>
    <mergeCell ref="E10:F10"/>
    <mergeCell ref="G10:H10"/>
    <mergeCell ref="A2:K2"/>
    <mergeCell ref="A3:K3"/>
    <mergeCell ref="C8:D8"/>
    <mergeCell ref="E8:F8"/>
    <mergeCell ref="G8:H8"/>
    <mergeCell ref="C9:D9"/>
    <mergeCell ref="E9:F9"/>
    <mergeCell ref="G9:H9"/>
  </mergeCells>
  <hyperlinks>
    <hyperlink ref="D5" location="'Muc Luc'!A1" display="Mr Cường" xr:uid="{D3BC58EE-3523-42FF-ACF7-80AD2C4894BE}"/>
  </hyperlinks>
  <pageMargins left="0.25" right="0.25" top="0.17" bottom="0.17" header="0.3" footer="0.2"/>
  <pageSetup paperSize="9" scale="77" fitToHeight="0" orientation="portrait"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1F093-B442-4DCA-A0DC-566DCEA8F45F}">
  <sheetPr codeName="Sheet112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45983</v>
      </c>
    </row>
    <row r="6" spans="1:11" s="1" customFormat="1" ht="16.5" x14ac:dyDescent="0.25">
      <c r="A6" s="1" t="s">
        <v>78</v>
      </c>
      <c r="D6" s="1" t="s">
        <v>178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39" t="s">
        <v>757</v>
      </c>
      <c r="C9" s="103" t="s">
        <v>864</v>
      </c>
      <c r="D9" s="104"/>
      <c r="E9" s="105" t="s">
        <v>92</v>
      </c>
      <c r="F9" s="104"/>
      <c r="G9" s="103" t="s">
        <v>128</v>
      </c>
      <c r="H9" s="104"/>
      <c r="I9" s="45">
        <v>550</v>
      </c>
      <c r="J9" s="24">
        <v>1</v>
      </c>
      <c r="K9" s="31" t="s">
        <v>865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550</v>
      </c>
      <c r="J10" s="77">
        <f>SUM(J9:J9)</f>
        <v>1</v>
      </c>
      <c r="K10" s="106" t="s">
        <v>651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550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7:K17"/>
    <mergeCell ref="A18:K18"/>
    <mergeCell ref="A29:B29"/>
    <mergeCell ref="J30:K30"/>
    <mergeCell ref="A10:H10"/>
    <mergeCell ref="K10:K12"/>
    <mergeCell ref="A11:H12"/>
    <mergeCell ref="I11:I12"/>
    <mergeCell ref="J11:J12"/>
  </mergeCells>
  <hyperlinks>
    <hyperlink ref="D5" location="'Muc Luc'!A1" display="Mr Cường" xr:uid="{A791531B-E53E-4811-8EE1-95D2C348BB81}"/>
  </hyperlinks>
  <pageMargins left="0.25" right="0.25" top="0.17" bottom="0.17" header="0.3" footer="0.2"/>
  <pageSetup paperSize="9" scale="77" fitToHeight="0" orientation="portrait"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00520-ADBE-4896-8C4F-3E364A326B77}">
  <sheetPr codeName="Sheet113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79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39" t="s">
        <v>757</v>
      </c>
      <c r="C9" s="103" t="s">
        <v>864</v>
      </c>
      <c r="D9" s="104"/>
      <c r="E9" s="105" t="s">
        <v>92</v>
      </c>
      <c r="F9" s="104"/>
      <c r="G9" s="103" t="s">
        <v>128</v>
      </c>
      <c r="H9" s="104"/>
      <c r="I9" s="45">
        <v>550</v>
      </c>
      <c r="J9" s="24">
        <v>1</v>
      </c>
      <c r="K9" s="31" t="s">
        <v>865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550</v>
      </c>
      <c r="J10" s="77">
        <f>SUM(J9:J9)</f>
        <v>1</v>
      </c>
      <c r="K10" s="106" t="s">
        <v>651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550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23EE54AF-4BA9-46D0-BF77-CEDD218A66EB}"/>
  </hyperlinks>
  <pageMargins left="0.25" right="0.25" top="0.17" bottom="0.17" header="0.3" footer="0.2"/>
  <pageSetup paperSize="9" scale="77" fitToHeight="0" orientation="portrait"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CFA8B-EBD1-4279-827F-4CC4562D8D80}">
  <sheetPr codeName="Sheet114">
    <pageSetUpPr fitToPage="1"/>
  </sheetPr>
  <dimension ref="A1:K30"/>
  <sheetViews>
    <sheetView zoomScaleNormal="100" workbookViewId="0">
      <selection activeCell="H14" sqref="H14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97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39" t="s">
        <v>757</v>
      </c>
      <c r="C9" s="103" t="s">
        <v>864</v>
      </c>
      <c r="D9" s="104"/>
      <c r="E9" s="105" t="s">
        <v>92</v>
      </c>
      <c r="F9" s="104"/>
      <c r="G9" s="103" t="s">
        <v>128</v>
      </c>
      <c r="H9" s="104"/>
      <c r="I9" s="45">
        <v>550</v>
      </c>
      <c r="J9" s="24">
        <v>1</v>
      </c>
      <c r="K9" s="31" t="s">
        <v>865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550</v>
      </c>
      <c r="J10" s="77">
        <f>SUM(J9:J9)</f>
        <v>1</v>
      </c>
      <c r="K10" s="106" t="s">
        <v>651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550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B2F4DEEC-D287-4CC4-9D64-FA305CF1D701}"/>
  </hyperlinks>
  <pageMargins left="0.25" right="0.25" top="0.17" bottom="0.17" header="0.3" footer="0.2"/>
  <pageSetup paperSize="9" scale="77" fitToHeight="0" orientation="portrait"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3313A-B740-40ED-855B-5DD9349A8106}">
  <sheetPr codeName="Sheet116">
    <pageSetUpPr fitToPage="1"/>
  </sheetPr>
  <dimension ref="A1:K30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45972</v>
      </c>
    </row>
    <row r="6" spans="1:11" s="1" customFormat="1" ht="16.5" x14ac:dyDescent="0.25">
      <c r="A6" s="1" t="s">
        <v>78</v>
      </c>
      <c r="D6" s="1" t="s">
        <v>178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39" t="s">
        <v>873</v>
      </c>
      <c r="C9" s="103" t="s">
        <v>874</v>
      </c>
      <c r="D9" s="104"/>
      <c r="E9" s="105" t="s">
        <v>17</v>
      </c>
      <c r="F9" s="104"/>
      <c r="G9" s="103" t="s">
        <v>128</v>
      </c>
      <c r="H9" s="104"/>
      <c r="I9" s="45">
        <v>500</v>
      </c>
      <c r="J9" s="24">
        <v>1</v>
      </c>
      <c r="K9" s="31" t="s">
        <v>875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500</v>
      </c>
      <c r="J10" s="77">
        <f>SUM(J9:J9)</f>
        <v>1</v>
      </c>
      <c r="K10" s="106" t="s">
        <v>651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500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E361D1D3-F77A-4F84-960F-A305E1C8467E}"/>
  </hyperlinks>
  <pageMargins left="0.25" right="0.25" top="0.17" bottom="0.17" header="0.3" footer="0.2"/>
  <pageSetup paperSize="9" scale="77" fitToHeight="0" orientation="portrait"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6AE01-6F77-4D2D-A34F-653E74E4B258}">
  <sheetPr codeName="Sheet108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45978</v>
      </c>
    </row>
    <row r="6" spans="1:11" s="1" customFormat="1" ht="16.5" x14ac:dyDescent="0.25">
      <c r="A6" s="1" t="s">
        <v>78</v>
      </c>
      <c r="D6" s="1" t="s">
        <v>79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39" t="s">
        <v>289</v>
      </c>
      <c r="C9" s="103" t="s">
        <v>824</v>
      </c>
      <c r="D9" s="104"/>
      <c r="E9" s="105" t="s">
        <v>506</v>
      </c>
      <c r="F9" s="104"/>
      <c r="G9" s="103" t="s">
        <v>466</v>
      </c>
      <c r="H9" s="104"/>
      <c r="I9" s="45">
        <v>500</v>
      </c>
      <c r="J9" s="24">
        <v>1</v>
      </c>
      <c r="K9" s="31" t="s">
        <v>825</v>
      </c>
    </row>
    <row r="10" spans="1:11" s="1" customFormat="1" ht="30.75" customHeight="1" x14ac:dyDescent="0.25">
      <c r="A10" s="63">
        <v>2</v>
      </c>
      <c r="B10" s="30" t="s">
        <v>827</v>
      </c>
      <c r="C10" s="103" t="s">
        <v>828</v>
      </c>
      <c r="D10" s="104"/>
      <c r="E10" s="105" t="s">
        <v>92</v>
      </c>
      <c r="F10" s="104"/>
      <c r="G10" s="103" t="s">
        <v>128</v>
      </c>
      <c r="H10" s="104"/>
      <c r="I10" s="45">
        <v>100</v>
      </c>
      <c r="J10" s="24">
        <v>1</v>
      </c>
      <c r="K10" s="31" t="s">
        <v>826</v>
      </c>
    </row>
    <row r="11" spans="1:11" s="1" customFormat="1" ht="33" customHeight="1" x14ac:dyDescent="0.25">
      <c r="A11" s="106" t="s">
        <v>7</v>
      </c>
      <c r="B11" s="106"/>
      <c r="C11" s="106"/>
      <c r="D11" s="106"/>
      <c r="E11" s="106"/>
      <c r="F11" s="106"/>
      <c r="G11" s="106"/>
      <c r="H11" s="106"/>
      <c r="I11" s="77">
        <f>SUM(I9:I10)</f>
        <v>600</v>
      </c>
      <c r="J11" s="77">
        <f>SUM(J9:J10)</f>
        <v>2</v>
      </c>
      <c r="K11" s="106" t="s">
        <v>651</v>
      </c>
    </row>
    <row r="12" spans="1:11" s="1" customFormat="1" ht="16.5" x14ac:dyDescent="0.25">
      <c r="A12" s="108" t="s">
        <v>19</v>
      </c>
      <c r="B12" s="108"/>
      <c r="C12" s="108"/>
      <c r="D12" s="108"/>
      <c r="E12" s="108"/>
      <c r="F12" s="108"/>
      <c r="G12" s="108"/>
      <c r="H12" s="108"/>
      <c r="I12" s="108">
        <f>I11</f>
        <v>600</v>
      </c>
      <c r="J12" s="106">
        <f>J11</f>
        <v>2</v>
      </c>
      <c r="K12" s="106"/>
    </row>
    <row r="13" spans="1:11" ht="15" customHeight="1" x14ac:dyDescent="0.25">
      <c r="A13" s="108"/>
      <c r="B13" s="108"/>
      <c r="C13" s="108"/>
      <c r="D13" s="108"/>
      <c r="E13" s="108"/>
      <c r="F13" s="108"/>
      <c r="G13" s="108"/>
      <c r="H13" s="108"/>
      <c r="I13" s="108"/>
      <c r="J13" s="106"/>
      <c r="K13" s="106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19:K19"/>
    <mergeCell ref="A30:B30"/>
    <mergeCell ref="J31:K31"/>
    <mergeCell ref="C10:D10"/>
    <mergeCell ref="E10:F10"/>
    <mergeCell ref="G10:H10"/>
    <mergeCell ref="A11:H11"/>
    <mergeCell ref="K11:K13"/>
    <mergeCell ref="A12:H13"/>
    <mergeCell ref="I12:I13"/>
    <mergeCell ref="J12:J13"/>
  </mergeCells>
  <hyperlinks>
    <hyperlink ref="D5" location="'Muc Luc'!A1" display="Mr Cường" xr:uid="{587F6683-BDB4-499F-A027-FBF29A78610C}"/>
  </hyperlinks>
  <pageMargins left="0.25" right="0.25" top="0.17" bottom="0.17" header="0.3" footer="0.2"/>
  <pageSetup paperSize="9" scale="77" fitToHeight="0" orientation="portrait"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8EB3B-F848-4980-97D3-7FE91D624FB2}">
  <sheetPr codeName="Sheet104">
    <pageSetUpPr fitToPage="1"/>
  </sheetPr>
  <dimension ref="A1:K32"/>
  <sheetViews>
    <sheetView zoomScaleNormal="100" workbookViewId="0"/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45974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30" t="s">
        <v>468</v>
      </c>
      <c r="C9" s="103" t="s">
        <v>797</v>
      </c>
      <c r="D9" s="104"/>
      <c r="E9" s="105" t="s">
        <v>301</v>
      </c>
      <c r="F9" s="104"/>
      <c r="G9" s="103" t="s">
        <v>798</v>
      </c>
      <c r="H9" s="104"/>
      <c r="I9" s="45">
        <v>400</v>
      </c>
      <c r="J9" s="24">
        <v>1</v>
      </c>
      <c r="K9" s="31" t="s">
        <v>799</v>
      </c>
    </row>
    <row r="10" spans="1:11" s="1" customFormat="1" ht="30.75" customHeight="1" x14ac:dyDescent="0.25">
      <c r="A10" s="63">
        <v>2</v>
      </c>
      <c r="B10" s="30" t="s">
        <v>800</v>
      </c>
      <c r="C10" s="103" t="s">
        <v>797</v>
      </c>
      <c r="D10" s="104"/>
      <c r="E10" s="105" t="s">
        <v>301</v>
      </c>
      <c r="F10" s="104"/>
      <c r="G10" s="103" t="s">
        <v>801</v>
      </c>
      <c r="H10" s="104"/>
      <c r="I10" s="45">
        <v>400</v>
      </c>
      <c r="J10" s="24">
        <v>1</v>
      </c>
      <c r="K10" s="31" t="s">
        <v>802</v>
      </c>
    </row>
    <row r="11" spans="1:11" s="1" customFormat="1" ht="30.75" customHeight="1" x14ac:dyDescent="0.25">
      <c r="A11" s="63">
        <v>3</v>
      </c>
      <c r="B11" s="94" t="s">
        <v>803</v>
      </c>
      <c r="C11" s="103" t="s">
        <v>804</v>
      </c>
      <c r="D11" s="104"/>
      <c r="E11" s="105" t="s">
        <v>17</v>
      </c>
      <c r="F11" s="104"/>
      <c r="G11" s="103" t="s">
        <v>231</v>
      </c>
      <c r="H11" s="104"/>
      <c r="I11" s="45">
        <v>50</v>
      </c>
      <c r="J11" s="24">
        <v>1</v>
      </c>
      <c r="K11" s="31" t="s">
        <v>805</v>
      </c>
    </row>
    <row r="12" spans="1:11" s="1" customFormat="1" ht="33" customHeight="1" x14ac:dyDescent="0.25">
      <c r="A12" s="106" t="s">
        <v>7</v>
      </c>
      <c r="B12" s="106"/>
      <c r="C12" s="106"/>
      <c r="D12" s="106"/>
      <c r="E12" s="106"/>
      <c r="F12" s="106"/>
      <c r="G12" s="106"/>
      <c r="H12" s="106"/>
      <c r="I12" s="77">
        <f>SUM(I9:I11)</f>
        <v>850</v>
      </c>
      <c r="J12" s="77">
        <f>SUM(J9:J11)</f>
        <v>3</v>
      </c>
      <c r="K12" s="106" t="s">
        <v>651</v>
      </c>
    </row>
    <row r="13" spans="1:11" s="1" customFormat="1" ht="16.5" x14ac:dyDescent="0.25">
      <c r="A13" s="108" t="s">
        <v>19</v>
      </c>
      <c r="B13" s="108"/>
      <c r="C13" s="108"/>
      <c r="D13" s="108"/>
      <c r="E13" s="108"/>
      <c r="F13" s="108"/>
      <c r="G13" s="108"/>
      <c r="H13" s="108"/>
      <c r="I13" s="108">
        <f>I12</f>
        <v>850</v>
      </c>
      <c r="J13" s="106">
        <f>J12</f>
        <v>3</v>
      </c>
      <c r="K13" s="106"/>
    </row>
    <row r="14" spans="1:11" ht="15" customHeight="1" x14ac:dyDescent="0.25">
      <c r="A14" s="108"/>
      <c r="B14" s="108"/>
      <c r="C14" s="108"/>
      <c r="D14" s="108"/>
      <c r="E14" s="108"/>
      <c r="F14" s="108"/>
      <c r="G14" s="108"/>
      <c r="H14" s="108"/>
      <c r="I14" s="108"/>
      <c r="J14" s="106"/>
      <c r="K14" s="106"/>
    </row>
    <row r="16" spans="1:11" x14ac:dyDescent="0.25">
      <c r="B16" s="10" t="s">
        <v>62</v>
      </c>
      <c r="H16" t="s">
        <v>23</v>
      </c>
    </row>
    <row r="17" spans="1:11" ht="101.25" customHeight="1" x14ac:dyDescent="0.25">
      <c r="B17" s="10"/>
    </row>
    <row r="18" spans="1:11" s="1" customFormat="1" ht="16.5" x14ac:dyDescent="0.25"/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</row>
    <row r="22" spans="1:11" s="1" customFormat="1" ht="16.5" x14ac:dyDescent="0.25"/>
    <row r="23" spans="1:11" s="1" customFormat="1" ht="16.5" x14ac:dyDescent="0.25"/>
    <row r="24" spans="1:11" s="1" customFormat="1" ht="19.5" customHeight="1" x14ac:dyDescent="0.25"/>
    <row r="25" spans="1:11" s="1" customFormat="1" ht="30.75" customHeight="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18"/>
      <c r="B29" s="19"/>
      <c r="C29" s="19"/>
      <c r="D29" s="19"/>
      <c r="E29" s="19"/>
      <c r="F29" s="19"/>
      <c r="G29" s="19"/>
      <c r="H29" s="19"/>
      <c r="I29" s="19"/>
      <c r="J29" s="19"/>
      <c r="K29" s="19"/>
    </row>
    <row r="30" spans="1:11" s="1" customFormat="1" ht="35.25" customHeight="1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s="1" customFormat="1" ht="16.5" x14ac:dyDescent="0.25">
      <c r="A31" s="100"/>
      <c r="B31" s="101"/>
      <c r="C31" s="11"/>
      <c r="D31" s="11"/>
      <c r="E31" s="11"/>
      <c r="F31" s="11"/>
      <c r="G31" s="11"/>
      <c r="H31" s="5"/>
      <c r="I31" s="5"/>
      <c r="J31" s="5"/>
      <c r="K31" s="5"/>
    </row>
    <row r="32" spans="1:11" s="1" customFormat="1" ht="16.5" x14ac:dyDescent="0.25">
      <c r="J32" s="102"/>
      <c r="K32" s="102"/>
    </row>
  </sheetData>
  <mergeCells count="23">
    <mergeCell ref="C9:D9"/>
    <mergeCell ref="E9:F9"/>
    <mergeCell ref="G9:H9"/>
    <mergeCell ref="A2:K2"/>
    <mergeCell ref="A3:K3"/>
    <mergeCell ref="C8:D8"/>
    <mergeCell ref="E8:F8"/>
    <mergeCell ref="G8:H8"/>
    <mergeCell ref="C10:D10"/>
    <mergeCell ref="E10:F10"/>
    <mergeCell ref="G10:H10"/>
    <mergeCell ref="A12:H12"/>
    <mergeCell ref="K12:K14"/>
    <mergeCell ref="A13:H14"/>
    <mergeCell ref="I13:I14"/>
    <mergeCell ref="J13:J14"/>
    <mergeCell ref="A19:K19"/>
    <mergeCell ref="A20:K20"/>
    <mergeCell ref="A31:B31"/>
    <mergeCell ref="J32:K32"/>
    <mergeCell ref="C11:D11"/>
    <mergeCell ref="E11:F11"/>
    <mergeCell ref="G11:H11"/>
  </mergeCells>
  <phoneticPr fontId="21" type="noConversion"/>
  <hyperlinks>
    <hyperlink ref="D5" location="'Muc Luc'!A1" display="Mr Cường" xr:uid="{F4DFD894-BFF4-41F0-9F0B-B00B57226268}"/>
  </hyperlinks>
  <pageMargins left="0.25" right="0.25" top="0.17" bottom="0.17" header="0.3" footer="0.2"/>
  <pageSetup paperSize="9" scale="77" fitToHeight="0" orientation="portrait"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36529-6564-438E-A349-374D9021A26D}">
  <sheetPr codeName="Sheet117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45968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30" t="s">
        <v>90</v>
      </c>
      <c r="C9" s="103" t="s">
        <v>877</v>
      </c>
      <c r="D9" s="104"/>
      <c r="E9" s="105" t="s">
        <v>92</v>
      </c>
      <c r="F9" s="104"/>
      <c r="G9" s="103" t="s">
        <v>795</v>
      </c>
      <c r="H9" s="104"/>
      <c r="I9" s="45">
        <v>400</v>
      </c>
      <c r="J9" s="24">
        <v>1</v>
      </c>
      <c r="K9" s="31" t="s">
        <v>878</v>
      </c>
    </row>
    <row r="10" spans="1:11" s="1" customFormat="1" ht="30.75" customHeight="1" x14ac:dyDescent="0.25">
      <c r="A10" s="63">
        <v>2</v>
      </c>
      <c r="B10" s="30" t="s">
        <v>273</v>
      </c>
      <c r="C10" s="103" t="s">
        <v>880</v>
      </c>
      <c r="D10" s="104"/>
      <c r="E10" s="105" t="s">
        <v>92</v>
      </c>
      <c r="F10" s="104"/>
      <c r="G10" s="103" t="s">
        <v>795</v>
      </c>
      <c r="H10" s="104"/>
      <c r="I10" s="45">
        <v>400</v>
      </c>
      <c r="J10" s="24">
        <v>1</v>
      </c>
      <c r="K10" s="31" t="s">
        <v>879</v>
      </c>
    </row>
    <row r="11" spans="1:11" s="1" customFormat="1" ht="33" customHeight="1" x14ac:dyDescent="0.25">
      <c r="A11" s="106" t="s">
        <v>7</v>
      </c>
      <c r="B11" s="106"/>
      <c r="C11" s="106"/>
      <c r="D11" s="106"/>
      <c r="E11" s="106"/>
      <c r="F11" s="106"/>
      <c r="G11" s="106"/>
      <c r="H11" s="106"/>
      <c r="I11" s="77">
        <f>SUM(I9:I10)</f>
        <v>800</v>
      </c>
      <c r="J11" s="77">
        <f>SUM(J9:J10)</f>
        <v>2</v>
      </c>
      <c r="K11" s="106" t="s">
        <v>651</v>
      </c>
    </row>
    <row r="12" spans="1:11" s="1" customFormat="1" ht="16.5" x14ac:dyDescent="0.25">
      <c r="A12" s="108" t="s">
        <v>19</v>
      </c>
      <c r="B12" s="108"/>
      <c r="C12" s="108"/>
      <c r="D12" s="108"/>
      <c r="E12" s="108"/>
      <c r="F12" s="108"/>
      <c r="G12" s="108"/>
      <c r="H12" s="108"/>
      <c r="I12" s="108">
        <f>I11</f>
        <v>800</v>
      </c>
      <c r="J12" s="106">
        <f>J11</f>
        <v>2</v>
      </c>
      <c r="K12" s="106"/>
    </row>
    <row r="13" spans="1:11" ht="15" customHeight="1" x14ac:dyDescent="0.25">
      <c r="A13" s="108"/>
      <c r="B13" s="108"/>
      <c r="C13" s="108"/>
      <c r="D13" s="108"/>
      <c r="E13" s="108"/>
      <c r="F13" s="108"/>
      <c r="G13" s="108"/>
      <c r="H13" s="108"/>
      <c r="I13" s="108"/>
      <c r="J13" s="106"/>
      <c r="K13" s="106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A19:K19"/>
    <mergeCell ref="A30:B30"/>
    <mergeCell ref="J31:K31"/>
    <mergeCell ref="A11:H11"/>
    <mergeCell ref="K11:K13"/>
    <mergeCell ref="A12:H13"/>
    <mergeCell ref="I12:I13"/>
    <mergeCell ref="J12:J13"/>
    <mergeCell ref="A18:K18"/>
    <mergeCell ref="C10:D10"/>
    <mergeCell ref="E10:F10"/>
    <mergeCell ref="G10:H10"/>
    <mergeCell ref="A2:K2"/>
    <mergeCell ref="A3:K3"/>
    <mergeCell ref="C8:D8"/>
    <mergeCell ref="E8:F8"/>
    <mergeCell ref="G8:H8"/>
    <mergeCell ref="C9:D9"/>
    <mergeCell ref="E9:F9"/>
    <mergeCell ref="G9:H9"/>
  </mergeCells>
  <hyperlinks>
    <hyperlink ref="D5" location="'Muc Luc'!A1" display="Mr Cường" xr:uid="{DF2515FC-9B5E-4C4F-B06C-1D61F320F27E}"/>
  </hyperlinks>
  <pageMargins left="0.25" right="0.25" top="0.17" bottom="0.17" header="0.3" footer="0.2"/>
  <pageSetup paperSize="9" scale="77" fitToHeight="0" orientation="portrait"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3CC9E-7848-4C71-903B-8C1A2E0E52B9}">
  <sheetPr codeName="Sheet115">
    <pageSetUpPr fitToPage="1"/>
  </sheetPr>
  <dimension ref="A1:K33"/>
  <sheetViews>
    <sheetView zoomScaleNormal="100" workbookViewId="0">
      <selection activeCell="I13" sqref="I13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30" t="s">
        <v>468</v>
      </c>
      <c r="C9" s="103" t="s">
        <v>797</v>
      </c>
      <c r="D9" s="104"/>
      <c r="E9" s="105" t="s">
        <v>301</v>
      </c>
      <c r="F9" s="104"/>
      <c r="G9" s="103" t="s">
        <v>798</v>
      </c>
      <c r="H9" s="104"/>
      <c r="I9" s="45">
        <v>400</v>
      </c>
      <c r="J9" s="24">
        <v>1</v>
      </c>
      <c r="K9" s="31" t="s">
        <v>799</v>
      </c>
    </row>
    <row r="10" spans="1:11" s="1" customFormat="1" ht="30.75" customHeight="1" x14ac:dyDescent="0.25">
      <c r="A10" s="63">
        <v>2</v>
      </c>
      <c r="B10" s="30" t="s">
        <v>800</v>
      </c>
      <c r="C10" s="103" t="s">
        <v>797</v>
      </c>
      <c r="D10" s="104"/>
      <c r="E10" s="105" t="s">
        <v>301</v>
      </c>
      <c r="F10" s="124"/>
      <c r="G10" s="103" t="s">
        <v>801</v>
      </c>
      <c r="H10" s="104"/>
      <c r="I10" s="45">
        <v>400</v>
      </c>
      <c r="J10" s="24">
        <v>1</v>
      </c>
      <c r="K10" s="31" t="s">
        <v>802</v>
      </c>
    </row>
    <row r="11" spans="1:11" s="1" customFormat="1" ht="30.75" customHeight="1" x14ac:dyDescent="0.25">
      <c r="A11" s="63">
        <v>3</v>
      </c>
      <c r="B11" s="94" t="s">
        <v>803</v>
      </c>
      <c r="C11" s="103" t="s">
        <v>804</v>
      </c>
      <c r="D11" s="104"/>
      <c r="E11" s="105" t="s">
        <v>17</v>
      </c>
      <c r="F11" s="104"/>
      <c r="G11" s="103" t="s">
        <v>231</v>
      </c>
      <c r="H11" s="104"/>
      <c r="I11" s="45">
        <v>50</v>
      </c>
      <c r="J11" s="24">
        <v>1</v>
      </c>
      <c r="K11" s="31" t="s">
        <v>805</v>
      </c>
    </row>
    <row r="12" spans="1:11" s="1" customFormat="1" ht="30.75" customHeight="1" x14ac:dyDescent="0.25">
      <c r="A12" s="63">
        <v>4</v>
      </c>
      <c r="B12" s="94" t="s">
        <v>869</v>
      </c>
      <c r="C12" s="103" t="s">
        <v>870</v>
      </c>
      <c r="D12" s="104"/>
      <c r="E12" s="105" t="s">
        <v>17</v>
      </c>
      <c r="F12" s="104"/>
      <c r="G12" s="103" t="s">
        <v>231</v>
      </c>
      <c r="H12" s="104"/>
      <c r="I12" s="45"/>
      <c r="J12" s="24"/>
      <c r="K12" s="31"/>
    </row>
    <row r="13" spans="1:11" s="1" customFormat="1" ht="33" customHeight="1" x14ac:dyDescent="0.25">
      <c r="A13" s="106" t="s">
        <v>7</v>
      </c>
      <c r="B13" s="106"/>
      <c r="C13" s="106"/>
      <c r="D13" s="106"/>
      <c r="E13" s="106"/>
      <c r="F13" s="106"/>
      <c r="G13" s="106"/>
      <c r="H13" s="106"/>
      <c r="I13" s="77">
        <f>SUM(I9:I12)</f>
        <v>850</v>
      </c>
      <c r="J13" s="77">
        <f>SUM(J9:J12)</f>
        <v>3</v>
      </c>
      <c r="K13" s="106" t="s">
        <v>651</v>
      </c>
    </row>
    <row r="14" spans="1:11" s="1" customFormat="1" ht="16.5" x14ac:dyDescent="0.25">
      <c r="A14" s="108" t="s">
        <v>19</v>
      </c>
      <c r="B14" s="108"/>
      <c r="C14" s="108"/>
      <c r="D14" s="108"/>
      <c r="E14" s="108"/>
      <c r="F14" s="108"/>
      <c r="G14" s="108"/>
      <c r="H14" s="108"/>
      <c r="I14" s="108">
        <f>I13</f>
        <v>850</v>
      </c>
      <c r="J14" s="106">
        <f>J13</f>
        <v>3</v>
      </c>
      <c r="K14" s="106"/>
    </row>
    <row r="15" spans="1:11" ht="15" customHeight="1" x14ac:dyDescent="0.25">
      <c r="A15" s="108"/>
      <c r="B15" s="108"/>
      <c r="C15" s="108"/>
      <c r="D15" s="108"/>
      <c r="E15" s="108"/>
      <c r="F15" s="108"/>
      <c r="G15" s="108"/>
      <c r="H15" s="108"/>
      <c r="I15" s="108"/>
      <c r="J15" s="106"/>
      <c r="K15" s="106"/>
    </row>
    <row r="17" spans="1:11" x14ac:dyDescent="0.25">
      <c r="B17" s="10" t="s">
        <v>62</v>
      </c>
      <c r="H17" t="s">
        <v>23</v>
      </c>
    </row>
    <row r="18" spans="1:11" ht="101.25" customHeight="1" x14ac:dyDescent="0.25">
      <c r="B18" s="10"/>
    </row>
    <row r="19" spans="1:11" s="1" customFormat="1" ht="16.5" x14ac:dyDescent="0.25"/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1:11" s="1" customFormat="1" ht="20.2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</row>
    <row r="23" spans="1:11" s="1" customFormat="1" ht="16.5" x14ac:dyDescent="0.25"/>
    <row r="24" spans="1:11" s="1" customFormat="1" ht="16.5" x14ac:dyDescent="0.25"/>
    <row r="25" spans="1:11" s="1" customFormat="1" ht="19.5" customHeight="1" x14ac:dyDescent="0.25"/>
    <row r="26" spans="1:11" s="1" customFormat="1" ht="30.75" customHeight="1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1" s="1" customFormat="1" ht="35.25" customHeight="1" x14ac:dyDescent="0.2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1" s="1" customFormat="1" ht="16.5" x14ac:dyDescent="0.25">
      <c r="A32" s="100"/>
      <c r="B32" s="101"/>
      <c r="C32" s="11"/>
      <c r="D32" s="11"/>
      <c r="E32" s="11"/>
      <c r="F32" s="11"/>
      <c r="G32" s="11"/>
      <c r="H32" s="5"/>
      <c r="I32" s="5"/>
      <c r="J32" s="5"/>
      <c r="K32" s="5"/>
    </row>
    <row r="33" spans="10:11" s="1" customFormat="1" ht="16.5" x14ac:dyDescent="0.25">
      <c r="J33" s="102"/>
      <c r="K33" s="102"/>
    </row>
  </sheetData>
  <mergeCells count="26">
    <mergeCell ref="A21:K21"/>
    <mergeCell ref="A32:B32"/>
    <mergeCell ref="J33:K33"/>
    <mergeCell ref="C12:D12"/>
    <mergeCell ref="E12:F12"/>
    <mergeCell ref="G12:H12"/>
    <mergeCell ref="A13:H13"/>
    <mergeCell ref="K13:K15"/>
    <mergeCell ref="A14:H15"/>
    <mergeCell ref="I14:I15"/>
    <mergeCell ref="J14:J15"/>
    <mergeCell ref="A20:K20"/>
    <mergeCell ref="C10:D10"/>
    <mergeCell ref="E10:F10"/>
    <mergeCell ref="G10:H10"/>
    <mergeCell ref="C11:D11"/>
    <mergeCell ref="E11:F11"/>
    <mergeCell ref="G11:H11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7CA4A3FF-BD49-4B3F-925D-9A12057A5464}"/>
  </hyperlinks>
  <pageMargins left="0.25" right="0.25" top="0.17" bottom="0.17" header="0.3" footer="0.2"/>
  <pageSetup paperSize="9" scale="77" fitToHeight="0" orientation="portrait"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C0FCA-A7DC-46BF-918C-CC41795BD73D}">
  <sheetPr codeName="Sheet121">
    <pageSetUpPr fitToPage="1"/>
  </sheetPr>
  <dimension ref="A1:K33"/>
  <sheetViews>
    <sheetView zoomScaleNormal="100" workbookViewId="0">
      <selection activeCell="K12" sqref="K12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29" t="s">
        <v>364</v>
      </c>
      <c r="C9" s="103" t="s">
        <v>907</v>
      </c>
      <c r="D9" s="104"/>
      <c r="E9" s="105" t="s">
        <v>92</v>
      </c>
      <c r="F9" s="104"/>
      <c r="G9" s="103" t="s">
        <v>798</v>
      </c>
      <c r="H9" s="104"/>
      <c r="I9" s="45">
        <v>100</v>
      </c>
      <c r="J9" s="24">
        <v>1</v>
      </c>
      <c r="K9" s="31" t="s">
        <v>908</v>
      </c>
    </row>
    <row r="10" spans="1:11" s="1" customFormat="1" ht="30.75" customHeight="1" x14ac:dyDescent="0.25">
      <c r="A10" s="63">
        <v>2</v>
      </c>
      <c r="B10" s="14" t="s">
        <v>303</v>
      </c>
      <c r="C10" s="103" t="s">
        <v>909</v>
      </c>
      <c r="D10" s="104"/>
      <c r="E10" s="105" t="s">
        <v>92</v>
      </c>
      <c r="F10" s="104"/>
      <c r="G10" s="103" t="s">
        <v>453</v>
      </c>
      <c r="H10" s="104"/>
      <c r="I10" s="45">
        <v>100</v>
      </c>
      <c r="J10" s="24">
        <v>1</v>
      </c>
      <c r="K10" s="31" t="s">
        <v>910</v>
      </c>
    </row>
    <row r="11" spans="1:11" s="1" customFormat="1" ht="30.75" customHeight="1" x14ac:dyDescent="0.25">
      <c r="A11" s="63">
        <v>3</v>
      </c>
      <c r="B11" s="40" t="s">
        <v>911</v>
      </c>
      <c r="C11" s="103" t="s">
        <v>912</v>
      </c>
      <c r="D11" s="104"/>
      <c r="E11" s="105" t="s">
        <v>92</v>
      </c>
      <c r="F11" s="104"/>
      <c r="G11" s="103" t="s">
        <v>466</v>
      </c>
      <c r="H11" s="104"/>
      <c r="I11" s="45">
        <v>100</v>
      </c>
      <c r="J11" s="24">
        <v>1</v>
      </c>
      <c r="K11" s="31" t="s">
        <v>913</v>
      </c>
    </row>
    <row r="12" spans="1:11" s="1" customFormat="1" ht="30.75" customHeight="1" x14ac:dyDescent="0.25">
      <c r="A12" s="63">
        <v>4</v>
      </c>
      <c r="B12" s="7" t="s">
        <v>914</v>
      </c>
      <c r="C12" s="103" t="s">
        <v>915</v>
      </c>
      <c r="D12" s="104"/>
      <c r="E12" s="105" t="s">
        <v>92</v>
      </c>
      <c r="F12" s="104"/>
      <c r="G12" s="103" t="s">
        <v>469</v>
      </c>
      <c r="H12" s="104"/>
      <c r="I12" s="45">
        <v>400</v>
      </c>
      <c r="J12" s="24">
        <v>1</v>
      </c>
      <c r="K12" s="31" t="s">
        <v>916</v>
      </c>
    </row>
    <row r="13" spans="1:11" s="1" customFormat="1" ht="33" customHeight="1" x14ac:dyDescent="0.25">
      <c r="A13" s="106" t="s">
        <v>7</v>
      </c>
      <c r="B13" s="106"/>
      <c r="C13" s="106"/>
      <c r="D13" s="106"/>
      <c r="E13" s="106"/>
      <c r="F13" s="106"/>
      <c r="G13" s="106"/>
      <c r="H13" s="106"/>
      <c r="I13" s="77">
        <f>SUM(I9:I12)</f>
        <v>700</v>
      </c>
      <c r="J13" s="77">
        <f>SUM(J9:J12)</f>
        <v>4</v>
      </c>
      <c r="K13" s="106" t="s">
        <v>651</v>
      </c>
    </row>
    <row r="14" spans="1:11" s="1" customFormat="1" ht="16.5" x14ac:dyDescent="0.25">
      <c r="A14" s="108" t="s">
        <v>19</v>
      </c>
      <c r="B14" s="108"/>
      <c r="C14" s="108"/>
      <c r="D14" s="108"/>
      <c r="E14" s="108"/>
      <c r="F14" s="108"/>
      <c r="G14" s="108"/>
      <c r="H14" s="108"/>
      <c r="I14" s="108">
        <f>I13</f>
        <v>700</v>
      </c>
      <c r="J14" s="106">
        <f>J13</f>
        <v>4</v>
      </c>
      <c r="K14" s="106"/>
    </row>
    <row r="15" spans="1:11" ht="15" customHeight="1" x14ac:dyDescent="0.25">
      <c r="A15" s="108"/>
      <c r="B15" s="108"/>
      <c r="C15" s="108"/>
      <c r="D15" s="108"/>
      <c r="E15" s="108"/>
      <c r="F15" s="108"/>
      <c r="G15" s="108"/>
      <c r="H15" s="108"/>
      <c r="I15" s="108"/>
      <c r="J15" s="106"/>
      <c r="K15" s="106"/>
    </row>
    <row r="17" spans="1:11" x14ac:dyDescent="0.25">
      <c r="B17" s="10" t="s">
        <v>62</v>
      </c>
      <c r="H17" t="s">
        <v>23</v>
      </c>
    </row>
    <row r="18" spans="1:11" ht="101.25" customHeight="1" x14ac:dyDescent="0.25">
      <c r="B18" s="10"/>
    </row>
    <row r="19" spans="1:11" s="1" customFormat="1" ht="16.5" x14ac:dyDescent="0.25"/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1:11" s="1" customFormat="1" ht="20.2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</row>
    <row r="23" spans="1:11" s="1" customFormat="1" ht="16.5" x14ac:dyDescent="0.25"/>
    <row r="24" spans="1:11" s="1" customFormat="1" ht="16.5" x14ac:dyDescent="0.25"/>
    <row r="25" spans="1:11" s="1" customFormat="1" ht="19.5" customHeight="1" x14ac:dyDescent="0.25"/>
    <row r="26" spans="1:11" s="1" customFormat="1" ht="30.75" customHeight="1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1" s="1" customFormat="1" ht="35.25" customHeight="1" x14ac:dyDescent="0.2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1" s="1" customFormat="1" ht="16.5" x14ac:dyDescent="0.25">
      <c r="A32" s="100"/>
      <c r="B32" s="101"/>
      <c r="C32" s="11"/>
      <c r="D32" s="11"/>
      <c r="E32" s="11"/>
      <c r="F32" s="11"/>
      <c r="G32" s="11"/>
      <c r="H32" s="5"/>
      <c r="I32" s="5"/>
      <c r="J32" s="5"/>
      <c r="K32" s="5"/>
    </row>
    <row r="33" spans="10:11" s="1" customFormat="1" ht="16.5" x14ac:dyDescent="0.25">
      <c r="J33" s="102"/>
      <c r="K33" s="102"/>
    </row>
  </sheetData>
  <mergeCells count="26">
    <mergeCell ref="C9:D9"/>
    <mergeCell ref="E9:F9"/>
    <mergeCell ref="G9:H9"/>
    <mergeCell ref="A2:K2"/>
    <mergeCell ref="A3:K3"/>
    <mergeCell ref="C8:D8"/>
    <mergeCell ref="E8:F8"/>
    <mergeCell ref="G8:H8"/>
    <mergeCell ref="C10:D10"/>
    <mergeCell ref="E10:F10"/>
    <mergeCell ref="G10:H10"/>
    <mergeCell ref="C11:D11"/>
    <mergeCell ref="E11:F11"/>
    <mergeCell ref="G11:H11"/>
    <mergeCell ref="A20:K20"/>
    <mergeCell ref="A21:K21"/>
    <mergeCell ref="A32:B32"/>
    <mergeCell ref="J33:K33"/>
    <mergeCell ref="C12:D12"/>
    <mergeCell ref="E12:F12"/>
    <mergeCell ref="G12:H12"/>
    <mergeCell ref="A13:H13"/>
    <mergeCell ref="K13:K15"/>
    <mergeCell ref="A14:H15"/>
    <mergeCell ref="I14:I15"/>
    <mergeCell ref="J14:J15"/>
  </mergeCells>
  <hyperlinks>
    <hyperlink ref="D5" location="'Muc Luc'!A1" display="Mr Cường" xr:uid="{C17C6536-73D1-42AF-B65E-C19D3F2E3169}"/>
  </hyperlinks>
  <pageMargins left="0.25" right="0.25" top="0.17" bottom="0.17" header="0.3" footer="0.2"/>
  <pageSetup paperSize="9" scale="77" fitToHeight="0" orientation="portrait"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B7747-23CD-41AE-B4E5-E4C69513A5DC}">
  <sheetPr codeName="Sheet119">
    <pageSetUpPr fitToPage="1"/>
  </sheetPr>
  <dimension ref="A1:K34"/>
  <sheetViews>
    <sheetView zoomScaleNormal="100" workbookViewId="0">
      <selection activeCell="O14" sqref="O14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123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40" t="s">
        <v>516</v>
      </c>
      <c r="C9" s="103" t="s">
        <v>886</v>
      </c>
      <c r="D9" s="104"/>
      <c r="E9" s="105" t="s">
        <v>92</v>
      </c>
      <c r="F9" s="104"/>
      <c r="G9" s="103" t="s">
        <v>453</v>
      </c>
      <c r="H9" s="104"/>
      <c r="I9" s="45">
        <v>400</v>
      </c>
      <c r="J9" s="24">
        <v>1</v>
      </c>
      <c r="K9" s="31" t="s">
        <v>888</v>
      </c>
    </row>
    <row r="10" spans="1:11" s="1" customFormat="1" ht="30.75" customHeight="1" x14ac:dyDescent="0.25">
      <c r="A10" s="63">
        <v>2</v>
      </c>
      <c r="B10" s="40" t="s">
        <v>516</v>
      </c>
      <c r="C10" s="103" t="s">
        <v>887</v>
      </c>
      <c r="D10" s="104"/>
      <c r="E10" s="105" t="s">
        <v>92</v>
      </c>
      <c r="F10" s="104"/>
      <c r="G10" s="103" t="s">
        <v>453</v>
      </c>
      <c r="H10" s="104"/>
      <c r="I10" s="45">
        <v>300</v>
      </c>
      <c r="J10" s="24">
        <v>1</v>
      </c>
      <c r="K10" s="31" t="s">
        <v>889</v>
      </c>
    </row>
    <row r="11" spans="1:11" s="1" customFormat="1" ht="30.75" customHeight="1" x14ac:dyDescent="0.25">
      <c r="A11" s="63">
        <v>3</v>
      </c>
      <c r="B11" s="39" t="s">
        <v>656</v>
      </c>
      <c r="C11" s="103" t="s">
        <v>890</v>
      </c>
      <c r="D11" s="104"/>
      <c r="E11" s="105" t="s">
        <v>92</v>
      </c>
      <c r="F11" s="104"/>
      <c r="G11" s="103" t="s">
        <v>466</v>
      </c>
      <c r="H11" s="104"/>
      <c r="I11" s="45">
        <v>50</v>
      </c>
      <c r="J11" s="24">
        <v>1</v>
      </c>
      <c r="K11" s="31" t="s">
        <v>892</v>
      </c>
    </row>
    <row r="12" spans="1:11" s="1" customFormat="1" ht="30.75" customHeight="1" x14ac:dyDescent="0.25">
      <c r="A12" s="63">
        <v>4</v>
      </c>
      <c r="B12" s="39" t="s">
        <v>656</v>
      </c>
      <c r="C12" s="103" t="s">
        <v>891</v>
      </c>
      <c r="D12" s="104"/>
      <c r="E12" s="105" t="s">
        <v>92</v>
      </c>
      <c r="F12" s="104"/>
      <c r="G12" s="103" t="s">
        <v>466</v>
      </c>
      <c r="H12" s="104"/>
      <c r="I12" s="45">
        <v>400</v>
      </c>
      <c r="J12" s="24">
        <v>1</v>
      </c>
      <c r="K12" s="31" t="s">
        <v>893</v>
      </c>
    </row>
    <row r="13" spans="1:11" s="1" customFormat="1" ht="30.75" customHeight="1" x14ac:dyDescent="0.25">
      <c r="A13" s="63">
        <v>5</v>
      </c>
      <c r="B13" s="41" t="s">
        <v>782</v>
      </c>
      <c r="C13" s="103" t="s">
        <v>894</v>
      </c>
      <c r="D13" s="104"/>
      <c r="E13" s="105" t="s">
        <v>92</v>
      </c>
      <c r="F13" s="104"/>
      <c r="G13" s="103" t="s">
        <v>466</v>
      </c>
      <c r="H13" s="104"/>
      <c r="I13" s="45">
        <v>50</v>
      </c>
      <c r="J13" s="24">
        <v>1</v>
      </c>
      <c r="K13" s="31" t="s">
        <v>895</v>
      </c>
    </row>
    <row r="14" spans="1:11" s="1" customFormat="1" ht="33" customHeight="1" x14ac:dyDescent="0.25">
      <c r="A14" s="106" t="s">
        <v>7</v>
      </c>
      <c r="B14" s="106"/>
      <c r="C14" s="106"/>
      <c r="D14" s="106"/>
      <c r="E14" s="106"/>
      <c r="F14" s="106"/>
      <c r="G14" s="106"/>
      <c r="H14" s="106"/>
      <c r="I14" s="77">
        <f>SUM(I9:I13)</f>
        <v>1200</v>
      </c>
      <c r="J14" s="77">
        <f>SUM(J9:J13)</f>
        <v>5</v>
      </c>
      <c r="K14" s="106" t="s">
        <v>651</v>
      </c>
    </row>
    <row r="15" spans="1:11" s="1" customFormat="1" ht="16.5" x14ac:dyDescent="0.25">
      <c r="A15" s="108" t="s">
        <v>19</v>
      </c>
      <c r="B15" s="108"/>
      <c r="C15" s="108"/>
      <c r="D15" s="108"/>
      <c r="E15" s="108"/>
      <c r="F15" s="108"/>
      <c r="G15" s="108"/>
      <c r="H15" s="108"/>
      <c r="I15" s="108">
        <f>I14</f>
        <v>1200</v>
      </c>
      <c r="J15" s="106">
        <f>J14</f>
        <v>5</v>
      </c>
      <c r="K15" s="106"/>
    </row>
    <row r="16" spans="1:11" ht="15" customHeight="1" x14ac:dyDescent="0.25">
      <c r="A16" s="108"/>
      <c r="B16" s="108"/>
      <c r="C16" s="108"/>
      <c r="D16" s="108"/>
      <c r="E16" s="108"/>
      <c r="F16" s="108"/>
      <c r="G16" s="108"/>
      <c r="H16" s="108"/>
      <c r="I16" s="108"/>
      <c r="J16" s="106"/>
      <c r="K16" s="106"/>
    </row>
    <row r="18" spans="1:11" x14ac:dyDescent="0.25">
      <c r="B18" s="10" t="s">
        <v>62</v>
      </c>
      <c r="H18" t="s">
        <v>23</v>
      </c>
    </row>
    <row r="19" spans="1:11" ht="101.25" customHeight="1" x14ac:dyDescent="0.25">
      <c r="B19" s="10"/>
    </row>
    <row r="20" spans="1:11" s="1" customFormat="1" ht="16.5" x14ac:dyDescent="0.25"/>
    <row r="21" spans="1:11" s="1" customFormat="1" ht="20.25" x14ac:dyDescent="0.3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1:11" s="1" customFormat="1" ht="20.25" x14ac:dyDescent="0.3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</row>
    <row r="23" spans="1:11" s="1" customFormat="1" ht="20.2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</row>
    <row r="24" spans="1:11" s="1" customFormat="1" ht="16.5" x14ac:dyDescent="0.25"/>
    <row r="25" spans="1:11" s="1" customFormat="1" ht="16.5" x14ac:dyDescent="0.25"/>
    <row r="26" spans="1:11" s="1" customFormat="1" ht="19.5" customHeight="1" x14ac:dyDescent="0.25"/>
    <row r="27" spans="1:11" s="1" customFormat="1" ht="30.75" customHeight="1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21"/>
    </row>
    <row r="31" spans="1:11" s="1" customFormat="1" ht="35.25" customHeight="1" x14ac:dyDescent="0.25">
      <c r="A31" s="18"/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1" s="1" customFormat="1" ht="35.25" customHeight="1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</row>
    <row r="33" spans="1:11" s="1" customFormat="1" ht="16.5" x14ac:dyDescent="0.25">
      <c r="A33" s="100"/>
      <c r="B33" s="101"/>
      <c r="C33" s="11"/>
      <c r="D33" s="11"/>
      <c r="E33" s="11"/>
      <c r="F33" s="11"/>
      <c r="G33" s="11"/>
      <c r="H33" s="5"/>
      <c r="I33" s="5"/>
      <c r="J33" s="5"/>
      <c r="K33" s="5"/>
    </row>
    <row r="34" spans="1:11" s="1" customFormat="1" ht="16.5" x14ac:dyDescent="0.25">
      <c r="J34" s="102"/>
      <c r="K34" s="102"/>
    </row>
  </sheetData>
  <mergeCells count="29">
    <mergeCell ref="C9:D9"/>
    <mergeCell ref="E9:F9"/>
    <mergeCell ref="G9:H9"/>
    <mergeCell ref="A2:K2"/>
    <mergeCell ref="A3:K3"/>
    <mergeCell ref="C8:D8"/>
    <mergeCell ref="E8:F8"/>
    <mergeCell ref="G8:H8"/>
    <mergeCell ref="C10:D10"/>
    <mergeCell ref="E10:F10"/>
    <mergeCell ref="G10:H10"/>
    <mergeCell ref="C11:D11"/>
    <mergeCell ref="E11:F11"/>
    <mergeCell ref="G11:H11"/>
    <mergeCell ref="C12:D12"/>
    <mergeCell ref="E12:F12"/>
    <mergeCell ref="G12:H12"/>
    <mergeCell ref="A14:H14"/>
    <mergeCell ref="K14:K16"/>
    <mergeCell ref="A15:H16"/>
    <mergeCell ref="I15:I16"/>
    <mergeCell ref="J15:J16"/>
    <mergeCell ref="A21:K21"/>
    <mergeCell ref="A22:K22"/>
    <mergeCell ref="A33:B33"/>
    <mergeCell ref="J34:K34"/>
    <mergeCell ref="C13:D13"/>
    <mergeCell ref="E13:F13"/>
    <mergeCell ref="G13:H13"/>
  </mergeCells>
  <phoneticPr fontId="21" type="noConversion"/>
  <hyperlinks>
    <hyperlink ref="D5" location="'Muc Luc'!A1" display="Mr Cường" xr:uid="{099CCA60-E2B3-4390-BEC9-D1004629C205}"/>
  </hyperlinks>
  <pageMargins left="0.25" right="0.25" top="0.17" bottom="0.17" header="0.3" footer="0.2"/>
  <pageSetup paperSize="9" scale="77" fitToHeight="0" orientation="portrait"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34DBD-EE89-4CE7-AD0C-5361AA68E881}">
  <sheetPr codeName="Sheet120">
    <pageSetUpPr fitToPage="1"/>
  </sheetPr>
  <dimension ref="A1:K34"/>
  <sheetViews>
    <sheetView zoomScaleNormal="100" workbookViewId="0">
      <selection activeCell="G13" sqref="G13:H13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154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41" t="s">
        <v>194</v>
      </c>
      <c r="C9" s="103" t="s">
        <v>896</v>
      </c>
      <c r="D9" s="104"/>
      <c r="E9" s="105" t="s">
        <v>92</v>
      </c>
      <c r="F9" s="104"/>
      <c r="G9" s="103" t="s">
        <v>466</v>
      </c>
      <c r="H9" s="104"/>
      <c r="I9" s="45">
        <v>200</v>
      </c>
      <c r="J9" s="24">
        <v>1</v>
      </c>
      <c r="K9" s="96" t="s">
        <v>899</v>
      </c>
    </row>
    <row r="10" spans="1:11" s="1" customFormat="1" ht="30.75" customHeight="1" x14ac:dyDescent="0.25">
      <c r="A10" s="63">
        <v>2</v>
      </c>
      <c r="B10" s="41" t="s">
        <v>194</v>
      </c>
      <c r="C10" s="103" t="s">
        <v>897</v>
      </c>
      <c r="D10" s="104"/>
      <c r="E10" s="105" t="s">
        <v>92</v>
      </c>
      <c r="F10" s="104"/>
      <c r="G10" s="103" t="s">
        <v>466</v>
      </c>
      <c r="H10" s="104"/>
      <c r="I10" s="45">
        <v>200</v>
      </c>
      <c r="J10" s="24">
        <v>1</v>
      </c>
      <c r="K10" s="96" t="s">
        <v>900</v>
      </c>
    </row>
    <row r="11" spans="1:11" s="1" customFormat="1" ht="30.75" customHeight="1" x14ac:dyDescent="0.25">
      <c r="A11" s="63">
        <v>3</v>
      </c>
      <c r="B11" s="41" t="s">
        <v>194</v>
      </c>
      <c r="C11" s="103" t="s">
        <v>898</v>
      </c>
      <c r="D11" s="104"/>
      <c r="E11" s="105" t="s">
        <v>92</v>
      </c>
      <c r="F11" s="104"/>
      <c r="G11" s="103" t="s">
        <v>466</v>
      </c>
      <c r="H11" s="104"/>
      <c r="I11" s="45">
        <v>300</v>
      </c>
      <c r="J11" s="24">
        <v>1</v>
      </c>
      <c r="K11" s="96" t="s">
        <v>901</v>
      </c>
    </row>
    <row r="12" spans="1:11" s="1" customFormat="1" ht="30.75" customHeight="1" x14ac:dyDescent="0.25">
      <c r="A12" s="63">
        <v>4</v>
      </c>
      <c r="B12" s="41" t="s">
        <v>525</v>
      </c>
      <c r="C12" s="103" t="s">
        <v>902</v>
      </c>
      <c r="D12" s="104"/>
      <c r="E12" s="105" t="s">
        <v>92</v>
      </c>
      <c r="F12" s="104"/>
      <c r="G12" s="103" t="s">
        <v>466</v>
      </c>
      <c r="H12" s="104"/>
      <c r="I12" s="45">
        <v>100</v>
      </c>
      <c r="J12" s="24">
        <v>1</v>
      </c>
      <c r="K12" s="96" t="s">
        <v>903</v>
      </c>
    </row>
    <row r="13" spans="1:11" s="1" customFormat="1" ht="30.75" customHeight="1" x14ac:dyDescent="0.25">
      <c r="A13" s="63">
        <v>5</v>
      </c>
      <c r="B13" s="26" t="s">
        <v>267</v>
      </c>
      <c r="C13" s="103" t="s">
        <v>904</v>
      </c>
      <c r="D13" s="104"/>
      <c r="E13" s="105" t="s">
        <v>92</v>
      </c>
      <c r="F13" s="104"/>
      <c r="G13" s="103" t="s">
        <v>266</v>
      </c>
      <c r="H13" s="104"/>
      <c r="I13" s="45">
        <v>400</v>
      </c>
      <c r="J13" s="24">
        <v>1</v>
      </c>
      <c r="K13" s="31" t="s">
        <v>905</v>
      </c>
    </row>
    <row r="14" spans="1:11" s="1" customFormat="1" ht="33" customHeight="1" x14ac:dyDescent="0.25">
      <c r="A14" s="106" t="s">
        <v>7</v>
      </c>
      <c r="B14" s="106"/>
      <c r="C14" s="106"/>
      <c r="D14" s="106"/>
      <c r="E14" s="106"/>
      <c r="F14" s="106"/>
      <c r="G14" s="106"/>
      <c r="H14" s="106"/>
      <c r="I14" s="77">
        <f>SUM(I9:I13)</f>
        <v>1200</v>
      </c>
      <c r="J14" s="77">
        <f>SUM(J9:J13)</f>
        <v>5</v>
      </c>
      <c r="K14" s="106" t="s">
        <v>651</v>
      </c>
    </row>
    <row r="15" spans="1:11" s="1" customFormat="1" ht="16.5" x14ac:dyDescent="0.25">
      <c r="A15" s="108" t="s">
        <v>19</v>
      </c>
      <c r="B15" s="108"/>
      <c r="C15" s="108"/>
      <c r="D15" s="108"/>
      <c r="E15" s="108"/>
      <c r="F15" s="108"/>
      <c r="G15" s="108"/>
      <c r="H15" s="108"/>
      <c r="I15" s="108">
        <f>I14</f>
        <v>1200</v>
      </c>
      <c r="J15" s="106">
        <f>J14</f>
        <v>5</v>
      </c>
      <c r="K15" s="106"/>
    </row>
    <row r="16" spans="1:11" ht="15" customHeight="1" x14ac:dyDescent="0.25">
      <c r="A16" s="108"/>
      <c r="B16" s="108"/>
      <c r="C16" s="108"/>
      <c r="D16" s="108"/>
      <c r="E16" s="108"/>
      <c r="F16" s="108"/>
      <c r="G16" s="108"/>
      <c r="H16" s="108"/>
      <c r="I16" s="108"/>
      <c r="J16" s="106"/>
      <c r="K16" s="106"/>
    </row>
    <row r="18" spans="1:11" x14ac:dyDescent="0.25">
      <c r="B18" s="10" t="s">
        <v>62</v>
      </c>
      <c r="H18" t="s">
        <v>23</v>
      </c>
    </row>
    <row r="19" spans="1:11" ht="101.25" customHeight="1" x14ac:dyDescent="0.25">
      <c r="B19" s="10"/>
    </row>
    <row r="20" spans="1:11" s="1" customFormat="1" ht="16.5" x14ac:dyDescent="0.25"/>
    <row r="21" spans="1:11" s="1" customFormat="1" ht="20.25" x14ac:dyDescent="0.3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1:11" s="1" customFormat="1" ht="20.25" x14ac:dyDescent="0.3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</row>
    <row r="23" spans="1:11" s="1" customFormat="1" ht="20.2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</row>
    <row r="24" spans="1:11" s="1" customFormat="1" ht="16.5" x14ac:dyDescent="0.25"/>
    <row r="25" spans="1:11" s="1" customFormat="1" ht="16.5" x14ac:dyDescent="0.25"/>
    <row r="26" spans="1:11" s="1" customFormat="1" ht="19.5" customHeight="1" x14ac:dyDescent="0.25"/>
    <row r="27" spans="1:11" s="1" customFormat="1" ht="30.75" customHeight="1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21"/>
    </row>
    <row r="31" spans="1:11" s="1" customFormat="1" ht="35.25" customHeight="1" x14ac:dyDescent="0.25">
      <c r="A31" s="18"/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1" s="1" customFormat="1" ht="35.25" customHeight="1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</row>
    <row r="33" spans="1:11" s="1" customFormat="1" ht="16.5" x14ac:dyDescent="0.25">
      <c r="A33" s="100"/>
      <c r="B33" s="101"/>
      <c r="C33" s="11"/>
      <c r="D33" s="11"/>
      <c r="E33" s="11"/>
      <c r="F33" s="11"/>
      <c r="G33" s="11"/>
      <c r="H33" s="5"/>
      <c r="I33" s="5"/>
      <c r="J33" s="5"/>
      <c r="K33" s="5"/>
    </row>
    <row r="34" spans="1:11" s="1" customFormat="1" ht="16.5" x14ac:dyDescent="0.25">
      <c r="J34" s="102"/>
      <c r="K34" s="102"/>
    </row>
  </sheetData>
  <mergeCells count="29">
    <mergeCell ref="A22:K22"/>
    <mergeCell ref="A33:B33"/>
    <mergeCell ref="J34:K34"/>
    <mergeCell ref="A14:H14"/>
    <mergeCell ref="K14:K16"/>
    <mergeCell ref="A15:H16"/>
    <mergeCell ref="I15:I16"/>
    <mergeCell ref="J15:J16"/>
    <mergeCell ref="A21:K21"/>
    <mergeCell ref="C12:D12"/>
    <mergeCell ref="E12:F12"/>
    <mergeCell ref="G12:H12"/>
    <mergeCell ref="C13:D13"/>
    <mergeCell ref="E13:F13"/>
    <mergeCell ref="G13:H13"/>
    <mergeCell ref="C10:D10"/>
    <mergeCell ref="E10:F10"/>
    <mergeCell ref="G10:H10"/>
    <mergeCell ref="C11:D11"/>
    <mergeCell ref="E11:F11"/>
    <mergeCell ref="G11:H11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23594F01-EC92-4EFD-993D-41C53746425F}"/>
  </hyperlinks>
  <pageMargins left="0.25" right="0.25" top="0.17" bottom="0.17" header="0.3" footer="0.2"/>
  <pageSetup paperSize="9" scale="77" fitToHeight="0" orientation="portrait"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94763-EBC1-4547-8A1B-15CFBBE1532C}">
  <sheetPr codeName="Sheet110">
    <pageSetUpPr fitToPage="1"/>
  </sheetPr>
  <dimension ref="A1:K32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45982</v>
      </c>
    </row>
    <row r="6" spans="1:11" s="1" customFormat="1" ht="16.5" x14ac:dyDescent="0.25">
      <c r="A6" s="1" t="s">
        <v>78</v>
      </c>
      <c r="D6" s="1" t="s">
        <v>136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39" t="s">
        <v>174</v>
      </c>
      <c r="C9" s="103" t="s">
        <v>842</v>
      </c>
      <c r="D9" s="104"/>
      <c r="E9" s="105" t="s">
        <v>92</v>
      </c>
      <c r="F9" s="104"/>
      <c r="G9" s="103" t="s">
        <v>845</v>
      </c>
      <c r="H9" s="104"/>
      <c r="I9" s="45">
        <v>500</v>
      </c>
      <c r="J9" s="24">
        <v>1</v>
      </c>
      <c r="K9" s="31" t="s">
        <v>846</v>
      </c>
    </row>
    <row r="10" spans="1:11" s="1" customFormat="1" ht="30.75" customHeight="1" x14ac:dyDescent="0.25">
      <c r="A10" s="63">
        <v>2</v>
      </c>
      <c r="B10" s="39" t="s">
        <v>174</v>
      </c>
      <c r="C10" s="103" t="s">
        <v>843</v>
      </c>
      <c r="D10" s="104"/>
      <c r="E10" s="105" t="s">
        <v>92</v>
      </c>
      <c r="F10" s="104"/>
      <c r="G10" s="103" t="s">
        <v>845</v>
      </c>
      <c r="H10" s="104"/>
      <c r="I10" s="45">
        <v>500</v>
      </c>
      <c r="J10" s="24">
        <v>1</v>
      </c>
      <c r="K10" s="31" t="s">
        <v>847</v>
      </c>
    </row>
    <row r="11" spans="1:11" s="1" customFormat="1" ht="30.75" customHeight="1" x14ac:dyDescent="0.25">
      <c r="A11" s="63">
        <v>3</v>
      </c>
      <c r="B11" s="39" t="s">
        <v>174</v>
      </c>
      <c r="C11" s="103" t="s">
        <v>844</v>
      </c>
      <c r="D11" s="104"/>
      <c r="E11" s="105" t="s">
        <v>92</v>
      </c>
      <c r="F11" s="104"/>
      <c r="G11" s="103" t="s">
        <v>845</v>
      </c>
      <c r="H11" s="104"/>
      <c r="I11" s="45">
        <v>200</v>
      </c>
      <c r="J11" s="24">
        <v>1</v>
      </c>
      <c r="K11" s="31" t="s">
        <v>848</v>
      </c>
    </row>
    <row r="12" spans="1:11" s="1" customFormat="1" ht="33" customHeight="1" x14ac:dyDescent="0.25">
      <c r="A12" s="106" t="s">
        <v>7</v>
      </c>
      <c r="B12" s="106"/>
      <c r="C12" s="106"/>
      <c r="D12" s="106"/>
      <c r="E12" s="106"/>
      <c r="F12" s="106"/>
      <c r="G12" s="106"/>
      <c r="H12" s="106"/>
      <c r="I12" s="77">
        <f>SUM(I9:I11)</f>
        <v>1200</v>
      </c>
      <c r="J12" s="77">
        <f>SUM(J9:J11)</f>
        <v>3</v>
      </c>
      <c r="K12" s="106" t="s">
        <v>651</v>
      </c>
    </row>
    <row r="13" spans="1:11" s="1" customFormat="1" ht="16.5" x14ac:dyDescent="0.25">
      <c r="A13" s="108" t="s">
        <v>19</v>
      </c>
      <c r="B13" s="108"/>
      <c r="C13" s="108"/>
      <c r="D13" s="108"/>
      <c r="E13" s="108"/>
      <c r="F13" s="108"/>
      <c r="G13" s="108"/>
      <c r="H13" s="108"/>
      <c r="I13" s="108">
        <f>I12</f>
        <v>1200</v>
      </c>
      <c r="J13" s="106">
        <f>J12</f>
        <v>3</v>
      </c>
      <c r="K13" s="106"/>
    </row>
    <row r="14" spans="1:11" ht="15" customHeight="1" x14ac:dyDescent="0.25">
      <c r="A14" s="108"/>
      <c r="B14" s="108"/>
      <c r="C14" s="108"/>
      <c r="D14" s="108"/>
      <c r="E14" s="108"/>
      <c r="F14" s="108"/>
      <c r="G14" s="108"/>
      <c r="H14" s="108"/>
      <c r="I14" s="108"/>
      <c r="J14" s="106"/>
      <c r="K14" s="106"/>
    </row>
    <row r="16" spans="1:11" x14ac:dyDescent="0.25">
      <c r="B16" s="10" t="s">
        <v>62</v>
      </c>
      <c r="H16" t="s">
        <v>23</v>
      </c>
    </row>
    <row r="17" spans="1:11" ht="101.25" customHeight="1" x14ac:dyDescent="0.25">
      <c r="B17" s="10"/>
    </row>
    <row r="18" spans="1:11" s="1" customFormat="1" ht="16.5" x14ac:dyDescent="0.25"/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</row>
    <row r="22" spans="1:11" s="1" customFormat="1" ht="16.5" x14ac:dyDescent="0.25"/>
    <row r="23" spans="1:11" s="1" customFormat="1" ht="16.5" x14ac:dyDescent="0.25"/>
    <row r="24" spans="1:11" s="1" customFormat="1" ht="19.5" customHeight="1" x14ac:dyDescent="0.25"/>
    <row r="25" spans="1:11" s="1" customFormat="1" ht="30.75" customHeight="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18"/>
      <c r="B29" s="19"/>
      <c r="C29" s="19"/>
      <c r="D29" s="19"/>
      <c r="E29" s="19"/>
      <c r="F29" s="19"/>
      <c r="G29" s="19"/>
      <c r="H29" s="19"/>
      <c r="I29" s="19"/>
      <c r="J29" s="19"/>
      <c r="K29" s="19"/>
    </row>
    <row r="30" spans="1:11" s="1" customFormat="1" ht="35.25" customHeight="1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s="1" customFormat="1" ht="16.5" x14ac:dyDescent="0.25">
      <c r="A31" s="100"/>
      <c r="B31" s="101"/>
      <c r="C31" s="11"/>
      <c r="D31" s="11"/>
      <c r="E31" s="11"/>
      <c r="F31" s="11"/>
      <c r="G31" s="11"/>
      <c r="H31" s="5"/>
      <c r="I31" s="5"/>
      <c r="J31" s="5"/>
      <c r="K31" s="5"/>
    </row>
    <row r="32" spans="1:11" s="1" customFormat="1" ht="16.5" x14ac:dyDescent="0.25">
      <c r="J32" s="102"/>
      <c r="K32" s="102"/>
    </row>
  </sheetData>
  <mergeCells count="23">
    <mergeCell ref="C9:D9"/>
    <mergeCell ref="E9:F9"/>
    <mergeCell ref="G9:H9"/>
    <mergeCell ref="A2:K2"/>
    <mergeCell ref="A3:K3"/>
    <mergeCell ref="C8:D8"/>
    <mergeCell ref="E8:F8"/>
    <mergeCell ref="G8:H8"/>
    <mergeCell ref="C10:D10"/>
    <mergeCell ref="E10:F10"/>
    <mergeCell ref="G10:H10"/>
    <mergeCell ref="C11:D11"/>
    <mergeCell ref="E11:F11"/>
    <mergeCell ref="G11:H11"/>
    <mergeCell ref="A20:K20"/>
    <mergeCell ref="A31:B31"/>
    <mergeCell ref="J32:K32"/>
    <mergeCell ref="A12:H12"/>
    <mergeCell ref="K12:K14"/>
    <mergeCell ref="A13:H14"/>
    <mergeCell ref="I13:I14"/>
    <mergeCell ref="J13:J14"/>
    <mergeCell ref="A19:K19"/>
  </mergeCells>
  <phoneticPr fontId="21" type="noConversion"/>
  <hyperlinks>
    <hyperlink ref="D5" location="'Muc Luc'!A1" display="Mr Cường" xr:uid="{5781BED2-1808-4C03-AE3A-39A67F2F75D3}"/>
  </hyperlinks>
  <pageMargins left="0.25" right="0.25" top="0.17" bottom="0.17" header="0.3" footer="0.2"/>
  <pageSetup paperSize="9" scale="77" fitToHeight="0" orientation="portrait"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FC39C-0B72-4CA7-9819-05D6ABDC6B99}">
  <sheetPr codeName="Sheet111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45983</v>
      </c>
    </row>
    <row r="6" spans="1:11" s="1" customFormat="1" ht="16.5" x14ac:dyDescent="0.25">
      <c r="A6" s="1" t="s">
        <v>78</v>
      </c>
      <c r="D6" s="1" t="s">
        <v>190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39" t="s">
        <v>860</v>
      </c>
      <c r="C9" s="103" t="s">
        <v>858</v>
      </c>
      <c r="D9" s="104"/>
      <c r="E9" s="105" t="s">
        <v>92</v>
      </c>
      <c r="F9" s="104"/>
      <c r="G9" s="103" t="s">
        <v>861</v>
      </c>
      <c r="H9" s="104"/>
      <c r="I9" s="45">
        <v>500</v>
      </c>
      <c r="J9" s="24">
        <v>1</v>
      </c>
      <c r="K9" s="31" t="s">
        <v>862</v>
      </c>
    </row>
    <row r="10" spans="1:11" s="1" customFormat="1" ht="30.75" customHeight="1" x14ac:dyDescent="0.25">
      <c r="A10" s="63">
        <v>2</v>
      </c>
      <c r="B10" s="39" t="s">
        <v>860</v>
      </c>
      <c r="C10" s="103" t="s">
        <v>859</v>
      </c>
      <c r="D10" s="104"/>
      <c r="E10" s="105" t="s">
        <v>92</v>
      </c>
      <c r="F10" s="104"/>
      <c r="G10" s="103" t="s">
        <v>861</v>
      </c>
      <c r="H10" s="104"/>
      <c r="I10" s="45">
        <v>500</v>
      </c>
      <c r="J10" s="24">
        <v>1</v>
      </c>
      <c r="K10" s="31" t="s">
        <v>863</v>
      </c>
    </row>
    <row r="11" spans="1:11" s="1" customFormat="1" ht="33" customHeight="1" x14ac:dyDescent="0.25">
      <c r="A11" s="106" t="s">
        <v>7</v>
      </c>
      <c r="B11" s="106"/>
      <c r="C11" s="106"/>
      <c r="D11" s="106"/>
      <c r="E11" s="106"/>
      <c r="F11" s="106"/>
      <c r="G11" s="106"/>
      <c r="H11" s="106"/>
      <c r="I11" s="77">
        <f>SUM(I9:I10)</f>
        <v>1000</v>
      </c>
      <c r="J11" s="77">
        <f>SUM(J9:J10)</f>
        <v>2</v>
      </c>
      <c r="K11" s="106"/>
    </row>
    <row r="12" spans="1:11" s="1" customFormat="1" ht="16.5" x14ac:dyDescent="0.25">
      <c r="A12" s="108" t="s">
        <v>19</v>
      </c>
      <c r="B12" s="108"/>
      <c r="C12" s="108"/>
      <c r="D12" s="108"/>
      <c r="E12" s="108"/>
      <c r="F12" s="108"/>
      <c r="G12" s="108"/>
      <c r="H12" s="108"/>
      <c r="I12" s="108">
        <f>I11</f>
        <v>1000</v>
      </c>
      <c r="J12" s="106">
        <f>J11</f>
        <v>2</v>
      </c>
      <c r="K12" s="106"/>
    </row>
    <row r="13" spans="1:11" ht="15" customHeight="1" x14ac:dyDescent="0.25">
      <c r="A13" s="108"/>
      <c r="B13" s="108"/>
      <c r="C13" s="108"/>
      <c r="D13" s="108"/>
      <c r="E13" s="108"/>
      <c r="F13" s="108"/>
      <c r="G13" s="108"/>
      <c r="H13" s="108"/>
      <c r="I13" s="108"/>
      <c r="J13" s="106"/>
      <c r="K13" s="106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A19:K19"/>
    <mergeCell ref="A30:B30"/>
    <mergeCell ref="J31:K31"/>
    <mergeCell ref="A11:H11"/>
    <mergeCell ref="K11:K13"/>
    <mergeCell ref="A12:H13"/>
    <mergeCell ref="I12:I13"/>
    <mergeCell ref="J12:J13"/>
    <mergeCell ref="A18:K18"/>
    <mergeCell ref="C10:D10"/>
    <mergeCell ref="E10:F10"/>
    <mergeCell ref="G10:H10"/>
    <mergeCell ref="A2:K2"/>
    <mergeCell ref="A3:K3"/>
    <mergeCell ref="C8:D8"/>
    <mergeCell ref="E8:F8"/>
    <mergeCell ref="G8:H8"/>
    <mergeCell ref="C9:D9"/>
    <mergeCell ref="E9:F9"/>
    <mergeCell ref="G9:H9"/>
  </mergeCells>
  <phoneticPr fontId="21" type="noConversion"/>
  <hyperlinks>
    <hyperlink ref="D5" location="'Muc Luc'!A1" display="Mr Cường" xr:uid="{586E4862-8A1D-46AF-856E-DAED2D6D31FB}"/>
  </hyperlinks>
  <pageMargins left="0.25" right="0.25" top="0.17" bottom="0.17" header="0.3" footer="0.2"/>
  <pageSetup paperSize="9" scale="77" fitToHeight="0" orientation="portrait"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8A11B-F745-48BA-98F7-C4E2516C9D12}">
  <sheetPr codeName="Sheet122">
    <pageSetUpPr fitToPage="1"/>
  </sheetPr>
  <dimension ref="A1:K30"/>
  <sheetViews>
    <sheetView zoomScaleNormal="100" workbookViewId="0">
      <selection activeCell="F15" sqref="F1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177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39" t="s">
        <v>481</v>
      </c>
      <c r="C9" s="103" t="s">
        <v>917</v>
      </c>
      <c r="D9" s="104"/>
      <c r="E9" s="105" t="s">
        <v>92</v>
      </c>
      <c r="F9" s="104"/>
      <c r="G9" s="103" t="s">
        <v>466</v>
      </c>
      <c r="H9" s="104"/>
      <c r="I9" s="45">
        <v>400</v>
      </c>
      <c r="J9" s="24">
        <v>1</v>
      </c>
      <c r="K9" s="31" t="s">
        <v>918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400</v>
      </c>
      <c r="J10" s="77">
        <f>SUM(J9:J9)</f>
        <v>1</v>
      </c>
      <c r="K10" s="106"/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400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7:K17"/>
    <mergeCell ref="A18:K18"/>
    <mergeCell ref="A29:B29"/>
    <mergeCell ref="J30:K30"/>
    <mergeCell ref="A10:H10"/>
    <mergeCell ref="K10:K12"/>
    <mergeCell ref="A11:H12"/>
    <mergeCell ref="I11:I12"/>
    <mergeCell ref="J11:J12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A631F369-1F70-4474-9F58-3B8283E8E37D}"/>
  </hyperlinks>
  <pageMargins left="0.25" right="0.25" top="0.17" bottom="0.17" header="0.3" footer="0.2"/>
  <pageSetup paperSize="9" scale="77" fitToHeight="0" orientation="portrait"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1E6F8-5021-4C66-8651-94DE60F0FE4A}">
  <sheetPr codeName="Sheet123">
    <pageSetUpPr fitToPage="1"/>
  </sheetPr>
  <dimension ref="A1:K30"/>
  <sheetViews>
    <sheetView zoomScaleNormal="100" workbookViewId="0">
      <selection activeCell="K15" sqref="K1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179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30" t="s">
        <v>919</v>
      </c>
      <c r="C9" s="103" t="s">
        <v>920</v>
      </c>
      <c r="D9" s="104"/>
      <c r="E9" s="105" t="s">
        <v>17</v>
      </c>
      <c r="F9" s="104"/>
      <c r="G9" s="103" t="s">
        <v>231</v>
      </c>
      <c r="H9" s="104"/>
      <c r="I9" s="45">
        <v>300</v>
      </c>
      <c r="J9" s="24">
        <v>1</v>
      </c>
      <c r="K9" s="31" t="s">
        <v>921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300</v>
      </c>
      <c r="J10" s="77">
        <f>SUM(J9:J9)</f>
        <v>1</v>
      </c>
      <c r="K10" s="106"/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300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</mergeCells>
  <hyperlinks>
    <hyperlink ref="D5" location="'Muc Luc'!A1" display="Mr Cường" xr:uid="{4CCEC60F-51CC-4E1B-883C-34905A2EFFE3}"/>
  </hyperlinks>
  <pageMargins left="0.25" right="0.25" top="0.17" bottom="0.17" header="0.3" footer="0.2"/>
  <pageSetup paperSize="9" scale="77" fitToHeight="0" orientation="portrait" r:id="rId1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47537-9E61-46C5-9865-AE3189FC2E8C}">
  <sheetPr codeName="Sheet105">
    <pageSetUpPr fitToPage="1"/>
  </sheetPr>
  <dimension ref="A1:K32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45975</v>
      </c>
    </row>
    <row r="6" spans="1:11" s="1" customFormat="1" ht="16.5" x14ac:dyDescent="0.25">
      <c r="A6" s="1" t="s">
        <v>78</v>
      </c>
      <c r="D6" s="1" t="s">
        <v>154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25" t="s">
        <v>806</v>
      </c>
      <c r="C9" s="103" t="s">
        <v>809</v>
      </c>
      <c r="D9" s="104"/>
      <c r="E9" s="105" t="s">
        <v>808</v>
      </c>
      <c r="F9" s="104"/>
      <c r="G9" s="103" t="s">
        <v>466</v>
      </c>
      <c r="H9" s="104"/>
      <c r="I9" s="45">
        <v>50</v>
      </c>
      <c r="J9" s="24">
        <v>1</v>
      </c>
      <c r="K9" s="31" t="s">
        <v>811</v>
      </c>
    </row>
    <row r="10" spans="1:11" s="1" customFormat="1" ht="30.75" customHeight="1" x14ac:dyDescent="0.25">
      <c r="A10" s="63">
        <v>2</v>
      </c>
      <c r="B10" s="25" t="s">
        <v>807</v>
      </c>
      <c r="C10" s="103" t="s">
        <v>810</v>
      </c>
      <c r="D10" s="104"/>
      <c r="E10" s="105" t="s">
        <v>17</v>
      </c>
      <c r="F10" s="104"/>
      <c r="G10" s="103" t="s">
        <v>469</v>
      </c>
      <c r="H10" s="104"/>
      <c r="I10" s="45">
        <v>400</v>
      </c>
      <c r="J10" s="24">
        <v>1</v>
      </c>
      <c r="K10" s="31" t="s">
        <v>812</v>
      </c>
    </row>
    <row r="11" spans="1:11" s="1" customFormat="1" ht="30.75" customHeight="1" x14ac:dyDescent="0.25">
      <c r="A11" s="63">
        <v>3</v>
      </c>
      <c r="B11" s="26" t="s">
        <v>267</v>
      </c>
      <c r="C11" s="103" t="s">
        <v>813</v>
      </c>
      <c r="D11" s="104"/>
      <c r="E11" s="105" t="s">
        <v>92</v>
      </c>
      <c r="F11" s="104"/>
      <c r="G11" s="103" t="s">
        <v>795</v>
      </c>
      <c r="H11" s="104"/>
      <c r="I11" s="45">
        <v>400</v>
      </c>
      <c r="J11" s="24">
        <v>1</v>
      </c>
      <c r="K11" s="31" t="s">
        <v>814</v>
      </c>
    </row>
    <row r="12" spans="1:11" s="1" customFormat="1" ht="33" customHeight="1" x14ac:dyDescent="0.25">
      <c r="A12" s="106" t="s">
        <v>7</v>
      </c>
      <c r="B12" s="106"/>
      <c r="C12" s="106"/>
      <c r="D12" s="106"/>
      <c r="E12" s="106"/>
      <c r="F12" s="106"/>
      <c r="G12" s="106"/>
      <c r="H12" s="106"/>
      <c r="I12" s="77">
        <f>SUM(I9:I11)</f>
        <v>850</v>
      </c>
      <c r="J12" s="77">
        <f>SUM(J9:J11)</f>
        <v>3</v>
      </c>
      <c r="K12" s="106" t="s">
        <v>651</v>
      </c>
    </row>
    <row r="13" spans="1:11" s="1" customFormat="1" ht="16.5" x14ac:dyDescent="0.25">
      <c r="A13" s="108" t="s">
        <v>19</v>
      </c>
      <c r="B13" s="108"/>
      <c r="C13" s="108"/>
      <c r="D13" s="108"/>
      <c r="E13" s="108"/>
      <c r="F13" s="108"/>
      <c r="G13" s="108"/>
      <c r="H13" s="108"/>
      <c r="I13" s="108">
        <f>I12</f>
        <v>850</v>
      </c>
      <c r="J13" s="106">
        <f>J12</f>
        <v>3</v>
      </c>
      <c r="K13" s="106"/>
    </row>
    <row r="14" spans="1:11" ht="15" customHeight="1" x14ac:dyDescent="0.25">
      <c r="A14" s="108"/>
      <c r="B14" s="108"/>
      <c r="C14" s="108"/>
      <c r="D14" s="108"/>
      <c r="E14" s="108"/>
      <c r="F14" s="108"/>
      <c r="G14" s="108"/>
      <c r="H14" s="108"/>
      <c r="I14" s="108"/>
      <c r="J14" s="106"/>
      <c r="K14" s="106"/>
    </row>
    <row r="16" spans="1:11" x14ac:dyDescent="0.25">
      <c r="B16" s="10" t="s">
        <v>62</v>
      </c>
      <c r="H16" t="s">
        <v>23</v>
      </c>
    </row>
    <row r="17" spans="1:11" ht="101.25" customHeight="1" x14ac:dyDescent="0.25">
      <c r="B17" s="10"/>
    </row>
    <row r="18" spans="1:11" s="1" customFormat="1" ht="16.5" x14ac:dyDescent="0.25"/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</row>
    <row r="22" spans="1:11" s="1" customFormat="1" ht="16.5" x14ac:dyDescent="0.25"/>
    <row r="23" spans="1:11" s="1" customFormat="1" ht="16.5" x14ac:dyDescent="0.25"/>
    <row r="24" spans="1:11" s="1" customFormat="1" ht="19.5" customHeight="1" x14ac:dyDescent="0.25"/>
    <row r="25" spans="1:11" s="1" customFormat="1" ht="30.75" customHeight="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18"/>
      <c r="B29" s="19"/>
      <c r="C29" s="19"/>
      <c r="D29" s="19"/>
      <c r="E29" s="19"/>
      <c r="F29" s="19"/>
      <c r="G29" s="19"/>
      <c r="H29" s="19"/>
      <c r="I29" s="19"/>
      <c r="J29" s="19"/>
      <c r="K29" s="19"/>
    </row>
    <row r="30" spans="1:11" s="1" customFormat="1" ht="35.25" customHeight="1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s="1" customFormat="1" ht="16.5" x14ac:dyDescent="0.25">
      <c r="A31" s="100"/>
      <c r="B31" s="101"/>
      <c r="C31" s="11"/>
      <c r="D31" s="11"/>
      <c r="E31" s="11"/>
      <c r="F31" s="11"/>
      <c r="G31" s="11"/>
      <c r="H31" s="5"/>
      <c r="I31" s="5"/>
      <c r="J31" s="5"/>
      <c r="K31" s="5"/>
    </row>
    <row r="32" spans="1:11" s="1" customFormat="1" ht="16.5" x14ac:dyDescent="0.25">
      <c r="J32" s="102"/>
      <c r="K32" s="102"/>
    </row>
  </sheetData>
  <mergeCells count="23">
    <mergeCell ref="A20:K20"/>
    <mergeCell ref="A31:B31"/>
    <mergeCell ref="J32:K32"/>
    <mergeCell ref="A12:H12"/>
    <mergeCell ref="K12:K14"/>
    <mergeCell ref="A13:H14"/>
    <mergeCell ref="I13:I14"/>
    <mergeCell ref="J13:J14"/>
    <mergeCell ref="A19:K19"/>
    <mergeCell ref="C10:D10"/>
    <mergeCell ref="E10:F10"/>
    <mergeCell ref="G10:H10"/>
    <mergeCell ref="C11:D11"/>
    <mergeCell ref="E11:F11"/>
    <mergeCell ref="G11:H11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500172B2-DC3D-41D9-B057-0955B0F9C41D}"/>
  </hyperlinks>
  <pageMargins left="0.25" right="0.25" top="0.17" bottom="0.17" header="0.3" footer="0.2"/>
  <pageSetup paperSize="9" scale="77" fitToHeight="0" orientation="portrait" r:id="rId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6B55F-54D2-4EB9-8CCF-489DCAABBDC1}">
  <sheetPr codeName="Sheet106">
    <pageSetUpPr fitToPage="1"/>
  </sheetPr>
  <dimension ref="A1:K33"/>
  <sheetViews>
    <sheetView zoomScaleNormal="100" workbookViewId="0"/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45978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43" t="s">
        <v>815</v>
      </c>
      <c r="C9" s="103" t="s">
        <v>768</v>
      </c>
      <c r="D9" s="104"/>
      <c r="E9" s="105" t="s">
        <v>92</v>
      </c>
      <c r="F9" s="104"/>
      <c r="G9" s="103" t="s">
        <v>816</v>
      </c>
      <c r="H9" s="104"/>
      <c r="I9" s="45">
        <v>50</v>
      </c>
      <c r="J9" s="24">
        <v>1</v>
      </c>
      <c r="K9" s="31" t="s">
        <v>817</v>
      </c>
    </row>
    <row r="10" spans="1:11" s="1" customFormat="1" ht="30.75" customHeight="1" x14ac:dyDescent="0.25">
      <c r="A10" s="63">
        <v>2</v>
      </c>
      <c r="B10" s="43" t="s">
        <v>815</v>
      </c>
      <c r="C10" s="103" t="s">
        <v>769</v>
      </c>
      <c r="D10" s="104"/>
      <c r="E10" s="105" t="s">
        <v>92</v>
      </c>
      <c r="F10" s="104"/>
      <c r="G10" s="103" t="s">
        <v>816</v>
      </c>
      <c r="H10" s="104"/>
      <c r="I10" s="45">
        <v>50</v>
      </c>
      <c r="J10" s="24">
        <v>1</v>
      </c>
      <c r="K10" s="31" t="s">
        <v>818</v>
      </c>
    </row>
    <row r="11" spans="1:11" s="1" customFormat="1" ht="30.75" customHeight="1" x14ac:dyDescent="0.25">
      <c r="A11" s="63">
        <v>3</v>
      </c>
      <c r="B11" s="43" t="s">
        <v>815</v>
      </c>
      <c r="C11" s="103" t="s">
        <v>770</v>
      </c>
      <c r="D11" s="104"/>
      <c r="E11" s="105" t="s">
        <v>92</v>
      </c>
      <c r="F11" s="104"/>
      <c r="G11" s="103" t="s">
        <v>816</v>
      </c>
      <c r="H11" s="104"/>
      <c r="I11" s="45">
        <v>50</v>
      </c>
      <c r="J11" s="24">
        <v>1</v>
      </c>
      <c r="K11" s="31" t="s">
        <v>819</v>
      </c>
    </row>
    <row r="12" spans="1:11" s="1" customFormat="1" ht="30.75" customHeight="1" x14ac:dyDescent="0.25">
      <c r="A12" s="63">
        <v>4</v>
      </c>
      <c r="B12" s="27" t="s">
        <v>505</v>
      </c>
      <c r="C12" s="103" t="s">
        <v>821</v>
      </c>
      <c r="D12" s="104"/>
      <c r="E12" s="105" t="s">
        <v>92</v>
      </c>
      <c r="F12" s="104"/>
      <c r="G12" s="103" t="s">
        <v>466</v>
      </c>
      <c r="H12" s="104"/>
      <c r="I12" s="45">
        <v>100</v>
      </c>
      <c r="J12" s="24">
        <v>1</v>
      </c>
      <c r="K12" s="31" t="s">
        <v>820</v>
      </c>
    </row>
    <row r="13" spans="1:11" s="1" customFormat="1" ht="33" customHeight="1" x14ac:dyDescent="0.25">
      <c r="A13" s="106" t="s">
        <v>7</v>
      </c>
      <c r="B13" s="106"/>
      <c r="C13" s="106"/>
      <c r="D13" s="106"/>
      <c r="E13" s="106"/>
      <c r="F13" s="106"/>
      <c r="G13" s="106"/>
      <c r="H13" s="106"/>
      <c r="I13" s="77">
        <f>SUM(I9:I12)</f>
        <v>250</v>
      </c>
      <c r="J13" s="77">
        <f>SUM(J9:J12)</f>
        <v>4</v>
      </c>
      <c r="K13" s="106" t="s">
        <v>651</v>
      </c>
    </row>
    <row r="14" spans="1:11" s="1" customFormat="1" ht="16.5" x14ac:dyDescent="0.25">
      <c r="A14" s="108" t="s">
        <v>19</v>
      </c>
      <c r="B14" s="108"/>
      <c r="C14" s="108"/>
      <c r="D14" s="108"/>
      <c r="E14" s="108"/>
      <c r="F14" s="108"/>
      <c r="G14" s="108"/>
      <c r="H14" s="108"/>
      <c r="I14" s="108">
        <f>I13</f>
        <v>250</v>
      </c>
      <c r="J14" s="106">
        <f>J13</f>
        <v>4</v>
      </c>
      <c r="K14" s="106"/>
    </row>
    <row r="15" spans="1:11" ht="15" customHeight="1" x14ac:dyDescent="0.25">
      <c r="A15" s="108"/>
      <c r="B15" s="108"/>
      <c r="C15" s="108"/>
      <c r="D15" s="108"/>
      <c r="E15" s="108"/>
      <c r="F15" s="108"/>
      <c r="G15" s="108"/>
      <c r="H15" s="108"/>
      <c r="I15" s="108"/>
      <c r="J15" s="106"/>
      <c r="K15" s="106"/>
    </row>
    <row r="17" spans="1:11" x14ac:dyDescent="0.25">
      <c r="B17" s="10" t="s">
        <v>62</v>
      </c>
      <c r="H17" t="s">
        <v>23</v>
      </c>
    </row>
    <row r="18" spans="1:11" ht="101.25" customHeight="1" x14ac:dyDescent="0.25">
      <c r="B18" s="10"/>
    </row>
    <row r="19" spans="1:11" s="1" customFormat="1" ht="16.5" x14ac:dyDescent="0.25"/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1:11" s="1" customFormat="1" ht="20.2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</row>
    <row r="23" spans="1:11" s="1" customFormat="1" ht="16.5" x14ac:dyDescent="0.25"/>
    <row r="24" spans="1:11" s="1" customFormat="1" ht="16.5" x14ac:dyDescent="0.25"/>
    <row r="25" spans="1:11" s="1" customFormat="1" ht="19.5" customHeight="1" x14ac:dyDescent="0.25"/>
    <row r="26" spans="1:11" s="1" customFormat="1" ht="30.75" customHeight="1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1" s="1" customFormat="1" ht="35.25" customHeight="1" x14ac:dyDescent="0.2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1" s="1" customFormat="1" ht="16.5" x14ac:dyDescent="0.25">
      <c r="A32" s="100"/>
      <c r="B32" s="101"/>
      <c r="C32" s="11"/>
      <c r="D32" s="11"/>
      <c r="E32" s="11"/>
      <c r="F32" s="11"/>
      <c r="G32" s="11"/>
      <c r="H32" s="5"/>
      <c r="I32" s="5"/>
      <c r="J32" s="5"/>
      <c r="K32" s="5"/>
    </row>
    <row r="33" spans="10:11" s="1" customFormat="1" ht="16.5" x14ac:dyDescent="0.25">
      <c r="J33" s="102"/>
      <c r="K33" s="102"/>
    </row>
  </sheetData>
  <mergeCells count="26">
    <mergeCell ref="C9:D9"/>
    <mergeCell ref="E9:F9"/>
    <mergeCell ref="G9:H9"/>
    <mergeCell ref="A2:K2"/>
    <mergeCell ref="A3:K3"/>
    <mergeCell ref="C8:D8"/>
    <mergeCell ref="E8:F8"/>
    <mergeCell ref="G8:H8"/>
    <mergeCell ref="C10:D10"/>
    <mergeCell ref="E10:F10"/>
    <mergeCell ref="G10:H10"/>
    <mergeCell ref="C11:D11"/>
    <mergeCell ref="E11:F11"/>
    <mergeCell ref="G11:H11"/>
    <mergeCell ref="A21:K21"/>
    <mergeCell ref="A32:B32"/>
    <mergeCell ref="J33:K33"/>
    <mergeCell ref="C12:D12"/>
    <mergeCell ref="E12:F12"/>
    <mergeCell ref="G12:H12"/>
    <mergeCell ref="A13:H13"/>
    <mergeCell ref="K13:K15"/>
    <mergeCell ref="A14:H15"/>
    <mergeCell ref="I14:I15"/>
    <mergeCell ref="J14:J15"/>
    <mergeCell ref="A20:K20"/>
  </mergeCells>
  <phoneticPr fontId="21" type="noConversion"/>
  <hyperlinks>
    <hyperlink ref="D5" location="'Muc Luc'!A1" display="Mr Cường" xr:uid="{6FB51019-1CB7-40E1-B75A-8A7DB41C15F0}"/>
  </hyperlinks>
  <pageMargins left="0.25" right="0.25" top="0.17" bottom="0.17" header="0.3" footer="0.2"/>
  <pageSetup paperSize="9" scale="77" fitToHeight="0" orientation="portrait"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C503-F71E-40E0-850F-D690C251FEC6}">
  <sheetPr codeName="Sheet124">
    <pageSetUpPr fitToPage="1"/>
  </sheetPr>
  <dimension ref="A1:K35"/>
  <sheetViews>
    <sheetView zoomScaleNormal="100" workbookViewId="0">
      <selection activeCell="M14" sqref="M14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154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40" t="s">
        <v>922</v>
      </c>
      <c r="C9" s="103" t="s">
        <v>923</v>
      </c>
      <c r="D9" s="104"/>
      <c r="E9" s="105" t="s">
        <v>92</v>
      </c>
      <c r="F9" s="104"/>
      <c r="G9" s="103" t="s">
        <v>469</v>
      </c>
      <c r="H9" s="104"/>
      <c r="I9" s="45">
        <v>100</v>
      </c>
      <c r="J9" s="24">
        <v>1</v>
      </c>
      <c r="K9" s="31" t="s">
        <v>924</v>
      </c>
    </row>
    <row r="10" spans="1:11" s="1" customFormat="1" ht="30.75" customHeight="1" x14ac:dyDescent="0.25">
      <c r="A10" s="63">
        <v>2</v>
      </c>
      <c r="B10" s="27" t="s">
        <v>925</v>
      </c>
      <c r="C10" s="103" t="s">
        <v>926</v>
      </c>
      <c r="D10" s="104"/>
      <c r="E10" s="105" t="s">
        <v>92</v>
      </c>
      <c r="F10" s="104"/>
      <c r="G10" s="103" t="s">
        <v>466</v>
      </c>
      <c r="H10" s="104"/>
      <c r="I10" s="45">
        <v>300</v>
      </c>
      <c r="J10" s="24">
        <v>1</v>
      </c>
      <c r="K10" s="31" t="s">
        <v>928</v>
      </c>
    </row>
    <row r="11" spans="1:11" s="1" customFormat="1" ht="30.75" customHeight="1" x14ac:dyDescent="0.25">
      <c r="A11" s="63">
        <v>3</v>
      </c>
      <c r="B11" s="27" t="s">
        <v>925</v>
      </c>
      <c r="C11" s="103" t="s">
        <v>927</v>
      </c>
      <c r="D11" s="104"/>
      <c r="E11" s="105" t="s">
        <v>92</v>
      </c>
      <c r="F11" s="104"/>
      <c r="G11" s="103" t="s">
        <v>466</v>
      </c>
      <c r="H11" s="104"/>
      <c r="I11" s="45">
        <v>200</v>
      </c>
      <c r="J11" s="24">
        <v>1</v>
      </c>
      <c r="K11" s="31" t="s">
        <v>929</v>
      </c>
    </row>
    <row r="12" spans="1:11" s="1" customFormat="1" ht="30.75" customHeight="1" x14ac:dyDescent="0.25">
      <c r="A12" s="63">
        <v>4</v>
      </c>
      <c r="B12" s="60" t="s">
        <v>930</v>
      </c>
      <c r="C12" s="103" t="s">
        <v>931</v>
      </c>
      <c r="D12" s="104"/>
      <c r="E12" s="105" t="s">
        <v>92</v>
      </c>
      <c r="F12" s="104"/>
      <c r="G12" s="103" t="s">
        <v>449</v>
      </c>
      <c r="H12" s="104"/>
      <c r="I12" s="45">
        <v>300</v>
      </c>
      <c r="J12" s="24">
        <v>1</v>
      </c>
      <c r="K12" s="31" t="s">
        <v>932</v>
      </c>
    </row>
    <row r="13" spans="1:11" s="1" customFormat="1" ht="30.75" customHeight="1" x14ac:dyDescent="0.25">
      <c r="A13" s="63">
        <v>5</v>
      </c>
      <c r="B13" s="7" t="s">
        <v>151</v>
      </c>
      <c r="C13" s="103" t="s">
        <v>933</v>
      </c>
      <c r="D13" s="104"/>
      <c r="E13" s="105" t="s">
        <v>92</v>
      </c>
      <c r="F13" s="104"/>
      <c r="G13" s="103" t="s">
        <v>845</v>
      </c>
      <c r="H13" s="104"/>
      <c r="I13" s="45">
        <v>200</v>
      </c>
      <c r="J13" s="24">
        <v>1</v>
      </c>
      <c r="K13" s="31" t="s">
        <v>934</v>
      </c>
    </row>
    <row r="14" spans="1:11" s="1" customFormat="1" ht="30.75" customHeight="1" x14ac:dyDescent="0.25">
      <c r="A14" s="63">
        <v>6</v>
      </c>
      <c r="B14" s="40" t="s">
        <v>531</v>
      </c>
      <c r="C14" s="103" t="s">
        <v>935</v>
      </c>
      <c r="D14" s="104"/>
      <c r="E14" s="105" t="s">
        <v>92</v>
      </c>
      <c r="F14" s="104"/>
      <c r="G14" s="103" t="s">
        <v>798</v>
      </c>
      <c r="H14" s="104"/>
      <c r="I14" s="45">
        <v>100</v>
      </c>
      <c r="J14" s="24">
        <v>1</v>
      </c>
      <c r="K14" s="31" t="s">
        <v>936</v>
      </c>
    </row>
    <row r="15" spans="1:11" s="1" customFormat="1" ht="33" customHeight="1" x14ac:dyDescent="0.25">
      <c r="A15" s="106" t="s">
        <v>7</v>
      </c>
      <c r="B15" s="106"/>
      <c r="C15" s="106"/>
      <c r="D15" s="106"/>
      <c r="E15" s="106"/>
      <c r="F15" s="106"/>
      <c r="G15" s="106"/>
      <c r="H15" s="106"/>
      <c r="I15" s="77">
        <f>SUM(I9:I14)</f>
        <v>1200</v>
      </c>
      <c r="J15" s="77">
        <f>SUM(J9:J14)</f>
        <v>6</v>
      </c>
      <c r="K15" s="106" t="s">
        <v>651</v>
      </c>
    </row>
    <row r="16" spans="1:11" s="1" customFormat="1" ht="16.5" x14ac:dyDescent="0.25">
      <c r="A16" s="108" t="s">
        <v>19</v>
      </c>
      <c r="B16" s="108"/>
      <c r="C16" s="108"/>
      <c r="D16" s="108"/>
      <c r="E16" s="108"/>
      <c r="F16" s="108"/>
      <c r="G16" s="108"/>
      <c r="H16" s="108"/>
      <c r="I16" s="108">
        <f>I15</f>
        <v>1200</v>
      </c>
      <c r="J16" s="106">
        <f>J15</f>
        <v>6</v>
      </c>
      <c r="K16" s="106"/>
    </row>
    <row r="17" spans="1:11" ht="15" customHeight="1" x14ac:dyDescent="0.25">
      <c r="A17" s="108"/>
      <c r="B17" s="108"/>
      <c r="C17" s="108"/>
      <c r="D17" s="108"/>
      <c r="E17" s="108"/>
      <c r="F17" s="108"/>
      <c r="G17" s="108"/>
      <c r="H17" s="108"/>
      <c r="I17" s="108"/>
      <c r="J17" s="106"/>
      <c r="K17" s="106"/>
    </row>
    <row r="19" spans="1:11" x14ac:dyDescent="0.25">
      <c r="B19" s="10" t="s">
        <v>62</v>
      </c>
      <c r="H19" t="s">
        <v>23</v>
      </c>
    </row>
    <row r="20" spans="1:11" ht="101.25" customHeight="1" x14ac:dyDescent="0.25">
      <c r="B20" s="10"/>
    </row>
    <row r="21" spans="1:11" s="1" customFormat="1" ht="16.5" x14ac:dyDescent="0.25"/>
    <row r="22" spans="1:11" s="1" customFormat="1" ht="20.25" x14ac:dyDescent="0.3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</row>
    <row r="23" spans="1:11" s="1" customFormat="1" ht="20.25" x14ac:dyDescent="0.3">
      <c r="A23" s="99"/>
      <c r="B23" s="99"/>
      <c r="C23" s="99"/>
      <c r="D23" s="99"/>
      <c r="E23" s="99"/>
      <c r="F23" s="99"/>
      <c r="G23" s="99"/>
      <c r="H23" s="99"/>
      <c r="I23" s="99"/>
      <c r="J23" s="99"/>
      <c r="K23" s="99"/>
    </row>
    <row r="24" spans="1:11" s="1" customFormat="1" ht="20.2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</row>
    <row r="25" spans="1:11" s="1" customFormat="1" ht="16.5" x14ac:dyDescent="0.25"/>
    <row r="26" spans="1:11" s="1" customFormat="1" ht="16.5" x14ac:dyDescent="0.25"/>
    <row r="27" spans="1:11" s="1" customFormat="1" ht="19.5" customHeight="1" x14ac:dyDescent="0.25"/>
    <row r="28" spans="1:11" s="1" customFormat="1" ht="30.75" customHeight="1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21"/>
    </row>
    <row r="31" spans="1:11" s="1" customFormat="1" ht="35.25" customHeight="1" x14ac:dyDescent="0.25">
      <c r="A31" s="21"/>
    </row>
    <row r="32" spans="1:11" s="1" customFormat="1" ht="35.25" customHeight="1" x14ac:dyDescent="0.25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19"/>
    </row>
    <row r="33" spans="1:11" s="1" customFormat="1" ht="35.25" customHeight="1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</row>
    <row r="34" spans="1:11" s="1" customFormat="1" ht="16.5" x14ac:dyDescent="0.25">
      <c r="A34" s="100"/>
      <c r="B34" s="101"/>
      <c r="C34" s="11"/>
      <c r="D34" s="11"/>
      <c r="E34" s="11"/>
      <c r="F34" s="11"/>
      <c r="G34" s="11"/>
      <c r="H34" s="5"/>
      <c r="I34" s="5"/>
      <c r="J34" s="5"/>
      <c r="K34" s="5"/>
    </row>
    <row r="35" spans="1:11" s="1" customFormat="1" ht="16.5" x14ac:dyDescent="0.25">
      <c r="J35" s="102"/>
      <c r="K35" s="102"/>
    </row>
  </sheetData>
  <mergeCells count="32">
    <mergeCell ref="A22:K22"/>
    <mergeCell ref="A23:K23"/>
    <mergeCell ref="A34:B34"/>
    <mergeCell ref="J35:K35"/>
    <mergeCell ref="C13:D13"/>
    <mergeCell ref="E13:F13"/>
    <mergeCell ref="G13:H13"/>
    <mergeCell ref="C14:D14"/>
    <mergeCell ref="E14:F14"/>
    <mergeCell ref="G14:H14"/>
    <mergeCell ref="C12:D12"/>
    <mergeCell ref="E12:F12"/>
    <mergeCell ref="G12:H12"/>
    <mergeCell ref="A15:H15"/>
    <mergeCell ref="K15:K17"/>
    <mergeCell ref="A16:H17"/>
    <mergeCell ref="I16:I17"/>
    <mergeCell ref="J16:J17"/>
    <mergeCell ref="C10:D10"/>
    <mergeCell ref="E10:F10"/>
    <mergeCell ref="G10:H10"/>
    <mergeCell ref="C11:D11"/>
    <mergeCell ref="E11:F11"/>
    <mergeCell ref="G11:H11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7930F954-C837-495B-A439-7C98167066B7}"/>
  </hyperlinks>
  <pageMargins left="0.25" right="0.25" top="0.17" bottom="0.17" header="0.3" footer="0.2"/>
  <pageSetup paperSize="9" scale="36" fitToHeight="0" orientation="portrait"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63AF6-F3BF-40C0-9E7C-0DB086B381D7}">
  <sheetPr codeName="Sheet128">
    <pageSetUpPr fitToPage="1"/>
  </sheetPr>
  <dimension ref="A1:K34"/>
  <sheetViews>
    <sheetView zoomScaleNormal="100" workbookViewId="0"/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43" t="s">
        <v>957</v>
      </c>
      <c r="C9" s="103" t="s">
        <v>956</v>
      </c>
      <c r="D9" s="104"/>
      <c r="E9" s="105" t="s">
        <v>92</v>
      </c>
      <c r="F9" s="104"/>
      <c r="G9" s="103" t="s">
        <v>466</v>
      </c>
      <c r="H9" s="104"/>
      <c r="I9" s="45">
        <v>100</v>
      </c>
      <c r="J9" s="24">
        <v>1</v>
      </c>
      <c r="K9" s="31" t="s">
        <v>958</v>
      </c>
    </row>
    <row r="10" spans="1:11" s="1" customFormat="1" ht="30.75" customHeight="1" x14ac:dyDescent="0.25">
      <c r="A10" s="63">
        <v>2</v>
      </c>
      <c r="B10" s="43" t="s">
        <v>959</v>
      </c>
      <c r="C10" s="103" t="s">
        <v>956</v>
      </c>
      <c r="D10" s="104"/>
      <c r="E10" s="105" t="s">
        <v>92</v>
      </c>
      <c r="F10" s="104"/>
      <c r="G10" s="103" t="s">
        <v>94</v>
      </c>
      <c r="H10" s="104"/>
      <c r="I10" s="45">
        <v>100</v>
      </c>
      <c r="J10" s="24">
        <v>1</v>
      </c>
      <c r="K10" s="31" t="s">
        <v>779</v>
      </c>
    </row>
    <row r="11" spans="1:11" s="1" customFormat="1" ht="30.75" customHeight="1" x14ac:dyDescent="0.25">
      <c r="A11" s="63">
        <v>3</v>
      </c>
      <c r="B11" s="27" t="s">
        <v>505</v>
      </c>
      <c r="C11" s="103" t="s">
        <v>960</v>
      </c>
      <c r="D11" s="104"/>
      <c r="E11" s="105" t="s">
        <v>92</v>
      </c>
      <c r="F11" s="104"/>
      <c r="G11" s="103" t="s">
        <v>466</v>
      </c>
      <c r="H11" s="104"/>
      <c r="I11" s="45">
        <v>100</v>
      </c>
      <c r="J11" s="24">
        <v>1</v>
      </c>
      <c r="K11" s="31" t="s">
        <v>963</v>
      </c>
    </row>
    <row r="12" spans="1:11" s="1" customFormat="1" ht="30.75" customHeight="1" x14ac:dyDescent="0.25">
      <c r="A12" s="63">
        <v>4</v>
      </c>
      <c r="B12" s="27" t="s">
        <v>505</v>
      </c>
      <c r="C12" s="103" t="s">
        <v>961</v>
      </c>
      <c r="D12" s="104"/>
      <c r="E12" s="105" t="s">
        <v>92</v>
      </c>
      <c r="F12" s="104"/>
      <c r="G12" s="103" t="s">
        <v>466</v>
      </c>
      <c r="H12" s="104"/>
      <c r="I12" s="45">
        <v>100</v>
      </c>
      <c r="J12" s="24">
        <v>1</v>
      </c>
      <c r="K12" s="31" t="s">
        <v>964</v>
      </c>
    </row>
    <row r="13" spans="1:11" s="1" customFormat="1" ht="30.75" customHeight="1" x14ac:dyDescent="0.25">
      <c r="A13" s="63">
        <v>5</v>
      </c>
      <c r="B13" s="27" t="s">
        <v>505</v>
      </c>
      <c r="C13" s="103" t="s">
        <v>962</v>
      </c>
      <c r="D13" s="104"/>
      <c r="E13" s="105" t="s">
        <v>92</v>
      </c>
      <c r="F13" s="104"/>
      <c r="G13" s="103" t="s">
        <v>466</v>
      </c>
      <c r="H13" s="104"/>
      <c r="I13" s="45">
        <v>100</v>
      </c>
      <c r="J13" s="24">
        <v>1</v>
      </c>
      <c r="K13" s="31" t="s">
        <v>965</v>
      </c>
    </row>
    <row r="14" spans="1:11" s="1" customFormat="1" ht="33" customHeight="1" x14ac:dyDescent="0.25">
      <c r="A14" s="106" t="s">
        <v>7</v>
      </c>
      <c r="B14" s="106"/>
      <c r="C14" s="106"/>
      <c r="D14" s="106"/>
      <c r="E14" s="106"/>
      <c r="F14" s="106"/>
      <c r="G14" s="106"/>
      <c r="H14" s="106"/>
      <c r="I14" s="77">
        <f>SUM(I9:I13)</f>
        <v>500</v>
      </c>
      <c r="J14" s="77">
        <f>SUM(J9:J13)</f>
        <v>5</v>
      </c>
      <c r="K14" s="106" t="s">
        <v>651</v>
      </c>
    </row>
    <row r="15" spans="1:11" s="1" customFormat="1" ht="16.5" x14ac:dyDescent="0.25">
      <c r="A15" s="108" t="s">
        <v>19</v>
      </c>
      <c r="B15" s="108"/>
      <c r="C15" s="108"/>
      <c r="D15" s="108"/>
      <c r="E15" s="108"/>
      <c r="F15" s="108"/>
      <c r="G15" s="108"/>
      <c r="H15" s="108"/>
      <c r="I15" s="108">
        <f>I14</f>
        <v>500</v>
      </c>
      <c r="J15" s="106">
        <f>J14</f>
        <v>5</v>
      </c>
      <c r="K15" s="106"/>
    </row>
    <row r="16" spans="1:11" ht="15" customHeight="1" x14ac:dyDescent="0.25">
      <c r="A16" s="108"/>
      <c r="B16" s="108"/>
      <c r="C16" s="108"/>
      <c r="D16" s="108"/>
      <c r="E16" s="108"/>
      <c r="F16" s="108"/>
      <c r="G16" s="108"/>
      <c r="H16" s="108"/>
      <c r="I16" s="108"/>
      <c r="J16" s="106"/>
      <c r="K16" s="106"/>
    </row>
    <row r="18" spans="1:11" x14ac:dyDescent="0.25">
      <c r="B18" s="10" t="s">
        <v>62</v>
      </c>
      <c r="H18" t="s">
        <v>23</v>
      </c>
    </row>
    <row r="19" spans="1:11" ht="101.25" customHeight="1" x14ac:dyDescent="0.25">
      <c r="B19" s="10"/>
    </row>
    <row r="20" spans="1:11" s="1" customFormat="1" ht="16.5" x14ac:dyDescent="0.25"/>
    <row r="21" spans="1:11" s="1" customFormat="1" ht="20.25" x14ac:dyDescent="0.3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1:11" s="1" customFormat="1" ht="20.25" x14ac:dyDescent="0.3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</row>
    <row r="23" spans="1:11" s="1" customFormat="1" ht="20.2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</row>
    <row r="24" spans="1:11" s="1" customFormat="1" ht="16.5" x14ac:dyDescent="0.25"/>
    <row r="25" spans="1:11" s="1" customFormat="1" ht="16.5" x14ac:dyDescent="0.25"/>
    <row r="26" spans="1:11" s="1" customFormat="1" ht="19.5" customHeight="1" x14ac:dyDescent="0.25"/>
    <row r="27" spans="1:11" s="1" customFormat="1" ht="30.75" customHeight="1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21"/>
    </row>
    <row r="31" spans="1:11" s="1" customFormat="1" ht="35.25" customHeight="1" x14ac:dyDescent="0.25">
      <c r="A31" s="18"/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1" s="1" customFormat="1" ht="35.25" customHeight="1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</row>
    <row r="33" spans="1:11" s="1" customFormat="1" ht="16.5" x14ac:dyDescent="0.25">
      <c r="A33" s="100"/>
      <c r="B33" s="101"/>
      <c r="C33" s="11"/>
      <c r="D33" s="11"/>
      <c r="E33" s="11"/>
      <c r="F33" s="11"/>
      <c r="G33" s="11"/>
      <c r="H33" s="5"/>
      <c r="I33" s="5"/>
      <c r="J33" s="5"/>
      <c r="K33" s="5"/>
    </row>
    <row r="34" spans="1:11" s="1" customFormat="1" ht="16.5" x14ac:dyDescent="0.25">
      <c r="J34" s="102"/>
      <c r="K34" s="102"/>
    </row>
  </sheetData>
  <mergeCells count="29">
    <mergeCell ref="A21:K21"/>
    <mergeCell ref="A22:K22"/>
    <mergeCell ref="A33:B33"/>
    <mergeCell ref="J34:K34"/>
    <mergeCell ref="A14:H14"/>
    <mergeCell ref="K14:K16"/>
    <mergeCell ref="A15:H16"/>
    <mergeCell ref="I15:I16"/>
    <mergeCell ref="J15:J16"/>
    <mergeCell ref="C12:D12"/>
    <mergeCell ref="E12:F12"/>
    <mergeCell ref="G12:H12"/>
    <mergeCell ref="C13:D13"/>
    <mergeCell ref="E13:F13"/>
    <mergeCell ref="G13:H13"/>
    <mergeCell ref="C10:D10"/>
    <mergeCell ref="E10:F10"/>
    <mergeCell ref="G10:H10"/>
    <mergeCell ref="C11:D11"/>
    <mergeCell ref="E11:F11"/>
    <mergeCell ref="G11:H11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0D092FAF-7EA2-47D0-B5D0-ADF99E3F8BA3}"/>
  </hyperlinks>
  <pageMargins left="0.25" right="0.25" top="0.17" bottom="0.17" header="0.3" footer="0.2"/>
  <pageSetup paperSize="9" scale="77" fitToHeight="0" orientation="portrait"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E4D0A-2B88-4BF7-ADFE-890408453694}">
  <sheetPr codeName="Sheet129">
    <pageSetUpPr fitToPage="1"/>
  </sheetPr>
  <dimension ref="A1:K30"/>
  <sheetViews>
    <sheetView zoomScaleNormal="100" workbookViewId="0">
      <selection activeCell="F15" sqref="F1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97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27" t="s">
        <v>280</v>
      </c>
      <c r="C9" s="103" t="s">
        <v>977</v>
      </c>
      <c r="D9" s="104"/>
      <c r="E9" s="105" t="s">
        <v>92</v>
      </c>
      <c r="F9" s="104"/>
      <c r="G9" s="103" t="s">
        <v>978</v>
      </c>
      <c r="H9" s="104"/>
      <c r="I9" s="45">
        <v>400</v>
      </c>
      <c r="J9" s="24">
        <v>1</v>
      </c>
      <c r="K9" s="31" t="s">
        <v>324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400</v>
      </c>
      <c r="J10" s="77">
        <f>SUM(J9:J9)</f>
        <v>1</v>
      </c>
      <c r="K10" s="106" t="s">
        <v>651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400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</mergeCells>
  <hyperlinks>
    <hyperlink ref="D5" location="'Muc Luc'!A1" display="Mr Cường" xr:uid="{29FB4AA2-FE8D-479B-A799-103687405085}"/>
  </hyperlinks>
  <pageMargins left="0.25" right="0.25" top="0.17" bottom="0.17" header="0.3" footer="0.2"/>
  <pageSetup paperSize="11" scale="77" fitToHeight="0" orientation="landscape"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70AB5-3599-4676-9E78-FB1E6FBCE2A4}">
  <sheetPr codeName="Sheet130">
    <pageSetUpPr fitToPage="1"/>
  </sheetPr>
  <dimension ref="A1:K30"/>
  <sheetViews>
    <sheetView zoomScaleNormal="100" workbookViewId="0">
      <selection activeCell="M15" sqref="M1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123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40" t="s">
        <v>759</v>
      </c>
      <c r="C9" s="103" t="s">
        <v>979</v>
      </c>
      <c r="D9" s="104"/>
      <c r="E9" s="105" t="s">
        <v>92</v>
      </c>
      <c r="F9" s="104"/>
      <c r="G9" s="103" t="s">
        <v>466</v>
      </c>
      <c r="H9" s="104"/>
      <c r="I9" s="45">
        <v>200</v>
      </c>
      <c r="J9" s="24">
        <v>1</v>
      </c>
      <c r="K9" s="31" t="s">
        <v>980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200</v>
      </c>
      <c r="J10" s="77">
        <f>SUM(J9:J9)</f>
        <v>1</v>
      </c>
      <c r="K10" s="106" t="s">
        <v>651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200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93D67D20-AB65-474E-BAF3-AEF55DE0C77F}"/>
  </hyperlinks>
  <pageMargins left="0.25" right="0.25" top="0.17" bottom="0.17" header="0.3" footer="0.2"/>
  <pageSetup paperSize="11" scale="77" fitToHeight="0" orientation="landscape" r:id="rId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314E2-F5D3-4D4D-B525-694F6E428DD6}">
  <sheetPr codeName="Sheet131">
    <pageSetUpPr fitToPage="1"/>
  </sheetPr>
  <dimension ref="A1:K30"/>
  <sheetViews>
    <sheetView zoomScaleNormal="100" workbookViewId="0">
      <selection activeCell="J15" sqref="J1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27" t="s">
        <v>505</v>
      </c>
      <c r="C9" s="103" t="s">
        <v>981</v>
      </c>
      <c r="D9" s="104"/>
      <c r="E9" s="105" t="s">
        <v>92</v>
      </c>
      <c r="F9" s="104"/>
      <c r="G9" s="103" t="s">
        <v>466</v>
      </c>
      <c r="H9" s="104"/>
      <c r="I9" s="45">
        <v>100</v>
      </c>
      <c r="J9" s="24">
        <v>1</v>
      </c>
      <c r="K9" s="31" t="s">
        <v>982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100</v>
      </c>
      <c r="J10" s="77">
        <f>SUM(J9:J9)</f>
        <v>1</v>
      </c>
      <c r="K10" s="106" t="s">
        <v>651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100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</mergeCells>
  <hyperlinks>
    <hyperlink ref="D5" location="'Muc Luc'!A1" display="Mr Cường" xr:uid="{FC65EEA5-2878-4096-9567-4A226D417138}"/>
  </hyperlinks>
  <pageMargins left="0.25" right="0.25" top="0.17" bottom="0.17" header="0.3" footer="0.2"/>
  <pageSetup paperSize="11" scale="77" fitToHeight="0" orientation="landscape" r:id="rId1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47FB7-09A6-44F5-B715-77CEA63ED83B}">
  <sheetPr codeName="Sheet132">
    <pageSetUpPr fitToPage="1"/>
  </sheetPr>
  <dimension ref="A1:K30"/>
  <sheetViews>
    <sheetView zoomScaleNormal="100" workbookViewId="0">
      <selection activeCell="K15" sqref="K1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40" t="s">
        <v>273</v>
      </c>
      <c r="C9" s="103" t="s">
        <v>983</v>
      </c>
      <c r="D9" s="104"/>
      <c r="E9" s="105" t="s">
        <v>92</v>
      </c>
      <c r="F9" s="104"/>
      <c r="G9" s="103" t="s">
        <v>795</v>
      </c>
      <c r="H9" s="104"/>
      <c r="I9" s="45">
        <v>400</v>
      </c>
      <c r="J9" s="24">
        <v>1</v>
      </c>
      <c r="K9" s="31" t="s">
        <v>985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400</v>
      </c>
      <c r="J10" s="77">
        <f>SUM(J9:J9)</f>
        <v>1</v>
      </c>
      <c r="K10" s="106" t="s">
        <v>984</v>
      </c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400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</mergeCells>
  <hyperlinks>
    <hyperlink ref="D5" location="'Muc Luc'!A1" display="Mr Cường" xr:uid="{28CBA210-9767-47C4-A310-4A25791740F0}"/>
  </hyperlinks>
  <pageMargins left="0.25" right="0.25" top="0.17" bottom="0.17" header="0.3" footer="0.2"/>
  <pageSetup paperSize="11" scale="77" fitToHeight="0" orientation="landscape" r:id="rId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DF1E4-6F16-4D5D-87DC-E58262ED91CE}">
  <sheetPr codeName="Sheet133">
    <pageSetUpPr fitToPage="1"/>
  </sheetPr>
  <dimension ref="A1:K31"/>
  <sheetViews>
    <sheetView zoomScaleNormal="100" workbookViewId="0">
      <selection activeCell="K16" sqref="K16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27" t="s">
        <v>505</v>
      </c>
      <c r="C9" s="103" t="s">
        <v>986</v>
      </c>
      <c r="D9" s="104"/>
      <c r="E9" s="105" t="s">
        <v>92</v>
      </c>
      <c r="F9" s="104"/>
      <c r="G9" s="103" t="s">
        <v>466</v>
      </c>
      <c r="H9" s="104"/>
      <c r="I9" s="45">
        <v>100</v>
      </c>
      <c r="J9" s="24">
        <v>1</v>
      </c>
      <c r="K9" s="31" t="s">
        <v>988</v>
      </c>
    </row>
    <row r="10" spans="1:11" s="1" customFormat="1" ht="30.75" customHeight="1" x14ac:dyDescent="0.25">
      <c r="A10" s="63">
        <v>2</v>
      </c>
      <c r="B10" s="27" t="s">
        <v>505</v>
      </c>
      <c r="C10" s="103" t="s">
        <v>987</v>
      </c>
      <c r="D10" s="104"/>
      <c r="E10" s="105" t="s">
        <v>92</v>
      </c>
      <c r="F10" s="104"/>
      <c r="G10" s="103" t="s">
        <v>466</v>
      </c>
      <c r="H10" s="104"/>
      <c r="I10" s="45">
        <v>100</v>
      </c>
      <c r="J10" s="24">
        <v>1</v>
      </c>
      <c r="K10" s="31" t="s">
        <v>989</v>
      </c>
    </row>
    <row r="11" spans="1:11" s="1" customFormat="1" ht="33" customHeight="1" x14ac:dyDescent="0.25">
      <c r="A11" s="106" t="s">
        <v>7</v>
      </c>
      <c r="B11" s="106"/>
      <c r="C11" s="106"/>
      <c r="D11" s="106"/>
      <c r="E11" s="106"/>
      <c r="F11" s="106"/>
      <c r="G11" s="106"/>
      <c r="H11" s="106"/>
      <c r="I11" s="77">
        <f>SUM(I9:I10)</f>
        <v>200</v>
      </c>
      <c r="J11" s="77">
        <f>SUM(J9:J10)</f>
        <v>2</v>
      </c>
      <c r="K11" s="106"/>
    </row>
    <row r="12" spans="1:11" s="1" customFormat="1" ht="16.5" x14ac:dyDescent="0.25">
      <c r="A12" s="108" t="s">
        <v>19</v>
      </c>
      <c r="B12" s="108"/>
      <c r="C12" s="108"/>
      <c r="D12" s="108"/>
      <c r="E12" s="108"/>
      <c r="F12" s="108"/>
      <c r="G12" s="108"/>
      <c r="H12" s="108"/>
      <c r="I12" s="108">
        <f>I11</f>
        <v>200</v>
      </c>
      <c r="J12" s="106">
        <f>J11</f>
        <v>2</v>
      </c>
      <c r="K12" s="106"/>
    </row>
    <row r="13" spans="1:11" ht="15" customHeight="1" x14ac:dyDescent="0.25">
      <c r="A13" s="108"/>
      <c r="B13" s="108"/>
      <c r="C13" s="108"/>
      <c r="D13" s="108"/>
      <c r="E13" s="108"/>
      <c r="F13" s="108"/>
      <c r="G13" s="108"/>
      <c r="H13" s="108"/>
      <c r="I13" s="108"/>
      <c r="J13" s="106"/>
      <c r="K13" s="106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A19:K19"/>
    <mergeCell ref="A30:B30"/>
    <mergeCell ref="J31:K31"/>
    <mergeCell ref="C10:D10"/>
    <mergeCell ref="E10:F10"/>
    <mergeCell ref="G10:H10"/>
    <mergeCell ref="A11:H11"/>
    <mergeCell ref="K11:K13"/>
    <mergeCell ref="A12:H13"/>
    <mergeCell ref="I12:I13"/>
    <mergeCell ref="J12:J13"/>
    <mergeCell ref="A18:K18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B72180A9-9493-49EC-8702-F1BB3DB30E53}"/>
  </hyperlinks>
  <pageMargins left="0.25" right="0.25" top="0.17" bottom="0.17" header="0.3" footer="0.2"/>
  <pageSetup paperSize="11" scale="77" fitToHeight="0" orientation="landscape" r:id="rId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B127-ACB7-4891-913A-EEDE2AF36BDE}">
  <sheetPr codeName="Sheet135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123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7" t="s">
        <v>994</v>
      </c>
      <c r="C9" s="103" t="s">
        <v>995</v>
      </c>
      <c r="D9" s="104"/>
      <c r="E9" s="105" t="s">
        <v>92</v>
      </c>
      <c r="F9" s="104"/>
      <c r="G9" s="103" t="s">
        <v>453</v>
      </c>
      <c r="H9" s="104"/>
      <c r="I9" s="45">
        <v>400</v>
      </c>
      <c r="J9" s="24">
        <v>1</v>
      </c>
      <c r="K9" s="31" t="s">
        <v>996</v>
      </c>
    </row>
    <row r="10" spans="1:11" s="1" customFormat="1" ht="30.75" customHeight="1" x14ac:dyDescent="0.25">
      <c r="A10" s="63">
        <v>2</v>
      </c>
      <c r="B10" s="30" t="s">
        <v>137</v>
      </c>
      <c r="C10" s="103" t="s">
        <v>997</v>
      </c>
      <c r="D10" s="104"/>
      <c r="E10" s="105" t="s">
        <v>17</v>
      </c>
      <c r="F10" s="104"/>
      <c r="G10" s="103" t="s">
        <v>466</v>
      </c>
      <c r="H10" s="104"/>
      <c r="I10" s="45">
        <v>300</v>
      </c>
      <c r="J10" s="24">
        <v>1</v>
      </c>
      <c r="K10" s="31" t="s">
        <v>998</v>
      </c>
    </row>
    <row r="11" spans="1:11" s="1" customFormat="1" ht="33" customHeight="1" x14ac:dyDescent="0.25">
      <c r="A11" s="106" t="s">
        <v>7</v>
      </c>
      <c r="B11" s="106"/>
      <c r="C11" s="106"/>
      <c r="D11" s="106"/>
      <c r="E11" s="106"/>
      <c r="F11" s="106"/>
      <c r="G11" s="106"/>
      <c r="H11" s="106"/>
      <c r="I11" s="77">
        <f>SUM(I9:I10)</f>
        <v>700</v>
      </c>
      <c r="J11" s="77">
        <f>SUM(J9:J10)</f>
        <v>2</v>
      </c>
      <c r="K11" s="106"/>
    </row>
    <row r="12" spans="1:11" s="1" customFormat="1" ht="16.5" x14ac:dyDescent="0.25">
      <c r="A12" s="108" t="s">
        <v>19</v>
      </c>
      <c r="B12" s="108"/>
      <c r="C12" s="108"/>
      <c r="D12" s="108"/>
      <c r="E12" s="108"/>
      <c r="F12" s="108"/>
      <c r="G12" s="108"/>
      <c r="H12" s="108"/>
      <c r="I12" s="108">
        <f>I11</f>
        <v>700</v>
      </c>
      <c r="J12" s="106">
        <f>J11</f>
        <v>2</v>
      </c>
      <c r="K12" s="106"/>
    </row>
    <row r="13" spans="1:11" ht="15" customHeight="1" x14ac:dyDescent="0.25">
      <c r="A13" s="108"/>
      <c r="B13" s="108"/>
      <c r="C13" s="108"/>
      <c r="D13" s="108"/>
      <c r="E13" s="108"/>
      <c r="F13" s="108"/>
      <c r="G13" s="108"/>
      <c r="H13" s="108"/>
      <c r="I13" s="108"/>
      <c r="J13" s="106"/>
      <c r="K13" s="106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A18:K18"/>
    <mergeCell ref="A19:K19"/>
    <mergeCell ref="A30:B30"/>
    <mergeCell ref="J31:K31"/>
    <mergeCell ref="C10:D10"/>
    <mergeCell ref="E10:F10"/>
    <mergeCell ref="G10:H10"/>
    <mergeCell ref="A11:H11"/>
    <mergeCell ref="K11:K13"/>
    <mergeCell ref="A12:H13"/>
    <mergeCell ref="I12:I13"/>
    <mergeCell ref="J12:J13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0A5A9621-3B07-4C21-BDBF-D8C2214C3A11}"/>
  </hyperlinks>
  <pageMargins left="0.25" right="0.25" top="0.17" bottom="0.17" header="0.3" footer="0.2"/>
  <pageSetup paperSize="11" scale="77" fitToHeight="0" orientation="landscape" r:id="rId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12A0B-23BB-4C1E-9C4D-481A10986FD2}">
  <sheetPr codeName="Sheet137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190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30" t="s">
        <v>193</v>
      </c>
      <c r="C9" s="103" t="s">
        <v>1002</v>
      </c>
      <c r="D9" s="104"/>
      <c r="E9" s="105" t="s">
        <v>92</v>
      </c>
      <c r="F9" s="104"/>
      <c r="G9" s="103" t="s">
        <v>466</v>
      </c>
      <c r="H9" s="104"/>
      <c r="I9" s="45">
        <v>500</v>
      </c>
      <c r="J9" s="24">
        <v>1</v>
      </c>
      <c r="K9" s="31" t="s">
        <v>1003</v>
      </c>
    </row>
    <row r="10" spans="1:11" s="1" customFormat="1" ht="30.75" customHeight="1" x14ac:dyDescent="0.25">
      <c r="A10" s="63">
        <v>2</v>
      </c>
      <c r="B10" s="40" t="s">
        <v>259</v>
      </c>
      <c r="C10" s="103" t="s">
        <v>1004</v>
      </c>
      <c r="D10" s="104"/>
      <c r="E10" s="105" t="s">
        <v>92</v>
      </c>
      <c r="F10" s="104"/>
      <c r="G10" s="103" t="s">
        <v>453</v>
      </c>
      <c r="H10" s="104"/>
      <c r="I10" s="45">
        <v>200</v>
      </c>
      <c r="J10" s="24">
        <v>1</v>
      </c>
      <c r="K10" s="31" t="s">
        <v>1005</v>
      </c>
    </row>
    <row r="11" spans="1:11" s="1" customFormat="1" ht="33" customHeight="1" x14ac:dyDescent="0.25">
      <c r="A11" s="106" t="s">
        <v>7</v>
      </c>
      <c r="B11" s="106"/>
      <c r="C11" s="106"/>
      <c r="D11" s="106"/>
      <c r="E11" s="106"/>
      <c r="F11" s="106"/>
      <c r="G11" s="106"/>
      <c r="H11" s="106"/>
      <c r="I11" s="77">
        <f>SUM(I9:I10)</f>
        <v>700</v>
      </c>
      <c r="J11" s="77">
        <f>SUM(J9:J10)</f>
        <v>2</v>
      </c>
      <c r="K11" s="106"/>
    </row>
    <row r="12" spans="1:11" s="1" customFormat="1" ht="16.5" x14ac:dyDescent="0.25">
      <c r="A12" s="108" t="s">
        <v>19</v>
      </c>
      <c r="B12" s="108"/>
      <c r="C12" s="108"/>
      <c r="D12" s="108"/>
      <c r="E12" s="108"/>
      <c r="F12" s="108"/>
      <c r="G12" s="108"/>
      <c r="H12" s="108"/>
      <c r="I12" s="108">
        <f>I11</f>
        <v>700</v>
      </c>
      <c r="J12" s="106">
        <f>J11</f>
        <v>2</v>
      </c>
      <c r="K12" s="106"/>
    </row>
    <row r="13" spans="1:11" ht="15" customHeight="1" x14ac:dyDescent="0.25">
      <c r="A13" s="108"/>
      <c r="B13" s="108"/>
      <c r="C13" s="108"/>
      <c r="D13" s="108"/>
      <c r="E13" s="108"/>
      <c r="F13" s="108"/>
      <c r="G13" s="108"/>
      <c r="H13" s="108"/>
      <c r="I13" s="108"/>
      <c r="J13" s="106"/>
      <c r="K13" s="106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19:K19"/>
    <mergeCell ref="A30:B30"/>
    <mergeCell ref="J31:K31"/>
    <mergeCell ref="C10:D10"/>
    <mergeCell ref="E10:F10"/>
    <mergeCell ref="G10:H10"/>
    <mergeCell ref="A11:H11"/>
    <mergeCell ref="K11:K13"/>
    <mergeCell ref="A12:H13"/>
    <mergeCell ref="I12:I13"/>
    <mergeCell ref="J12:J13"/>
  </mergeCells>
  <hyperlinks>
    <hyperlink ref="D5" location="'Muc Luc'!A1" display="Mr Cường" xr:uid="{8B1EAD48-037B-4FE8-B951-ABD917CB0FB2}"/>
  </hyperlinks>
  <pageMargins left="0.25" right="0.25" top="0.17" bottom="0.17" header="0.3" footer="0.2"/>
  <pageSetup paperSize="11" scale="77" fitToHeight="0" orientation="landscape" r:id="rId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B3067-A207-4336-A30A-ED8B986CF7D5}">
  <sheetPr codeName="Sheet134">
    <pageSetUpPr fitToPage="1"/>
  </sheetPr>
  <dimension ref="A1:K30"/>
  <sheetViews>
    <sheetView zoomScaleNormal="100" workbookViewId="0">
      <selection activeCell="A11" sqref="A11:H12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990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27" t="s">
        <v>991</v>
      </c>
      <c r="C9" s="103" t="s">
        <v>992</v>
      </c>
      <c r="D9" s="104"/>
      <c r="E9" s="105" t="s">
        <v>92</v>
      </c>
      <c r="F9" s="104"/>
      <c r="G9" s="103" t="s">
        <v>469</v>
      </c>
      <c r="H9" s="104"/>
      <c r="I9" s="45">
        <v>200</v>
      </c>
      <c r="J9" s="24">
        <v>1</v>
      </c>
      <c r="K9" s="31" t="s">
        <v>993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200</v>
      </c>
      <c r="J10" s="77">
        <f>SUM(J9:J9)</f>
        <v>1</v>
      </c>
      <c r="K10" s="106"/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200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7:K17"/>
    <mergeCell ref="A18:K18"/>
    <mergeCell ref="A29:B29"/>
    <mergeCell ref="J30:K30"/>
    <mergeCell ref="A10:H10"/>
    <mergeCell ref="K10:K12"/>
    <mergeCell ref="A11:H12"/>
    <mergeCell ref="I11:I12"/>
    <mergeCell ref="J11:J12"/>
  </mergeCells>
  <hyperlinks>
    <hyperlink ref="D5" location="'Muc Luc'!A1" display="Mr Cường" xr:uid="{7EA73F99-F4B0-4E65-AACD-9018401E39DB}"/>
  </hyperlinks>
  <pageMargins left="0.25" right="0.25" top="0.17" bottom="0.17" header="0.3" footer="0.2"/>
  <pageSetup paperSize="11" scale="77" fitToHeight="0" orientation="landscape" r:id="rId1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742AE-777B-4B9C-BCAC-FD1A06544C20}">
  <sheetPr codeName="Sheet136">
    <pageSetUpPr fitToPage="1"/>
  </sheetPr>
  <dimension ref="A1:K30"/>
  <sheetViews>
    <sheetView zoomScaleNormal="100" workbookViewId="0">
      <selection activeCell="I15" sqref="I1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999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39" t="s">
        <v>257</v>
      </c>
      <c r="C9" s="103" t="s">
        <v>1000</v>
      </c>
      <c r="D9" s="104"/>
      <c r="E9" s="105" t="s">
        <v>92</v>
      </c>
      <c r="F9" s="104"/>
      <c r="G9" s="103" t="s">
        <v>453</v>
      </c>
      <c r="H9" s="104"/>
      <c r="I9" s="45">
        <v>384</v>
      </c>
      <c r="J9" s="24">
        <v>1</v>
      </c>
      <c r="K9" s="31" t="s">
        <v>1001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384</v>
      </c>
      <c r="J10" s="77">
        <f>SUM(J9:J9)</f>
        <v>1</v>
      </c>
      <c r="K10" s="106"/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384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  <mergeCell ref="C9:D9"/>
    <mergeCell ref="E9:F9"/>
    <mergeCell ref="G9:H9"/>
    <mergeCell ref="A2:K2"/>
    <mergeCell ref="A3:K3"/>
    <mergeCell ref="C8:D8"/>
    <mergeCell ref="E8:F8"/>
    <mergeCell ref="G8:H8"/>
  </mergeCells>
  <hyperlinks>
    <hyperlink ref="D5" location="'Muc Luc'!A1" display="Mr Cường" xr:uid="{4A7CD259-A3AB-4B42-B16B-02853AC032C1}"/>
  </hyperlinks>
  <pageMargins left="0.25" right="0.25" top="0.17" bottom="0.17" header="0.3" footer="0.2"/>
  <pageSetup paperSize="11" scale="77" fitToHeight="0" orientation="landscape" r:id="rId1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3FB1B-3150-4ED6-A9FC-6C93F5B486A9}">
  <sheetPr codeName="Sheet125">
    <pageSetUpPr fitToPage="1"/>
  </sheetPr>
  <dimension ref="A1:K33"/>
  <sheetViews>
    <sheetView zoomScaleNormal="100" workbookViewId="0">
      <selection activeCell="M15" sqref="M1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27" t="s">
        <v>169</v>
      </c>
      <c r="C9" s="103" t="s">
        <v>937</v>
      </c>
      <c r="D9" s="104"/>
      <c r="E9" s="105" t="s">
        <v>92</v>
      </c>
      <c r="F9" s="104"/>
      <c r="G9" s="103" t="s">
        <v>466</v>
      </c>
      <c r="H9" s="104"/>
      <c r="I9" s="45">
        <v>100</v>
      </c>
      <c r="J9" s="24">
        <v>1</v>
      </c>
      <c r="K9" s="31" t="s">
        <v>940</v>
      </c>
    </row>
    <row r="10" spans="1:11" s="1" customFormat="1" ht="30.75" customHeight="1" x14ac:dyDescent="0.25">
      <c r="A10" s="63">
        <v>2</v>
      </c>
      <c r="B10" s="27" t="s">
        <v>169</v>
      </c>
      <c r="C10" s="103" t="s">
        <v>938</v>
      </c>
      <c r="D10" s="104"/>
      <c r="E10" s="105" t="s">
        <v>92</v>
      </c>
      <c r="F10" s="104"/>
      <c r="G10" s="103" t="s">
        <v>466</v>
      </c>
      <c r="H10" s="104"/>
      <c r="I10" s="45">
        <v>100</v>
      </c>
      <c r="J10" s="24">
        <v>1</v>
      </c>
      <c r="K10" s="31" t="s">
        <v>941</v>
      </c>
    </row>
    <row r="11" spans="1:11" s="1" customFormat="1" ht="30.75" customHeight="1" x14ac:dyDescent="0.25">
      <c r="A11" s="63">
        <v>3</v>
      </c>
      <c r="B11" s="27" t="s">
        <v>169</v>
      </c>
      <c r="C11" s="103" t="s">
        <v>939</v>
      </c>
      <c r="D11" s="104"/>
      <c r="E11" s="105" t="s">
        <v>92</v>
      </c>
      <c r="F11" s="104"/>
      <c r="G11" s="103" t="s">
        <v>466</v>
      </c>
      <c r="H11" s="104"/>
      <c r="I11" s="45">
        <v>100</v>
      </c>
      <c r="J11" s="24">
        <v>1</v>
      </c>
      <c r="K11" s="31" t="s">
        <v>942</v>
      </c>
    </row>
    <row r="12" spans="1:11" s="1" customFormat="1" ht="30.75" customHeight="1" x14ac:dyDescent="0.25">
      <c r="A12" s="63">
        <v>4</v>
      </c>
      <c r="B12" s="94" t="s">
        <v>803</v>
      </c>
      <c r="C12" s="103" t="s">
        <v>943</v>
      </c>
      <c r="D12" s="104"/>
      <c r="E12" s="105" t="s">
        <v>17</v>
      </c>
      <c r="F12" s="104"/>
      <c r="G12" s="103" t="s">
        <v>128</v>
      </c>
      <c r="H12" s="104"/>
      <c r="I12" s="45">
        <v>300</v>
      </c>
      <c r="J12" s="24">
        <v>1</v>
      </c>
      <c r="K12" s="31" t="s">
        <v>805</v>
      </c>
    </row>
    <row r="13" spans="1:11" s="1" customFormat="1" ht="33" customHeight="1" x14ac:dyDescent="0.25">
      <c r="A13" s="106" t="s">
        <v>7</v>
      </c>
      <c r="B13" s="106"/>
      <c r="C13" s="106"/>
      <c r="D13" s="106"/>
      <c r="E13" s="106"/>
      <c r="F13" s="106"/>
      <c r="G13" s="106"/>
      <c r="H13" s="106"/>
      <c r="I13" s="77">
        <f>SUM(I9:I12)</f>
        <v>600</v>
      </c>
      <c r="J13" s="77">
        <f>SUM(J9:J12)</f>
        <v>4</v>
      </c>
      <c r="K13" s="106" t="s">
        <v>651</v>
      </c>
    </row>
    <row r="14" spans="1:11" s="1" customFormat="1" ht="16.5" x14ac:dyDescent="0.25">
      <c r="A14" s="108" t="s">
        <v>19</v>
      </c>
      <c r="B14" s="108"/>
      <c r="C14" s="108"/>
      <c r="D14" s="108"/>
      <c r="E14" s="108"/>
      <c r="F14" s="108"/>
      <c r="G14" s="108"/>
      <c r="H14" s="108"/>
      <c r="I14" s="108">
        <f>I13</f>
        <v>600</v>
      </c>
      <c r="J14" s="106">
        <f>J13</f>
        <v>4</v>
      </c>
      <c r="K14" s="106"/>
    </row>
    <row r="15" spans="1:11" ht="15" customHeight="1" x14ac:dyDescent="0.25">
      <c r="A15" s="108"/>
      <c r="B15" s="108"/>
      <c r="C15" s="108"/>
      <c r="D15" s="108"/>
      <c r="E15" s="108"/>
      <c r="F15" s="108"/>
      <c r="G15" s="108"/>
      <c r="H15" s="108"/>
      <c r="I15" s="108"/>
      <c r="J15" s="106"/>
      <c r="K15" s="106"/>
    </row>
    <row r="17" spans="1:11" x14ac:dyDescent="0.25">
      <c r="B17" s="10" t="s">
        <v>62</v>
      </c>
      <c r="H17" t="s">
        <v>23</v>
      </c>
    </row>
    <row r="18" spans="1:11" ht="101.25" customHeight="1" x14ac:dyDescent="0.25">
      <c r="B18" s="10"/>
    </row>
    <row r="19" spans="1:11" s="1" customFormat="1" ht="16.5" x14ac:dyDescent="0.25"/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1:11" s="1" customFormat="1" ht="20.2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</row>
    <row r="23" spans="1:11" s="1" customFormat="1" ht="16.5" x14ac:dyDescent="0.25"/>
    <row r="24" spans="1:11" s="1" customFormat="1" ht="16.5" x14ac:dyDescent="0.25"/>
    <row r="25" spans="1:11" s="1" customFormat="1" ht="19.5" customHeight="1" x14ac:dyDescent="0.25"/>
    <row r="26" spans="1:11" s="1" customFormat="1" ht="30.75" customHeight="1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1" s="1" customFormat="1" ht="35.25" customHeight="1" x14ac:dyDescent="0.2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1" s="1" customFormat="1" ht="16.5" x14ac:dyDescent="0.25">
      <c r="A32" s="100"/>
      <c r="B32" s="101"/>
      <c r="C32" s="11"/>
      <c r="D32" s="11"/>
      <c r="E32" s="11"/>
      <c r="F32" s="11"/>
      <c r="G32" s="11"/>
      <c r="H32" s="5"/>
      <c r="I32" s="5"/>
      <c r="J32" s="5"/>
      <c r="K32" s="5"/>
    </row>
    <row r="33" spans="10:11" s="1" customFormat="1" ht="16.5" x14ac:dyDescent="0.25">
      <c r="J33" s="102"/>
      <c r="K33" s="102"/>
    </row>
  </sheetData>
  <mergeCells count="26">
    <mergeCell ref="C9:D9"/>
    <mergeCell ref="E9:F9"/>
    <mergeCell ref="G9:H9"/>
    <mergeCell ref="A2:K2"/>
    <mergeCell ref="A3:K3"/>
    <mergeCell ref="C8:D8"/>
    <mergeCell ref="E8:F8"/>
    <mergeCell ref="G8:H8"/>
    <mergeCell ref="C12:D12"/>
    <mergeCell ref="E12:F12"/>
    <mergeCell ref="G12:H12"/>
    <mergeCell ref="C10:D10"/>
    <mergeCell ref="E10:F10"/>
    <mergeCell ref="G10:H10"/>
    <mergeCell ref="C11:D11"/>
    <mergeCell ref="E11:F11"/>
    <mergeCell ref="G11:H11"/>
    <mergeCell ref="A20:K20"/>
    <mergeCell ref="A21:K21"/>
    <mergeCell ref="A32:B32"/>
    <mergeCell ref="J33:K33"/>
    <mergeCell ref="A13:H13"/>
    <mergeCell ref="K13:K15"/>
    <mergeCell ref="A14:H15"/>
    <mergeCell ref="I14:I15"/>
    <mergeCell ref="J14:J15"/>
  </mergeCells>
  <phoneticPr fontId="21" type="noConversion"/>
  <hyperlinks>
    <hyperlink ref="D5" location="'Muc Luc'!A1" display="Mr Cường" xr:uid="{A1D497FC-3665-487D-9EA8-0D1F74724B7C}"/>
  </hyperlinks>
  <pageMargins left="0.25" right="0.25" top="0.17" bottom="0.17" header="0.3" footer="0.2"/>
  <pageSetup paperSize="9" scale="77" fitToHeight="0" orientation="portrait"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E2DA3-12DD-4B69-AD61-0643BB951F5C}">
  <sheetPr codeName="Sheet126">
    <pageSetUpPr fitToPage="1"/>
  </sheetPr>
  <dimension ref="A1:K33"/>
  <sheetViews>
    <sheetView zoomScaleNormal="100" workbookViewId="0">
      <selection activeCell="A13" sqref="A13:H13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25" t="s">
        <v>157</v>
      </c>
      <c r="C9" s="103" t="s">
        <v>944</v>
      </c>
      <c r="D9" s="104"/>
      <c r="E9" s="105" t="s">
        <v>92</v>
      </c>
      <c r="F9" s="104"/>
      <c r="G9" s="103" t="s">
        <v>466</v>
      </c>
      <c r="H9" s="104"/>
      <c r="I9" s="45">
        <v>100</v>
      </c>
      <c r="J9" s="24">
        <v>1</v>
      </c>
      <c r="K9" s="31" t="s">
        <v>945</v>
      </c>
    </row>
    <row r="10" spans="1:11" s="1" customFormat="1" ht="30.75" customHeight="1" x14ac:dyDescent="0.25">
      <c r="A10" s="63">
        <v>2</v>
      </c>
      <c r="B10" s="27" t="s">
        <v>505</v>
      </c>
      <c r="C10" s="103" t="s">
        <v>946</v>
      </c>
      <c r="D10" s="104"/>
      <c r="E10" s="105" t="s">
        <v>92</v>
      </c>
      <c r="F10" s="104"/>
      <c r="G10" s="103" t="s">
        <v>466</v>
      </c>
      <c r="H10" s="104"/>
      <c r="I10" s="45">
        <v>100</v>
      </c>
      <c r="J10" s="24">
        <v>1</v>
      </c>
      <c r="K10" s="31" t="s">
        <v>949</v>
      </c>
    </row>
    <row r="11" spans="1:11" s="1" customFormat="1" ht="30.75" customHeight="1" x14ac:dyDescent="0.25">
      <c r="A11" s="63">
        <v>3</v>
      </c>
      <c r="B11" s="27" t="s">
        <v>505</v>
      </c>
      <c r="C11" s="103" t="s">
        <v>947</v>
      </c>
      <c r="D11" s="104"/>
      <c r="E11" s="105" t="s">
        <v>92</v>
      </c>
      <c r="F11" s="104"/>
      <c r="G11" s="103" t="s">
        <v>466</v>
      </c>
      <c r="H11" s="104"/>
      <c r="I11" s="45">
        <v>100</v>
      </c>
      <c r="J11" s="24">
        <v>1</v>
      </c>
      <c r="K11" s="31" t="s">
        <v>950</v>
      </c>
    </row>
    <row r="12" spans="1:11" s="1" customFormat="1" ht="30.75" customHeight="1" x14ac:dyDescent="0.25">
      <c r="A12" s="63">
        <v>4</v>
      </c>
      <c r="B12" s="27" t="s">
        <v>505</v>
      </c>
      <c r="C12" s="103" t="s">
        <v>948</v>
      </c>
      <c r="D12" s="104"/>
      <c r="E12" s="105" t="s">
        <v>92</v>
      </c>
      <c r="F12" s="104"/>
      <c r="G12" s="103" t="s">
        <v>466</v>
      </c>
      <c r="H12" s="104"/>
      <c r="I12" s="45">
        <v>300</v>
      </c>
      <c r="J12" s="24">
        <v>1</v>
      </c>
      <c r="K12" s="31" t="s">
        <v>951</v>
      </c>
    </row>
    <row r="13" spans="1:11" s="1" customFormat="1" ht="33" customHeight="1" x14ac:dyDescent="0.25">
      <c r="A13" s="106" t="s">
        <v>7</v>
      </c>
      <c r="B13" s="106"/>
      <c r="C13" s="106"/>
      <c r="D13" s="106"/>
      <c r="E13" s="106"/>
      <c r="F13" s="106"/>
      <c r="G13" s="106"/>
      <c r="H13" s="106"/>
      <c r="I13" s="77">
        <f>SUM(I9:I12)</f>
        <v>600</v>
      </c>
      <c r="J13" s="77">
        <f>SUM(J9:J12)</f>
        <v>4</v>
      </c>
      <c r="K13" s="106" t="s">
        <v>651</v>
      </c>
    </row>
    <row r="14" spans="1:11" s="1" customFormat="1" ht="16.5" x14ac:dyDescent="0.25">
      <c r="A14" s="108" t="s">
        <v>19</v>
      </c>
      <c r="B14" s="108"/>
      <c r="C14" s="108"/>
      <c r="D14" s="108"/>
      <c r="E14" s="108"/>
      <c r="F14" s="108"/>
      <c r="G14" s="108"/>
      <c r="H14" s="108"/>
      <c r="I14" s="108">
        <f>I13</f>
        <v>600</v>
      </c>
      <c r="J14" s="106">
        <f>J13</f>
        <v>4</v>
      </c>
      <c r="K14" s="106"/>
    </row>
    <row r="15" spans="1:11" ht="15" customHeight="1" x14ac:dyDescent="0.25">
      <c r="A15" s="108"/>
      <c r="B15" s="108"/>
      <c r="C15" s="108"/>
      <c r="D15" s="108"/>
      <c r="E15" s="108"/>
      <c r="F15" s="108"/>
      <c r="G15" s="108"/>
      <c r="H15" s="108"/>
      <c r="I15" s="108"/>
      <c r="J15" s="106"/>
      <c r="K15" s="106"/>
    </row>
    <row r="17" spans="1:11" x14ac:dyDescent="0.25">
      <c r="B17" s="10" t="s">
        <v>62</v>
      </c>
      <c r="H17" t="s">
        <v>23</v>
      </c>
    </row>
    <row r="18" spans="1:11" ht="101.25" customHeight="1" x14ac:dyDescent="0.25">
      <c r="B18" s="10"/>
    </row>
    <row r="19" spans="1:11" s="1" customFormat="1" ht="16.5" x14ac:dyDescent="0.25"/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1:11" s="1" customFormat="1" ht="20.2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</row>
    <row r="23" spans="1:11" s="1" customFormat="1" ht="16.5" x14ac:dyDescent="0.25"/>
    <row r="24" spans="1:11" s="1" customFormat="1" ht="16.5" x14ac:dyDescent="0.25"/>
    <row r="25" spans="1:11" s="1" customFormat="1" ht="19.5" customHeight="1" x14ac:dyDescent="0.25"/>
    <row r="26" spans="1:11" s="1" customFormat="1" ht="30.75" customHeight="1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1" s="1" customFormat="1" ht="35.25" customHeight="1" x14ac:dyDescent="0.25">
      <c r="A31" s="3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1" s="1" customFormat="1" ht="16.5" x14ac:dyDescent="0.25">
      <c r="A32" s="100"/>
      <c r="B32" s="101"/>
      <c r="C32" s="11"/>
      <c r="D32" s="11"/>
      <c r="E32" s="11"/>
      <c r="F32" s="11"/>
      <c r="G32" s="11"/>
      <c r="H32" s="5"/>
      <c r="I32" s="5"/>
      <c r="J32" s="5"/>
      <c r="K32" s="5"/>
    </row>
    <row r="33" spans="10:11" s="1" customFormat="1" ht="16.5" x14ac:dyDescent="0.25">
      <c r="J33" s="102"/>
      <c r="K33" s="102"/>
    </row>
  </sheetData>
  <mergeCells count="26">
    <mergeCell ref="A20:K20"/>
    <mergeCell ref="A21:K21"/>
    <mergeCell ref="A32:B32"/>
    <mergeCell ref="J33:K33"/>
    <mergeCell ref="C12:D12"/>
    <mergeCell ref="E12:F12"/>
    <mergeCell ref="G12:H12"/>
    <mergeCell ref="A13:H13"/>
    <mergeCell ref="K13:K15"/>
    <mergeCell ref="A14:H15"/>
    <mergeCell ref="I14:I15"/>
    <mergeCell ref="J14:J15"/>
    <mergeCell ref="C10:D10"/>
    <mergeCell ref="E10:F10"/>
    <mergeCell ref="G10:H10"/>
    <mergeCell ref="C11:D11"/>
    <mergeCell ref="E11:F11"/>
    <mergeCell ref="G11:H11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840D2924-0904-434E-8DD1-9659453BD67A}"/>
  </hyperlinks>
  <pageMargins left="0.25" right="0.25" top="0.17" bottom="0.17" header="0.3" footer="0.2"/>
  <pageSetup paperSize="11" scale="77" fitToHeight="0" orientation="landscape"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455B5-5EBD-4455-B3D1-9E27CD110E1D}">
  <sheetPr codeName="Sheet127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190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30" t="s">
        <v>193</v>
      </c>
      <c r="C9" s="103" t="s">
        <v>952</v>
      </c>
      <c r="D9" s="104"/>
      <c r="E9" s="105" t="s">
        <v>92</v>
      </c>
      <c r="F9" s="104"/>
      <c r="G9" s="103" t="s">
        <v>466</v>
      </c>
      <c r="H9" s="104"/>
      <c r="I9" s="45">
        <v>500</v>
      </c>
      <c r="J9" s="24">
        <v>1</v>
      </c>
      <c r="K9" s="31" t="s">
        <v>954</v>
      </c>
    </row>
    <row r="10" spans="1:11" s="1" customFormat="1" ht="30.75" customHeight="1" x14ac:dyDescent="0.25">
      <c r="A10" s="63">
        <v>2</v>
      </c>
      <c r="B10" s="30" t="s">
        <v>193</v>
      </c>
      <c r="C10" s="103" t="s">
        <v>953</v>
      </c>
      <c r="D10" s="104"/>
      <c r="E10" s="105" t="s">
        <v>92</v>
      </c>
      <c r="F10" s="104"/>
      <c r="G10" s="103" t="s">
        <v>466</v>
      </c>
      <c r="H10" s="104"/>
      <c r="I10" s="45">
        <v>500</v>
      </c>
      <c r="J10" s="24">
        <v>1</v>
      </c>
      <c r="K10" s="31" t="s">
        <v>955</v>
      </c>
    </row>
    <row r="11" spans="1:11" s="1" customFormat="1" ht="33" customHeight="1" x14ac:dyDescent="0.25">
      <c r="A11" s="106" t="s">
        <v>7</v>
      </c>
      <c r="B11" s="106"/>
      <c r="C11" s="106"/>
      <c r="D11" s="106"/>
      <c r="E11" s="106"/>
      <c r="F11" s="106"/>
      <c r="G11" s="106"/>
      <c r="H11" s="106"/>
      <c r="I11" s="77">
        <f>SUM(I9:I10)</f>
        <v>1000</v>
      </c>
      <c r="J11" s="77">
        <f>SUM(J9:J10)</f>
        <v>2</v>
      </c>
      <c r="K11" s="106" t="s">
        <v>651</v>
      </c>
    </row>
    <row r="12" spans="1:11" s="1" customFormat="1" ht="16.5" x14ac:dyDescent="0.25">
      <c r="A12" s="108" t="s">
        <v>19</v>
      </c>
      <c r="B12" s="108"/>
      <c r="C12" s="108"/>
      <c r="D12" s="108"/>
      <c r="E12" s="108"/>
      <c r="F12" s="108"/>
      <c r="G12" s="108"/>
      <c r="H12" s="108"/>
      <c r="I12" s="108">
        <f>I11</f>
        <v>1000</v>
      </c>
      <c r="J12" s="106">
        <f>J11</f>
        <v>2</v>
      </c>
      <c r="K12" s="106"/>
    </row>
    <row r="13" spans="1:11" ht="15" customHeight="1" x14ac:dyDescent="0.25">
      <c r="A13" s="108"/>
      <c r="B13" s="108"/>
      <c r="C13" s="108"/>
      <c r="D13" s="108"/>
      <c r="E13" s="108"/>
      <c r="F13" s="108"/>
      <c r="G13" s="108"/>
      <c r="H13" s="108"/>
      <c r="I13" s="108"/>
      <c r="J13" s="106"/>
      <c r="K13" s="106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C10:D10"/>
    <mergeCell ref="E10:F10"/>
    <mergeCell ref="G10:H10"/>
    <mergeCell ref="A2:K2"/>
    <mergeCell ref="A3:K3"/>
    <mergeCell ref="C8:D8"/>
    <mergeCell ref="E8:F8"/>
    <mergeCell ref="G8:H8"/>
    <mergeCell ref="C9:D9"/>
    <mergeCell ref="E9:F9"/>
    <mergeCell ref="G9:H9"/>
    <mergeCell ref="A18:K18"/>
    <mergeCell ref="A19:K19"/>
    <mergeCell ref="A30:B30"/>
    <mergeCell ref="J31:K31"/>
    <mergeCell ref="A11:H11"/>
    <mergeCell ref="K11:K13"/>
    <mergeCell ref="A12:H13"/>
    <mergeCell ref="I12:I13"/>
    <mergeCell ref="J12:J13"/>
  </mergeCells>
  <phoneticPr fontId="21" type="noConversion"/>
  <hyperlinks>
    <hyperlink ref="D5" location="'Muc Luc'!A1" display="Mr Cường" xr:uid="{27EDD5CD-7078-47CF-B390-7D76AC54F38A}"/>
  </hyperlinks>
  <pageMargins left="0.25" right="0.25" top="0.17" bottom="0.17" header="0.3" footer="0.2"/>
  <pageSetup paperSize="11" scale="77" fitToHeight="0" orientation="landscape" r:id="rId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33A15-6EC3-4B17-ABC0-F8E042B8CEBB}">
  <sheetPr codeName="Sheet109">
    <pageSetUpPr fitToPage="1"/>
  </sheetPr>
  <dimension ref="A1:K34"/>
  <sheetViews>
    <sheetView zoomScaleNormal="100" workbookViewId="0">
      <selection activeCell="J11" sqref="J11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34">
        <v>45980</v>
      </c>
    </row>
    <row r="6" spans="1:11" s="1" customFormat="1" ht="16.5" x14ac:dyDescent="0.25">
      <c r="A6" s="1" t="s">
        <v>78</v>
      </c>
      <c r="D6" s="1" t="s">
        <v>147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392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27" t="s">
        <v>829</v>
      </c>
      <c r="C9" s="103" t="s">
        <v>831</v>
      </c>
      <c r="D9" s="104"/>
      <c r="E9" s="105" t="s">
        <v>17</v>
      </c>
      <c r="F9" s="104"/>
      <c r="G9" s="103" t="s">
        <v>466</v>
      </c>
      <c r="H9" s="104"/>
      <c r="I9" s="45">
        <v>500</v>
      </c>
      <c r="J9" s="24">
        <v>1</v>
      </c>
      <c r="K9" s="31" t="s">
        <v>835</v>
      </c>
    </row>
    <row r="10" spans="1:11" s="1" customFormat="1" ht="30.75" customHeight="1" x14ac:dyDescent="0.25">
      <c r="A10" s="63">
        <v>2</v>
      </c>
      <c r="B10" s="27" t="s">
        <v>829</v>
      </c>
      <c r="C10" s="103" t="s">
        <v>832</v>
      </c>
      <c r="D10" s="104"/>
      <c r="E10" s="105" t="s">
        <v>17</v>
      </c>
      <c r="F10" s="104"/>
      <c r="G10" s="103" t="s">
        <v>466</v>
      </c>
      <c r="H10" s="104"/>
      <c r="I10" s="45">
        <v>500</v>
      </c>
      <c r="J10" s="24">
        <v>1</v>
      </c>
      <c r="K10" s="31" t="s">
        <v>836</v>
      </c>
    </row>
    <row r="11" spans="1:11" s="1" customFormat="1" ht="30.75" customHeight="1" x14ac:dyDescent="0.25">
      <c r="A11" s="63">
        <v>3</v>
      </c>
      <c r="B11" s="27" t="s">
        <v>829</v>
      </c>
      <c r="C11" s="103" t="s">
        <v>833</v>
      </c>
      <c r="D11" s="104"/>
      <c r="E11" s="105" t="s">
        <v>17</v>
      </c>
      <c r="F11" s="104"/>
      <c r="G11" s="103" t="s">
        <v>466</v>
      </c>
      <c r="H11" s="104"/>
      <c r="I11" s="45">
        <v>500</v>
      </c>
      <c r="J11" s="24">
        <v>1</v>
      </c>
      <c r="K11" s="31" t="s">
        <v>837</v>
      </c>
    </row>
    <row r="12" spans="1:11" s="1" customFormat="1" ht="30.75" customHeight="1" x14ac:dyDescent="0.25">
      <c r="A12" s="63">
        <v>4</v>
      </c>
      <c r="B12" s="39" t="s">
        <v>830</v>
      </c>
      <c r="C12" s="103" t="s">
        <v>834</v>
      </c>
      <c r="D12" s="104"/>
      <c r="E12" s="105" t="s">
        <v>17</v>
      </c>
      <c r="F12" s="104"/>
      <c r="G12" s="103" t="s">
        <v>469</v>
      </c>
      <c r="H12" s="104"/>
      <c r="I12" s="45">
        <v>200</v>
      </c>
      <c r="J12" s="24">
        <v>1</v>
      </c>
      <c r="K12" s="31" t="s">
        <v>838</v>
      </c>
    </row>
    <row r="13" spans="1:11" s="1" customFormat="1" ht="30.75" customHeight="1" x14ac:dyDescent="0.25">
      <c r="A13" s="63">
        <v>5</v>
      </c>
      <c r="B13" s="30" t="s">
        <v>839</v>
      </c>
      <c r="C13" s="103" t="s">
        <v>840</v>
      </c>
      <c r="D13" s="104"/>
      <c r="E13" s="105" t="s">
        <v>92</v>
      </c>
      <c r="F13" s="104"/>
      <c r="G13" s="103" t="s">
        <v>128</v>
      </c>
      <c r="H13" s="104"/>
      <c r="I13" s="45">
        <v>50</v>
      </c>
      <c r="J13" s="24">
        <v>1</v>
      </c>
      <c r="K13" s="31" t="s">
        <v>841</v>
      </c>
    </row>
    <row r="14" spans="1:11" s="1" customFormat="1" ht="33" customHeight="1" x14ac:dyDescent="0.25">
      <c r="A14" s="106" t="s">
        <v>7</v>
      </c>
      <c r="B14" s="106"/>
      <c r="C14" s="106"/>
      <c r="D14" s="106"/>
      <c r="E14" s="106"/>
      <c r="F14" s="106"/>
      <c r="G14" s="106"/>
      <c r="H14" s="106"/>
      <c r="I14" s="77">
        <f>SUM(I9:I13)</f>
        <v>1750</v>
      </c>
      <c r="J14" s="77">
        <f>SUM(J9:J13)</f>
        <v>5</v>
      </c>
      <c r="K14" s="106" t="s">
        <v>651</v>
      </c>
    </row>
    <row r="15" spans="1:11" s="1" customFormat="1" ht="16.5" x14ac:dyDescent="0.25">
      <c r="A15" s="108" t="s">
        <v>19</v>
      </c>
      <c r="B15" s="108"/>
      <c r="C15" s="108"/>
      <c r="D15" s="108"/>
      <c r="E15" s="108"/>
      <c r="F15" s="108"/>
      <c r="G15" s="108"/>
      <c r="H15" s="108"/>
      <c r="I15" s="108">
        <f>I14</f>
        <v>1750</v>
      </c>
      <c r="J15" s="106">
        <f>J14</f>
        <v>5</v>
      </c>
      <c r="K15" s="106"/>
    </row>
    <row r="16" spans="1:11" ht="15" customHeight="1" x14ac:dyDescent="0.25">
      <c r="A16" s="108"/>
      <c r="B16" s="108"/>
      <c r="C16" s="108"/>
      <c r="D16" s="108"/>
      <c r="E16" s="108"/>
      <c r="F16" s="108"/>
      <c r="G16" s="108"/>
      <c r="H16" s="108"/>
      <c r="I16" s="108"/>
      <c r="J16" s="106"/>
      <c r="K16" s="106"/>
    </row>
    <row r="18" spans="1:11" x14ac:dyDescent="0.25">
      <c r="B18" s="10" t="s">
        <v>62</v>
      </c>
      <c r="H18" t="s">
        <v>23</v>
      </c>
    </row>
    <row r="19" spans="1:11" ht="101.25" customHeight="1" x14ac:dyDescent="0.25">
      <c r="B19" s="10"/>
    </row>
    <row r="20" spans="1:11" s="1" customFormat="1" ht="16.5" x14ac:dyDescent="0.25"/>
    <row r="21" spans="1:11" s="1" customFormat="1" ht="20.25" x14ac:dyDescent="0.3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1:11" s="1" customFormat="1" ht="20.25" x14ac:dyDescent="0.3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</row>
    <row r="23" spans="1:11" s="1" customFormat="1" ht="20.2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</row>
    <row r="24" spans="1:11" s="1" customFormat="1" ht="16.5" x14ac:dyDescent="0.25"/>
    <row r="25" spans="1:11" s="1" customFormat="1" ht="16.5" x14ac:dyDescent="0.25"/>
    <row r="26" spans="1:11" s="1" customFormat="1" ht="19.5" customHeight="1" x14ac:dyDescent="0.25"/>
    <row r="27" spans="1:11" s="1" customFormat="1" ht="30.75" customHeight="1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21"/>
    </row>
    <row r="31" spans="1:11" s="1" customFormat="1" ht="35.25" customHeight="1" x14ac:dyDescent="0.25">
      <c r="A31" s="18"/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1" s="1" customFormat="1" ht="35.25" customHeight="1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</row>
    <row r="33" spans="1:11" s="1" customFormat="1" ht="16.5" x14ac:dyDescent="0.25">
      <c r="A33" s="100"/>
      <c r="B33" s="101"/>
      <c r="C33" s="11"/>
      <c r="D33" s="11"/>
      <c r="E33" s="11"/>
      <c r="F33" s="11"/>
      <c r="G33" s="11"/>
      <c r="H33" s="5"/>
      <c r="I33" s="5"/>
      <c r="J33" s="5"/>
      <c r="K33" s="5"/>
    </row>
    <row r="34" spans="1:11" s="1" customFormat="1" ht="16.5" x14ac:dyDescent="0.25">
      <c r="J34" s="102"/>
      <c r="K34" s="102"/>
    </row>
  </sheetData>
  <mergeCells count="29">
    <mergeCell ref="A21:K21"/>
    <mergeCell ref="A22:K22"/>
    <mergeCell ref="A33:B33"/>
    <mergeCell ref="J34:K34"/>
    <mergeCell ref="C13:D13"/>
    <mergeCell ref="E13:F13"/>
    <mergeCell ref="G13:H13"/>
    <mergeCell ref="C12:D12"/>
    <mergeCell ref="E12:F12"/>
    <mergeCell ref="G12:H12"/>
    <mergeCell ref="A14:H14"/>
    <mergeCell ref="K14:K16"/>
    <mergeCell ref="A15:H16"/>
    <mergeCell ref="I15:I16"/>
    <mergeCell ref="J15:J16"/>
    <mergeCell ref="C10:D10"/>
    <mergeCell ref="E10:F10"/>
    <mergeCell ref="G10:H10"/>
    <mergeCell ref="C11:D11"/>
    <mergeCell ref="E11:F11"/>
    <mergeCell ref="G11:H11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51D4D196-52B8-4A53-802D-2625A10FC89E}"/>
  </hyperlinks>
  <pageMargins left="0.25" right="0.25" top="0.17" bottom="0.17" header="0.3" footer="0.2"/>
  <pageSetup paperSize="9" scale="77" fitToHeight="0" orientation="portrait"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64328-3BC3-492A-AB4D-DEBD4C4AFA09}">
  <sheetPr codeName="Sheet138">
    <pageSetUpPr fitToPage="1"/>
  </sheetPr>
  <dimension ref="A1:K32"/>
  <sheetViews>
    <sheetView zoomScaleNormal="100" workbookViewId="0">
      <selection activeCell="L15" sqref="L1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27" t="s">
        <v>505</v>
      </c>
      <c r="C9" s="103" t="s">
        <v>1015</v>
      </c>
      <c r="D9" s="104"/>
      <c r="E9" s="105" t="s">
        <v>92</v>
      </c>
      <c r="F9" s="104"/>
      <c r="G9" s="103" t="s">
        <v>466</v>
      </c>
      <c r="H9" s="104"/>
      <c r="I9" s="45">
        <v>100</v>
      </c>
      <c r="J9" s="24">
        <v>1</v>
      </c>
      <c r="K9" s="31" t="s">
        <v>1003</v>
      </c>
    </row>
    <row r="10" spans="1:11" s="1" customFormat="1" ht="30.75" customHeight="1" x14ac:dyDescent="0.25">
      <c r="A10" s="63">
        <v>2</v>
      </c>
      <c r="B10" s="27" t="s">
        <v>505</v>
      </c>
      <c r="C10" s="103" t="s">
        <v>1016</v>
      </c>
      <c r="D10" s="104"/>
      <c r="E10" s="105" t="s">
        <v>92</v>
      </c>
      <c r="F10" s="104"/>
      <c r="G10" s="103" t="s">
        <v>466</v>
      </c>
      <c r="H10" s="104"/>
      <c r="I10" s="45">
        <v>100</v>
      </c>
      <c r="J10" s="24">
        <v>1</v>
      </c>
      <c r="K10" s="31" t="s">
        <v>1005</v>
      </c>
    </row>
    <row r="11" spans="1:11" s="1" customFormat="1" ht="30.75" customHeight="1" x14ac:dyDescent="0.25">
      <c r="A11" s="63">
        <v>3</v>
      </c>
      <c r="B11" s="27" t="s">
        <v>1018</v>
      </c>
      <c r="C11" s="103" t="s">
        <v>1017</v>
      </c>
      <c r="D11" s="104"/>
      <c r="E11" s="105" t="s">
        <v>92</v>
      </c>
      <c r="F11" s="104"/>
      <c r="G11" s="103" t="s">
        <v>466</v>
      </c>
      <c r="H11" s="104"/>
      <c r="I11" s="45">
        <v>20</v>
      </c>
      <c r="J11" s="24">
        <v>1</v>
      </c>
      <c r="K11" s="31" t="s">
        <v>1019</v>
      </c>
    </row>
    <row r="12" spans="1:11" s="1" customFormat="1" ht="33" customHeight="1" x14ac:dyDescent="0.25">
      <c r="A12" s="106" t="s">
        <v>7</v>
      </c>
      <c r="B12" s="106"/>
      <c r="C12" s="106"/>
      <c r="D12" s="106"/>
      <c r="E12" s="106"/>
      <c r="F12" s="106"/>
      <c r="G12" s="106"/>
      <c r="H12" s="106"/>
      <c r="I12" s="77">
        <f>SUM(I9:I11)</f>
        <v>220</v>
      </c>
      <c r="J12" s="77">
        <f>SUM(J9:J11)</f>
        <v>3</v>
      </c>
      <c r="K12" s="106"/>
    </row>
    <row r="13" spans="1:11" s="1" customFormat="1" ht="16.5" x14ac:dyDescent="0.25">
      <c r="A13" s="108" t="s">
        <v>19</v>
      </c>
      <c r="B13" s="108"/>
      <c r="C13" s="108"/>
      <c r="D13" s="108"/>
      <c r="E13" s="108"/>
      <c r="F13" s="108"/>
      <c r="G13" s="108"/>
      <c r="H13" s="108"/>
      <c r="I13" s="108">
        <f>I12</f>
        <v>220</v>
      </c>
      <c r="J13" s="106">
        <f>J12</f>
        <v>3</v>
      </c>
      <c r="K13" s="106"/>
    </row>
    <row r="14" spans="1:11" ht="15" customHeight="1" x14ac:dyDescent="0.25">
      <c r="A14" s="108"/>
      <c r="B14" s="108"/>
      <c r="C14" s="108"/>
      <c r="D14" s="108"/>
      <c r="E14" s="108"/>
      <c r="F14" s="108"/>
      <c r="G14" s="108"/>
      <c r="H14" s="108"/>
      <c r="I14" s="108"/>
      <c r="J14" s="106"/>
      <c r="K14" s="106"/>
    </row>
    <row r="16" spans="1:11" x14ac:dyDescent="0.25">
      <c r="B16" s="10" t="s">
        <v>62</v>
      </c>
      <c r="H16" t="s">
        <v>23</v>
      </c>
    </row>
    <row r="17" spans="1:11" ht="101.25" customHeight="1" x14ac:dyDescent="0.25">
      <c r="B17" s="10"/>
    </row>
    <row r="18" spans="1:11" s="1" customFormat="1" ht="16.5" x14ac:dyDescent="0.25"/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</row>
    <row r="22" spans="1:11" s="1" customFormat="1" ht="16.5" x14ac:dyDescent="0.25"/>
    <row r="23" spans="1:11" s="1" customFormat="1" ht="16.5" x14ac:dyDescent="0.25"/>
    <row r="24" spans="1:11" s="1" customFormat="1" ht="19.5" customHeight="1" x14ac:dyDescent="0.25"/>
    <row r="25" spans="1:11" s="1" customFormat="1" ht="30.75" customHeight="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18"/>
      <c r="B29" s="19"/>
      <c r="C29" s="19"/>
      <c r="D29" s="19"/>
      <c r="E29" s="19"/>
      <c r="F29" s="19"/>
      <c r="G29" s="19"/>
      <c r="H29" s="19"/>
      <c r="I29" s="19"/>
      <c r="J29" s="19"/>
      <c r="K29" s="19"/>
    </row>
    <row r="30" spans="1:11" s="1" customFormat="1" ht="35.25" customHeight="1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s="1" customFormat="1" ht="16.5" x14ac:dyDescent="0.25">
      <c r="A31" s="100"/>
      <c r="B31" s="101"/>
      <c r="C31" s="11"/>
      <c r="D31" s="11"/>
      <c r="E31" s="11"/>
      <c r="F31" s="11"/>
      <c r="G31" s="11"/>
      <c r="H31" s="5"/>
      <c r="I31" s="5"/>
      <c r="J31" s="5"/>
      <c r="K31" s="5"/>
    </row>
    <row r="32" spans="1:11" s="1" customFormat="1" ht="16.5" x14ac:dyDescent="0.25">
      <c r="J32" s="102"/>
      <c r="K32" s="102"/>
    </row>
  </sheetData>
  <mergeCells count="23">
    <mergeCell ref="A19:K19"/>
    <mergeCell ref="A20:K20"/>
    <mergeCell ref="A31:B31"/>
    <mergeCell ref="J32:K32"/>
    <mergeCell ref="C11:D11"/>
    <mergeCell ref="E11:F11"/>
    <mergeCell ref="G11:H11"/>
    <mergeCell ref="C10:D10"/>
    <mergeCell ref="E10:F10"/>
    <mergeCell ref="G10:H10"/>
    <mergeCell ref="A12:H12"/>
    <mergeCell ref="K12:K14"/>
    <mergeCell ref="A13:H14"/>
    <mergeCell ref="I13:I14"/>
    <mergeCell ref="J13:J14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131F4383-655F-4467-8C8C-25E414445378}"/>
  </hyperlinks>
  <pageMargins left="0.25" right="0.25" top="0.17" bottom="0.17" header="0.3" footer="0.2"/>
  <pageSetup paperSize="11" scale="77" fitToHeight="0" orientation="landscape" r:id="rId1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10616-3D56-429E-B575-D0B122F0489A}">
  <sheetPr codeName="Sheet139">
    <pageSetUpPr fitToPage="1"/>
  </sheetPr>
  <dimension ref="A1:K34"/>
  <sheetViews>
    <sheetView zoomScaleNormal="100" workbookViewId="0">
      <selection activeCell="K14" sqref="K14:K16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990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51" t="s">
        <v>1027</v>
      </c>
      <c r="C9" s="103" t="s">
        <v>1026</v>
      </c>
      <c r="D9" s="104"/>
      <c r="E9" s="105" t="s">
        <v>92</v>
      </c>
      <c r="F9" s="104"/>
      <c r="G9" s="103" t="s">
        <v>449</v>
      </c>
      <c r="H9" s="104"/>
      <c r="I9" s="45">
        <v>100</v>
      </c>
      <c r="J9" s="24">
        <v>1</v>
      </c>
      <c r="K9" s="31" t="s">
        <v>1034</v>
      </c>
    </row>
    <row r="10" spans="1:11" s="1" customFormat="1" ht="30.75" customHeight="1" x14ac:dyDescent="0.25">
      <c r="A10" s="63">
        <v>2</v>
      </c>
      <c r="B10" s="39" t="s">
        <v>289</v>
      </c>
      <c r="C10" s="103" t="s">
        <v>1025</v>
      </c>
      <c r="D10" s="104"/>
      <c r="E10" s="105" t="s">
        <v>92</v>
      </c>
      <c r="F10" s="104"/>
      <c r="G10" s="103" t="s">
        <v>466</v>
      </c>
      <c r="H10" s="104"/>
      <c r="I10" s="45">
        <v>500</v>
      </c>
      <c r="J10" s="24">
        <v>1</v>
      </c>
      <c r="K10" s="31" t="s">
        <v>1035</v>
      </c>
    </row>
    <row r="11" spans="1:11" s="1" customFormat="1" ht="30.75" customHeight="1" x14ac:dyDescent="0.25">
      <c r="A11" s="63">
        <v>3</v>
      </c>
      <c r="B11" s="39" t="s">
        <v>1023</v>
      </c>
      <c r="C11" s="103" t="s">
        <v>1022</v>
      </c>
      <c r="D11" s="104"/>
      <c r="E11" s="105" t="s">
        <v>92</v>
      </c>
      <c r="F11" s="104"/>
      <c r="G11" s="103" t="s">
        <v>1024</v>
      </c>
      <c r="H11" s="104"/>
      <c r="I11" s="45">
        <v>300</v>
      </c>
      <c r="J11" s="24">
        <v>1</v>
      </c>
      <c r="K11" s="31" t="s">
        <v>1036</v>
      </c>
    </row>
    <row r="12" spans="1:11" s="1" customFormat="1" ht="30.75" customHeight="1" x14ac:dyDescent="0.25">
      <c r="A12" s="63">
        <v>4</v>
      </c>
      <c r="B12" s="51" t="s">
        <v>565</v>
      </c>
      <c r="C12" s="103" t="s">
        <v>1021</v>
      </c>
      <c r="D12" s="104"/>
      <c r="E12" s="105" t="s">
        <v>92</v>
      </c>
      <c r="F12" s="104"/>
      <c r="G12" s="103" t="s">
        <v>466</v>
      </c>
      <c r="H12" s="104"/>
      <c r="I12" s="45">
        <v>20</v>
      </c>
      <c r="J12" s="24">
        <v>1</v>
      </c>
      <c r="K12" s="31" t="s">
        <v>1037</v>
      </c>
    </row>
    <row r="13" spans="1:11" s="1" customFormat="1" ht="30.75" customHeight="1" x14ac:dyDescent="0.25">
      <c r="A13" s="63">
        <v>5</v>
      </c>
      <c r="B13" s="36" t="s">
        <v>167</v>
      </c>
      <c r="C13" s="103" t="s">
        <v>1020</v>
      </c>
      <c r="D13" s="104"/>
      <c r="E13" s="105" t="s">
        <v>92</v>
      </c>
      <c r="F13" s="104"/>
      <c r="G13" s="103" t="s">
        <v>469</v>
      </c>
      <c r="H13" s="104"/>
      <c r="I13" s="45">
        <v>300</v>
      </c>
      <c r="J13" s="24">
        <v>1</v>
      </c>
      <c r="K13" s="31" t="s">
        <v>1038</v>
      </c>
    </row>
    <row r="14" spans="1:11" s="1" customFormat="1" ht="33" customHeight="1" x14ac:dyDescent="0.25">
      <c r="A14" s="106" t="s">
        <v>7</v>
      </c>
      <c r="B14" s="106"/>
      <c r="C14" s="106"/>
      <c r="D14" s="106"/>
      <c r="E14" s="106"/>
      <c r="F14" s="106"/>
      <c r="G14" s="106"/>
      <c r="H14" s="106"/>
      <c r="I14" s="77">
        <f>SUM(I9:I13)</f>
        <v>1220</v>
      </c>
      <c r="J14" s="77">
        <f>SUM(J9:J13)</f>
        <v>5</v>
      </c>
      <c r="K14" s="106" t="s">
        <v>1028</v>
      </c>
    </row>
    <row r="15" spans="1:11" s="1" customFormat="1" ht="16.5" x14ac:dyDescent="0.25">
      <c r="A15" s="108" t="s">
        <v>19</v>
      </c>
      <c r="B15" s="108"/>
      <c r="C15" s="108"/>
      <c r="D15" s="108"/>
      <c r="E15" s="108"/>
      <c r="F15" s="108"/>
      <c r="G15" s="108"/>
      <c r="H15" s="108"/>
      <c r="I15" s="108">
        <f>I14</f>
        <v>1220</v>
      </c>
      <c r="J15" s="106">
        <f>J14</f>
        <v>5</v>
      </c>
      <c r="K15" s="106"/>
    </row>
    <row r="16" spans="1:11" ht="15" customHeight="1" x14ac:dyDescent="0.25">
      <c r="A16" s="108"/>
      <c r="B16" s="108"/>
      <c r="C16" s="108"/>
      <c r="D16" s="108"/>
      <c r="E16" s="108"/>
      <c r="F16" s="108"/>
      <c r="G16" s="108"/>
      <c r="H16" s="108"/>
      <c r="I16" s="108"/>
      <c r="J16" s="106"/>
      <c r="K16" s="106"/>
    </row>
    <row r="18" spans="1:11" x14ac:dyDescent="0.25">
      <c r="B18" s="10" t="s">
        <v>62</v>
      </c>
      <c r="H18" t="s">
        <v>23</v>
      </c>
    </row>
    <row r="19" spans="1:11" ht="101.25" customHeight="1" x14ac:dyDescent="0.25">
      <c r="B19" s="10"/>
    </row>
    <row r="20" spans="1:11" s="1" customFormat="1" ht="16.5" x14ac:dyDescent="0.25"/>
    <row r="21" spans="1:11" s="1" customFormat="1" ht="20.25" x14ac:dyDescent="0.3">
      <c r="A21" s="99"/>
      <c r="B21" s="99"/>
      <c r="C21" s="99"/>
      <c r="D21" s="99"/>
      <c r="E21" s="99"/>
      <c r="F21" s="99"/>
      <c r="G21" s="99"/>
      <c r="H21" s="99"/>
      <c r="I21" s="99"/>
      <c r="J21" s="99"/>
      <c r="K21" s="99"/>
    </row>
    <row r="22" spans="1:11" s="1" customFormat="1" ht="20.25" x14ac:dyDescent="0.3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</row>
    <row r="23" spans="1:11" s="1" customFormat="1" ht="20.2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</row>
    <row r="24" spans="1:11" s="1" customFormat="1" ht="16.5" x14ac:dyDescent="0.25"/>
    <row r="25" spans="1:11" s="1" customFormat="1" ht="16.5" x14ac:dyDescent="0.25"/>
    <row r="26" spans="1:11" s="1" customFormat="1" ht="19.5" customHeight="1" x14ac:dyDescent="0.25"/>
    <row r="27" spans="1:11" s="1" customFormat="1" ht="30.75" customHeight="1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21"/>
    </row>
    <row r="31" spans="1:11" s="1" customFormat="1" ht="35.25" customHeight="1" x14ac:dyDescent="0.25">
      <c r="A31" s="18"/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1" s="1" customFormat="1" ht="35.25" customHeight="1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</row>
    <row r="33" spans="1:11" s="1" customFormat="1" ht="16.5" x14ac:dyDescent="0.25">
      <c r="A33" s="100"/>
      <c r="B33" s="101"/>
      <c r="C33" s="11"/>
      <c r="D33" s="11"/>
      <c r="E33" s="11"/>
      <c r="F33" s="11"/>
      <c r="G33" s="11"/>
      <c r="H33" s="5"/>
      <c r="I33" s="5"/>
      <c r="J33" s="5"/>
      <c r="K33" s="5"/>
    </row>
    <row r="34" spans="1:11" s="1" customFormat="1" ht="16.5" x14ac:dyDescent="0.25">
      <c r="J34" s="102"/>
      <c r="K34" s="102"/>
    </row>
  </sheetData>
  <mergeCells count="29">
    <mergeCell ref="C9:D9"/>
    <mergeCell ref="E9:F9"/>
    <mergeCell ref="G9:H9"/>
    <mergeCell ref="A2:K2"/>
    <mergeCell ref="A3:K3"/>
    <mergeCell ref="C8:D8"/>
    <mergeCell ref="E8:F8"/>
    <mergeCell ref="G8:H8"/>
    <mergeCell ref="C10:D10"/>
    <mergeCell ref="E10:F10"/>
    <mergeCell ref="G10:H10"/>
    <mergeCell ref="C11:D11"/>
    <mergeCell ref="E11:F11"/>
    <mergeCell ref="G11:H11"/>
    <mergeCell ref="A22:K22"/>
    <mergeCell ref="A33:B33"/>
    <mergeCell ref="J34:K34"/>
    <mergeCell ref="C12:D12"/>
    <mergeCell ref="C13:D13"/>
    <mergeCell ref="E12:F12"/>
    <mergeCell ref="E13:F13"/>
    <mergeCell ref="G12:H12"/>
    <mergeCell ref="G13:H13"/>
    <mergeCell ref="A14:H14"/>
    <mergeCell ref="K14:K16"/>
    <mergeCell ref="A15:H16"/>
    <mergeCell ref="I15:I16"/>
    <mergeCell ref="J15:J16"/>
    <mergeCell ref="A21:K21"/>
  </mergeCells>
  <phoneticPr fontId="21" type="noConversion"/>
  <hyperlinks>
    <hyperlink ref="D5" location="'Muc Luc'!A1" display="Mr Cường" xr:uid="{4DE5C193-4F5D-447B-A9B3-2E3BF419AB48}"/>
  </hyperlinks>
  <pageMargins left="0.25" right="0.25" top="0.17" bottom="0.17" header="0.3" footer="0.2"/>
  <pageSetup paperSize="11" scale="77" fitToHeight="0" orientation="landscape" r:id="rId1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85A59-A832-4FDF-AB9F-35FBF13BC276}">
  <sheetPr codeName="Sheet144">
    <pageSetUpPr fitToPage="1"/>
  </sheetPr>
  <dimension ref="A1:K35"/>
  <sheetViews>
    <sheetView zoomScaleNormal="100" workbookViewId="0">
      <selection activeCell="M13" sqref="M13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27" t="s">
        <v>1056</v>
      </c>
      <c r="C9" s="103" t="s">
        <v>1057</v>
      </c>
      <c r="D9" s="104"/>
      <c r="E9" s="105" t="s">
        <v>17</v>
      </c>
      <c r="F9" s="104"/>
      <c r="G9" s="103" t="s">
        <v>466</v>
      </c>
      <c r="H9" s="104"/>
      <c r="I9" s="45">
        <v>500</v>
      </c>
      <c r="J9" s="24">
        <v>1</v>
      </c>
      <c r="K9" s="31" t="s">
        <v>1058</v>
      </c>
    </row>
    <row r="10" spans="1:11" s="1" customFormat="1" ht="30.75" customHeight="1" x14ac:dyDescent="0.25">
      <c r="A10" s="63">
        <v>2</v>
      </c>
      <c r="B10" s="29" t="s">
        <v>210</v>
      </c>
      <c r="C10" s="103" t="s">
        <v>1059</v>
      </c>
      <c r="D10" s="104"/>
      <c r="E10" s="105" t="s">
        <v>92</v>
      </c>
      <c r="F10" s="104"/>
      <c r="G10" s="103" t="s">
        <v>453</v>
      </c>
      <c r="H10" s="104"/>
      <c r="I10" s="45">
        <v>340</v>
      </c>
      <c r="J10" s="24">
        <v>1</v>
      </c>
      <c r="K10" s="31" t="s">
        <v>1060</v>
      </c>
    </row>
    <row r="11" spans="1:11" s="1" customFormat="1" ht="30.75" customHeight="1" x14ac:dyDescent="0.25">
      <c r="A11" s="63">
        <v>3</v>
      </c>
      <c r="B11" s="14" t="s">
        <v>303</v>
      </c>
      <c r="C11" s="103" t="s">
        <v>1061</v>
      </c>
      <c r="D11" s="104"/>
      <c r="E11" s="105" t="s">
        <v>92</v>
      </c>
      <c r="F11" s="104"/>
      <c r="G11" s="103" t="s">
        <v>453</v>
      </c>
      <c r="H11" s="104"/>
      <c r="I11" s="45">
        <v>100</v>
      </c>
      <c r="J11" s="24">
        <v>1</v>
      </c>
      <c r="K11" s="31" t="s">
        <v>1062</v>
      </c>
    </row>
    <row r="12" spans="1:11" s="1" customFormat="1" ht="30.75" customHeight="1" x14ac:dyDescent="0.25">
      <c r="A12" s="63">
        <v>4</v>
      </c>
      <c r="B12" s="27" t="s">
        <v>911</v>
      </c>
      <c r="C12" s="103" t="s">
        <v>1063</v>
      </c>
      <c r="D12" s="104"/>
      <c r="E12" s="105" t="s">
        <v>92</v>
      </c>
      <c r="F12" s="104"/>
      <c r="G12" s="103" t="s">
        <v>466</v>
      </c>
      <c r="H12" s="104"/>
      <c r="I12" s="45">
        <v>100</v>
      </c>
      <c r="J12" s="24">
        <v>1</v>
      </c>
      <c r="K12" s="31" t="s">
        <v>1064</v>
      </c>
    </row>
    <row r="13" spans="1:11" s="1" customFormat="1" ht="30.75" customHeight="1" x14ac:dyDescent="0.25">
      <c r="A13" s="63">
        <v>5</v>
      </c>
      <c r="B13" s="39" t="s">
        <v>724</v>
      </c>
      <c r="C13" s="103" t="s">
        <v>1065</v>
      </c>
      <c r="D13" s="104"/>
      <c r="E13" s="105" t="s">
        <v>17</v>
      </c>
      <c r="F13" s="104"/>
      <c r="G13" s="103" t="s">
        <v>466</v>
      </c>
      <c r="H13" s="104"/>
      <c r="I13" s="45">
        <v>100</v>
      </c>
      <c r="J13" s="24">
        <v>1</v>
      </c>
      <c r="K13" s="31" t="s">
        <v>1066</v>
      </c>
    </row>
    <row r="14" spans="1:11" s="1" customFormat="1" ht="30.75" customHeight="1" x14ac:dyDescent="0.25">
      <c r="A14" s="63">
        <v>6</v>
      </c>
      <c r="B14" s="39" t="s">
        <v>1070</v>
      </c>
      <c r="C14" s="103" t="s">
        <v>1071</v>
      </c>
      <c r="D14" s="104"/>
      <c r="E14" s="105" t="s">
        <v>92</v>
      </c>
      <c r="F14" s="104"/>
      <c r="G14" s="103" t="s">
        <v>466</v>
      </c>
      <c r="H14" s="104"/>
      <c r="I14" s="45">
        <v>50</v>
      </c>
      <c r="J14" s="24">
        <v>1</v>
      </c>
      <c r="K14" s="31" t="s">
        <v>1072</v>
      </c>
    </row>
    <row r="15" spans="1:11" s="1" customFormat="1" ht="33" customHeight="1" x14ac:dyDescent="0.25">
      <c r="A15" s="106" t="s">
        <v>7</v>
      </c>
      <c r="B15" s="106"/>
      <c r="C15" s="106"/>
      <c r="D15" s="106"/>
      <c r="E15" s="106"/>
      <c r="F15" s="106"/>
      <c r="G15" s="106"/>
      <c r="H15" s="106"/>
      <c r="I15" s="77">
        <f>SUM(I9:I14)</f>
        <v>1190</v>
      </c>
      <c r="J15" s="77">
        <f>SUM(J9:J14)</f>
        <v>6</v>
      </c>
      <c r="K15" s="106"/>
    </row>
    <row r="16" spans="1:11" s="1" customFormat="1" ht="16.5" x14ac:dyDescent="0.25">
      <c r="A16" s="108" t="s">
        <v>19</v>
      </c>
      <c r="B16" s="108"/>
      <c r="C16" s="108"/>
      <c r="D16" s="108"/>
      <c r="E16" s="108"/>
      <c r="F16" s="108"/>
      <c r="G16" s="108"/>
      <c r="H16" s="108"/>
      <c r="I16" s="108">
        <f>I15</f>
        <v>1190</v>
      </c>
      <c r="J16" s="106">
        <f>J15</f>
        <v>6</v>
      </c>
      <c r="K16" s="106"/>
    </row>
    <row r="17" spans="1:11" ht="15" customHeight="1" x14ac:dyDescent="0.25">
      <c r="A17" s="108"/>
      <c r="B17" s="108"/>
      <c r="C17" s="108"/>
      <c r="D17" s="108"/>
      <c r="E17" s="108"/>
      <c r="F17" s="108"/>
      <c r="G17" s="108"/>
      <c r="H17" s="108"/>
      <c r="I17" s="108"/>
      <c r="J17" s="106"/>
      <c r="K17" s="106"/>
    </row>
    <row r="19" spans="1:11" x14ac:dyDescent="0.25">
      <c r="B19" s="10" t="s">
        <v>62</v>
      </c>
      <c r="H19" t="s">
        <v>23</v>
      </c>
    </row>
    <row r="20" spans="1:11" ht="101.25" customHeight="1" x14ac:dyDescent="0.25">
      <c r="B20" s="10"/>
    </row>
    <row r="21" spans="1:11" s="1" customFormat="1" ht="16.5" x14ac:dyDescent="0.25"/>
    <row r="22" spans="1:11" s="1" customFormat="1" ht="20.25" x14ac:dyDescent="0.3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</row>
    <row r="23" spans="1:11" s="1" customFormat="1" ht="20.25" x14ac:dyDescent="0.3">
      <c r="A23" s="99"/>
      <c r="B23" s="99"/>
      <c r="C23" s="99"/>
      <c r="D23" s="99"/>
      <c r="E23" s="99"/>
      <c r="F23" s="99"/>
      <c r="G23" s="99"/>
      <c r="H23" s="99"/>
      <c r="I23" s="99"/>
      <c r="J23" s="99"/>
      <c r="K23" s="99"/>
    </row>
    <row r="24" spans="1:11" s="1" customFormat="1" ht="20.2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</row>
    <row r="25" spans="1:11" s="1" customFormat="1" ht="16.5" x14ac:dyDescent="0.25"/>
    <row r="26" spans="1:11" s="1" customFormat="1" ht="16.5" x14ac:dyDescent="0.25"/>
    <row r="27" spans="1:11" s="1" customFormat="1" ht="19.5" customHeight="1" x14ac:dyDescent="0.25"/>
    <row r="28" spans="1:11" s="1" customFormat="1" ht="30.75" customHeight="1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21"/>
    </row>
    <row r="31" spans="1:11" s="1" customFormat="1" ht="35.25" customHeight="1" x14ac:dyDescent="0.25">
      <c r="A31" s="21"/>
    </row>
    <row r="32" spans="1:11" s="1" customFormat="1" ht="35.25" customHeight="1" x14ac:dyDescent="0.25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19"/>
    </row>
    <row r="33" spans="1:11" s="1" customFormat="1" ht="35.25" customHeight="1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</row>
    <row r="34" spans="1:11" s="1" customFormat="1" ht="16.5" x14ac:dyDescent="0.25">
      <c r="A34" s="100"/>
      <c r="B34" s="101"/>
      <c r="C34" s="11"/>
      <c r="D34" s="11"/>
      <c r="E34" s="11"/>
      <c r="F34" s="11"/>
      <c r="G34" s="11"/>
      <c r="H34" s="5"/>
      <c r="I34" s="5"/>
      <c r="J34" s="5"/>
      <c r="K34" s="5"/>
    </row>
    <row r="35" spans="1:11" s="1" customFormat="1" ht="16.5" x14ac:dyDescent="0.25">
      <c r="J35" s="102"/>
      <c r="K35" s="102"/>
    </row>
  </sheetData>
  <mergeCells count="32">
    <mergeCell ref="C9:D9"/>
    <mergeCell ref="E9:F9"/>
    <mergeCell ref="G9:H9"/>
    <mergeCell ref="A2:K2"/>
    <mergeCell ref="A3:K3"/>
    <mergeCell ref="C8:D8"/>
    <mergeCell ref="E8:F8"/>
    <mergeCell ref="G8:H8"/>
    <mergeCell ref="C10:D10"/>
    <mergeCell ref="E10:F10"/>
    <mergeCell ref="G10:H10"/>
    <mergeCell ref="C11:D11"/>
    <mergeCell ref="E11:F11"/>
    <mergeCell ref="G11:H11"/>
    <mergeCell ref="C12:D12"/>
    <mergeCell ref="E12:F12"/>
    <mergeCell ref="G12:H12"/>
    <mergeCell ref="C13:D13"/>
    <mergeCell ref="E13:F13"/>
    <mergeCell ref="G13:H13"/>
    <mergeCell ref="A23:K23"/>
    <mergeCell ref="A34:B34"/>
    <mergeCell ref="J35:K35"/>
    <mergeCell ref="C14:D14"/>
    <mergeCell ref="E14:F14"/>
    <mergeCell ref="G14:H14"/>
    <mergeCell ref="A15:H15"/>
    <mergeCell ref="K15:K17"/>
    <mergeCell ref="A16:H17"/>
    <mergeCell ref="I16:I17"/>
    <mergeCell ref="J16:J17"/>
    <mergeCell ref="A22:K22"/>
  </mergeCells>
  <phoneticPr fontId="21" type="noConversion"/>
  <hyperlinks>
    <hyperlink ref="D5" location="'Muc Luc'!A1" display="Mr Cường" xr:uid="{57AE5F4A-0BE8-4DF9-833B-3D0F72323D45}"/>
  </hyperlinks>
  <pageMargins left="0.25" right="0.25" top="0.17" bottom="0.17" header="0.3" footer="0.2"/>
  <pageSetup paperSize="11" scale="77" fitToHeight="0" orientation="landscape" r:id="rId1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88251-64B4-4C3B-B2B6-130DDE097276}">
  <sheetPr codeName="Sheet146">
    <pageSetUpPr fitToPage="1"/>
  </sheetPr>
  <dimension ref="A1:K36"/>
  <sheetViews>
    <sheetView zoomScaleNormal="100" workbookViewId="0">
      <selection activeCell="I13" sqref="I13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89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27" t="s">
        <v>474</v>
      </c>
      <c r="C9" s="103" t="s">
        <v>1080</v>
      </c>
      <c r="D9" s="104"/>
      <c r="E9" s="105" t="s">
        <v>17</v>
      </c>
      <c r="F9" s="104"/>
      <c r="G9" s="103" t="s">
        <v>466</v>
      </c>
      <c r="H9" s="104"/>
      <c r="I9" s="45">
        <v>250</v>
      </c>
      <c r="J9" s="24">
        <v>1</v>
      </c>
      <c r="K9" s="31" t="s">
        <v>1082</v>
      </c>
    </row>
    <row r="10" spans="1:11" s="1" customFormat="1" ht="30.75" customHeight="1" x14ac:dyDescent="0.25">
      <c r="A10" s="63">
        <v>2</v>
      </c>
      <c r="B10" s="27" t="s">
        <v>1079</v>
      </c>
      <c r="C10" s="103" t="s">
        <v>1081</v>
      </c>
      <c r="D10" s="104"/>
      <c r="E10" s="105" t="s">
        <v>17</v>
      </c>
      <c r="F10" s="104"/>
      <c r="G10" s="103" t="s">
        <v>453</v>
      </c>
      <c r="H10" s="104"/>
      <c r="I10" s="45">
        <v>750</v>
      </c>
      <c r="J10" s="24">
        <v>1</v>
      </c>
      <c r="K10" s="31" t="s">
        <v>1083</v>
      </c>
    </row>
    <row r="11" spans="1:11" s="1" customFormat="1" ht="30.75" customHeight="1" x14ac:dyDescent="0.25">
      <c r="A11" s="63">
        <v>3</v>
      </c>
      <c r="B11" s="98" t="s">
        <v>1085</v>
      </c>
      <c r="C11" s="103" t="s">
        <v>1084</v>
      </c>
      <c r="D11" s="104"/>
      <c r="E11" s="105" t="s">
        <v>92</v>
      </c>
      <c r="F11" s="104"/>
      <c r="G11" s="103" t="s">
        <v>469</v>
      </c>
      <c r="H11" s="104"/>
      <c r="I11" s="45">
        <v>400</v>
      </c>
      <c r="J11" s="24">
        <v>1</v>
      </c>
      <c r="K11" s="31" t="s">
        <v>1086</v>
      </c>
    </row>
    <row r="12" spans="1:11" s="1" customFormat="1" ht="30.75" customHeight="1" x14ac:dyDescent="0.25">
      <c r="A12" s="63">
        <v>4</v>
      </c>
      <c r="B12" s="98" t="s">
        <v>1085</v>
      </c>
      <c r="C12" s="103" t="s">
        <v>1084</v>
      </c>
      <c r="D12" s="104"/>
      <c r="E12" s="105" t="s">
        <v>92</v>
      </c>
      <c r="F12" s="104"/>
      <c r="G12" s="103" t="s">
        <v>469</v>
      </c>
      <c r="H12" s="104"/>
      <c r="I12" s="45">
        <v>100</v>
      </c>
      <c r="J12" s="24">
        <v>1</v>
      </c>
      <c r="K12" s="31" t="s">
        <v>1087</v>
      </c>
    </row>
    <row r="13" spans="1:11" s="1" customFormat="1" ht="30.75" customHeight="1" x14ac:dyDescent="0.25">
      <c r="A13" s="63">
        <v>5</v>
      </c>
      <c r="B13" s="98" t="s">
        <v>1085</v>
      </c>
      <c r="C13" s="103" t="s">
        <v>1088</v>
      </c>
      <c r="D13" s="104"/>
      <c r="E13" s="105" t="s">
        <v>92</v>
      </c>
      <c r="F13" s="104"/>
      <c r="G13" s="103" t="s">
        <v>469</v>
      </c>
      <c r="H13" s="104"/>
      <c r="I13" s="45">
        <v>500</v>
      </c>
      <c r="J13" s="24">
        <v>1</v>
      </c>
      <c r="K13" s="31" t="s">
        <v>1090</v>
      </c>
    </row>
    <row r="14" spans="1:11" s="1" customFormat="1" ht="30.75" customHeight="1" x14ac:dyDescent="0.25">
      <c r="A14" s="63">
        <v>6</v>
      </c>
      <c r="B14" s="98" t="s">
        <v>1085</v>
      </c>
      <c r="C14" s="103" t="s">
        <v>1089</v>
      </c>
      <c r="D14" s="104"/>
      <c r="E14" s="105" t="s">
        <v>92</v>
      </c>
      <c r="F14" s="104"/>
      <c r="G14" s="103" t="s">
        <v>469</v>
      </c>
      <c r="H14" s="104"/>
      <c r="I14" s="45">
        <v>300</v>
      </c>
      <c r="J14" s="24">
        <v>1</v>
      </c>
      <c r="K14" s="31" t="s">
        <v>1091</v>
      </c>
    </row>
    <row r="15" spans="1:11" s="1" customFormat="1" ht="30.75" customHeight="1" x14ac:dyDescent="0.25">
      <c r="A15" s="63">
        <v>7</v>
      </c>
      <c r="B15" s="98" t="s">
        <v>1085</v>
      </c>
      <c r="C15" s="103" t="s">
        <v>1089</v>
      </c>
      <c r="D15" s="104"/>
      <c r="E15" s="105" t="s">
        <v>92</v>
      </c>
      <c r="F15" s="104"/>
      <c r="G15" s="103" t="s">
        <v>469</v>
      </c>
      <c r="H15" s="104"/>
      <c r="I15" s="45">
        <v>200</v>
      </c>
      <c r="J15" s="24">
        <v>1</v>
      </c>
      <c r="K15" s="31" t="s">
        <v>1092</v>
      </c>
    </row>
    <row r="16" spans="1:11" s="1" customFormat="1" ht="33" customHeight="1" x14ac:dyDescent="0.25">
      <c r="A16" s="106" t="s">
        <v>7</v>
      </c>
      <c r="B16" s="106"/>
      <c r="C16" s="106"/>
      <c r="D16" s="106"/>
      <c r="E16" s="106"/>
      <c r="F16" s="106"/>
      <c r="G16" s="106"/>
      <c r="H16" s="106"/>
      <c r="I16" s="77">
        <f>SUM(I9:I15)</f>
        <v>2500</v>
      </c>
      <c r="J16" s="77">
        <f>SUM(J9:J15)</f>
        <v>7</v>
      </c>
      <c r="K16" s="107" t="s">
        <v>1093</v>
      </c>
    </row>
    <row r="17" spans="1:11" s="1" customFormat="1" ht="16.5" x14ac:dyDescent="0.25">
      <c r="A17" s="108" t="s">
        <v>19</v>
      </c>
      <c r="B17" s="108"/>
      <c r="C17" s="108"/>
      <c r="D17" s="108"/>
      <c r="E17" s="108"/>
      <c r="F17" s="108"/>
      <c r="G17" s="108"/>
      <c r="H17" s="108"/>
      <c r="I17" s="108">
        <f>I16</f>
        <v>2500</v>
      </c>
      <c r="J17" s="106">
        <f>J16</f>
        <v>7</v>
      </c>
      <c r="K17" s="106"/>
    </row>
    <row r="18" spans="1:11" ht="15" customHeight="1" x14ac:dyDescent="0.25">
      <c r="A18" s="108"/>
      <c r="B18" s="108"/>
      <c r="C18" s="108"/>
      <c r="D18" s="108"/>
      <c r="E18" s="108"/>
      <c r="F18" s="108"/>
      <c r="G18" s="108"/>
      <c r="H18" s="108"/>
      <c r="I18" s="108"/>
      <c r="J18" s="106"/>
      <c r="K18" s="106"/>
    </row>
    <row r="20" spans="1:11" x14ac:dyDescent="0.25">
      <c r="B20" s="10" t="s">
        <v>62</v>
      </c>
      <c r="H20" t="s">
        <v>23</v>
      </c>
    </row>
    <row r="21" spans="1:11" ht="101.25" customHeight="1" x14ac:dyDescent="0.25">
      <c r="B21" s="10"/>
    </row>
    <row r="22" spans="1:11" s="1" customFormat="1" ht="16.5" x14ac:dyDescent="0.25"/>
    <row r="23" spans="1:11" s="1" customFormat="1" ht="20.25" x14ac:dyDescent="0.3">
      <c r="A23" s="99"/>
      <c r="B23" s="99"/>
      <c r="C23" s="99"/>
      <c r="D23" s="99"/>
      <c r="E23" s="99"/>
      <c r="F23" s="99"/>
      <c r="G23" s="99"/>
      <c r="H23" s="99"/>
      <c r="I23" s="99"/>
      <c r="J23" s="99"/>
      <c r="K23" s="99"/>
    </row>
    <row r="24" spans="1:11" s="1" customFormat="1" ht="20.25" x14ac:dyDescent="0.3">
      <c r="A24" s="99"/>
      <c r="B24" s="99"/>
      <c r="C24" s="99"/>
      <c r="D24" s="99"/>
      <c r="E24" s="99"/>
      <c r="F24" s="99"/>
      <c r="G24" s="99"/>
      <c r="H24" s="99"/>
      <c r="I24" s="99"/>
      <c r="J24" s="99"/>
      <c r="K24" s="99"/>
    </row>
    <row r="25" spans="1:11" s="1" customFormat="1" ht="20.25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</row>
    <row r="26" spans="1:11" s="1" customFormat="1" ht="16.5" x14ac:dyDescent="0.25"/>
    <row r="27" spans="1:11" s="1" customFormat="1" ht="16.5" x14ac:dyDescent="0.25"/>
    <row r="28" spans="1:11" s="1" customFormat="1" ht="19.5" customHeight="1" x14ac:dyDescent="0.25"/>
    <row r="29" spans="1:11" s="1" customFormat="1" ht="30.75" customHeight="1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</row>
    <row r="30" spans="1:11" s="1" customFormat="1" ht="35.25" customHeight="1" x14ac:dyDescent="0.25">
      <c r="A30" s="21"/>
    </row>
    <row r="31" spans="1:11" s="1" customFormat="1" ht="35.25" customHeight="1" x14ac:dyDescent="0.25">
      <c r="A31" s="21"/>
    </row>
    <row r="32" spans="1:11" s="1" customFormat="1" ht="35.25" customHeight="1" x14ac:dyDescent="0.25">
      <c r="A32" s="21"/>
    </row>
    <row r="33" spans="1:11" s="1" customFormat="1" ht="35.25" customHeight="1" x14ac:dyDescent="0.25">
      <c r="A33" s="18"/>
      <c r="B33" s="19"/>
      <c r="C33" s="19"/>
      <c r="D33" s="19"/>
      <c r="E33" s="19"/>
      <c r="F33" s="19"/>
      <c r="G33" s="19"/>
      <c r="H33" s="19"/>
      <c r="I33" s="19"/>
      <c r="J33" s="19"/>
      <c r="K33" s="19"/>
    </row>
    <row r="34" spans="1:11" s="1" customFormat="1" ht="35.25" customHeight="1" x14ac:dyDescent="0.25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</row>
    <row r="35" spans="1:11" s="1" customFormat="1" ht="16.5" x14ac:dyDescent="0.25">
      <c r="A35" s="100"/>
      <c r="B35" s="101"/>
      <c r="C35" s="11"/>
      <c r="D35" s="11"/>
      <c r="E35" s="11"/>
      <c r="F35" s="11"/>
      <c r="G35" s="11"/>
      <c r="H35" s="5"/>
      <c r="I35" s="5"/>
      <c r="J35" s="5"/>
      <c r="K35" s="5"/>
    </row>
    <row r="36" spans="1:11" s="1" customFormat="1" ht="16.5" x14ac:dyDescent="0.25">
      <c r="J36" s="102"/>
      <c r="K36" s="102"/>
    </row>
  </sheetData>
  <mergeCells count="35">
    <mergeCell ref="C9:D9"/>
    <mergeCell ref="E9:F9"/>
    <mergeCell ref="G9:H9"/>
    <mergeCell ref="A2:K2"/>
    <mergeCell ref="A3:K3"/>
    <mergeCell ref="C8:D8"/>
    <mergeCell ref="E8:F8"/>
    <mergeCell ref="G8:H8"/>
    <mergeCell ref="C10:D10"/>
    <mergeCell ref="E10:F10"/>
    <mergeCell ref="G10:H10"/>
    <mergeCell ref="C11:D11"/>
    <mergeCell ref="E11:F11"/>
    <mergeCell ref="G11:H11"/>
    <mergeCell ref="C12:D12"/>
    <mergeCell ref="E12:F12"/>
    <mergeCell ref="G12:H12"/>
    <mergeCell ref="C13:D13"/>
    <mergeCell ref="E13:F13"/>
    <mergeCell ref="G13:H13"/>
    <mergeCell ref="C14:D14"/>
    <mergeCell ref="E14:F14"/>
    <mergeCell ref="G14:H14"/>
    <mergeCell ref="A16:H16"/>
    <mergeCell ref="K16:K18"/>
    <mergeCell ref="A17:H18"/>
    <mergeCell ref="I17:I18"/>
    <mergeCell ref="J17:J18"/>
    <mergeCell ref="A23:K23"/>
    <mergeCell ref="A24:K24"/>
    <mergeCell ref="A35:B35"/>
    <mergeCell ref="J36:K36"/>
    <mergeCell ref="C15:D15"/>
    <mergeCell ref="E15:F15"/>
    <mergeCell ref="G15:H15"/>
  </mergeCells>
  <phoneticPr fontId="21" type="noConversion"/>
  <hyperlinks>
    <hyperlink ref="D5" location="'Muc Luc'!A1" display="Mr Cường" xr:uid="{428346CD-A674-4025-A841-36D7BB4DBF99}"/>
  </hyperlinks>
  <pageMargins left="0.25" right="0.25" top="0.17" bottom="0.17" header="0.3" footer="0.2"/>
  <pageSetup paperSize="11" scale="77" fitToHeight="0" orientation="landscape" r:id="rId1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EE8F7-DB76-4DA9-8E56-A72F4B9CB31A}">
  <sheetPr codeName="Sheet147">
    <pageSetUpPr fitToPage="1"/>
  </sheetPr>
  <dimension ref="A1:K35"/>
  <sheetViews>
    <sheetView tabSelected="1" zoomScaleNormal="100" workbookViewId="0">
      <selection activeCell="K15" sqref="K15:K17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154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39" t="s">
        <v>354</v>
      </c>
      <c r="C9" s="103" t="s">
        <v>1094</v>
      </c>
      <c r="D9" s="104"/>
      <c r="E9" s="105" t="s">
        <v>92</v>
      </c>
      <c r="F9" s="104"/>
      <c r="G9" s="103" t="s">
        <v>466</v>
      </c>
      <c r="H9" s="104"/>
      <c r="I9" s="45">
        <v>250</v>
      </c>
      <c r="J9" s="24">
        <v>1</v>
      </c>
      <c r="K9" s="31" t="s">
        <v>1098</v>
      </c>
    </row>
    <row r="10" spans="1:11" s="1" customFormat="1" ht="30.75" customHeight="1" x14ac:dyDescent="0.25">
      <c r="A10" s="63">
        <v>2</v>
      </c>
      <c r="B10" s="39" t="s">
        <v>257</v>
      </c>
      <c r="C10" s="103" t="s">
        <v>1095</v>
      </c>
      <c r="D10" s="104"/>
      <c r="E10" s="105" t="s">
        <v>92</v>
      </c>
      <c r="F10" s="104"/>
      <c r="G10" s="103" t="s">
        <v>453</v>
      </c>
      <c r="H10" s="104"/>
      <c r="I10" s="45">
        <v>500</v>
      </c>
      <c r="J10" s="24">
        <v>1</v>
      </c>
      <c r="K10" s="31" t="s">
        <v>1099</v>
      </c>
    </row>
    <row r="11" spans="1:11" s="1" customFormat="1" ht="30.75" customHeight="1" x14ac:dyDescent="0.25">
      <c r="A11" s="63">
        <v>3</v>
      </c>
      <c r="B11" s="27" t="s">
        <v>1097</v>
      </c>
      <c r="C11" s="103" t="s">
        <v>1096</v>
      </c>
      <c r="D11" s="104"/>
      <c r="E11" s="105" t="s">
        <v>92</v>
      </c>
      <c r="F11" s="104"/>
      <c r="G11" s="103" t="s">
        <v>469</v>
      </c>
      <c r="H11" s="104"/>
      <c r="I11" s="45">
        <v>100</v>
      </c>
      <c r="J11" s="24">
        <v>1</v>
      </c>
      <c r="K11" s="31" t="s">
        <v>1100</v>
      </c>
    </row>
    <row r="12" spans="1:11" s="1" customFormat="1" ht="30.75" customHeight="1" x14ac:dyDescent="0.25">
      <c r="A12" s="63">
        <v>4</v>
      </c>
      <c r="B12" s="60" t="s">
        <v>930</v>
      </c>
      <c r="C12" s="103" t="s">
        <v>1101</v>
      </c>
      <c r="D12" s="104"/>
      <c r="E12" s="105" t="s">
        <v>92</v>
      </c>
      <c r="F12" s="104"/>
      <c r="G12" s="103" t="s">
        <v>449</v>
      </c>
      <c r="H12" s="104"/>
      <c r="I12" s="45">
        <v>200</v>
      </c>
      <c r="J12" s="127">
        <v>1</v>
      </c>
      <c r="K12" s="31" t="s">
        <v>1102</v>
      </c>
    </row>
    <row r="13" spans="1:11" s="1" customFormat="1" ht="30.75" customHeight="1" x14ac:dyDescent="0.25">
      <c r="A13" s="63">
        <v>5</v>
      </c>
      <c r="B13" s="60" t="s">
        <v>930</v>
      </c>
      <c r="C13" s="103" t="s">
        <v>1101</v>
      </c>
      <c r="D13" s="104"/>
      <c r="E13" s="105" t="s">
        <v>92</v>
      </c>
      <c r="F13" s="104"/>
      <c r="G13" s="103" t="s">
        <v>449</v>
      </c>
      <c r="H13" s="104"/>
      <c r="I13" s="45">
        <v>200</v>
      </c>
      <c r="J13" s="128"/>
      <c r="K13" s="31" t="s">
        <v>1103</v>
      </c>
    </row>
    <row r="14" spans="1:11" s="1" customFormat="1" ht="30.75" customHeight="1" x14ac:dyDescent="0.25">
      <c r="A14" s="63">
        <v>6</v>
      </c>
      <c r="B14" s="40" t="s">
        <v>531</v>
      </c>
      <c r="C14" s="103" t="s">
        <v>1104</v>
      </c>
      <c r="D14" s="104"/>
      <c r="E14" s="105" t="s">
        <v>92</v>
      </c>
      <c r="F14" s="104"/>
      <c r="G14" s="103" t="s">
        <v>469</v>
      </c>
      <c r="H14" s="104"/>
      <c r="I14" s="45">
        <v>100</v>
      </c>
      <c r="J14" s="24">
        <v>1</v>
      </c>
      <c r="K14" s="31" t="s">
        <v>1105</v>
      </c>
    </row>
    <row r="15" spans="1:11" s="1" customFormat="1" ht="33" customHeight="1" x14ac:dyDescent="0.25">
      <c r="A15" s="106" t="s">
        <v>7</v>
      </c>
      <c r="B15" s="106"/>
      <c r="C15" s="106"/>
      <c r="D15" s="106"/>
      <c r="E15" s="106"/>
      <c r="F15" s="106"/>
      <c r="G15" s="106"/>
      <c r="H15" s="106"/>
      <c r="I15" s="77">
        <f>SUM(I9:I14)</f>
        <v>1350</v>
      </c>
      <c r="J15" s="77">
        <f>SUM(J9:J14)</f>
        <v>5</v>
      </c>
      <c r="K15" s="107"/>
    </row>
    <row r="16" spans="1:11" s="1" customFormat="1" ht="16.5" x14ac:dyDescent="0.25">
      <c r="A16" s="108" t="s">
        <v>19</v>
      </c>
      <c r="B16" s="108"/>
      <c r="C16" s="108"/>
      <c r="D16" s="108"/>
      <c r="E16" s="108"/>
      <c r="F16" s="108"/>
      <c r="G16" s="108"/>
      <c r="H16" s="108"/>
      <c r="I16" s="108">
        <f>I15</f>
        <v>1350</v>
      </c>
      <c r="J16" s="106">
        <f>J15</f>
        <v>5</v>
      </c>
      <c r="K16" s="106"/>
    </row>
    <row r="17" spans="1:11" ht="15" customHeight="1" x14ac:dyDescent="0.25">
      <c r="A17" s="108"/>
      <c r="B17" s="108"/>
      <c r="C17" s="108"/>
      <c r="D17" s="108"/>
      <c r="E17" s="108"/>
      <c r="F17" s="108"/>
      <c r="G17" s="108"/>
      <c r="H17" s="108"/>
      <c r="I17" s="108"/>
      <c r="J17" s="106"/>
      <c r="K17" s="106"/>
    </row>
    <row r="19" spans="1:11" x14ac:dyDescent="0.25">
      <c r="B19" s="10" t="s">
        <v>62</v>
      </c>
      <c r="H19" t="s">
        <v>23</v>
      </c>
    </row>
    <row r="20" spans="1:11" ht="101.25" customHeight="1" x14ac:dyDescent="0.25">
      <c r="B20" s="10"/>
    </row>
    <row r="21" spans="1:11" s="1" customFormat="1" ht="16.5" x14ac:dyDescent="0.25"/>
    <row r="22" spans="1:11" s="1" customFormat="1" ht="20.25" x14ac:dyDescent="0.3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</row>
    <row r="23" spans="1:11" s="1" customFormat="1" ht="20.25" x14ac:dyDescent="0.3">
      <c r="A23" s="99"/>
      <c r="B23" s="99"/>
      <c r="C23" s="99"/>
      <c r="D23" s="99"/>
      <c r="E23" s="99"/>
      <c r="F23" s="99"/>
      <c r="G23" s="99"/>
      <c r="H23" s="99"/>
      <c r="I23" s="99"/>
      <c r="J23" s="99"/>
      <c r="K23" s="99"/>
    </row>
    <row r="24" spans="1:11" s="1" customFormat="1" ht="20.2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</row>
    <row r="25" spans="1:11" s="1" customFormat="1" ht="16.5" x14ac:dyDescent="0.25"/>
    <row r="26" spans="1:11" s="1" customFormat="1" ht="16.5" x14ac:dyDescent="0.25"/>
    <row r="27" spans="1:11" s="1" customFormat="1" ht="19.5" customHeight="1" x14ac:dyDescent="0.25"/>
    <row r="28" spans="1:11" s="1" customFormat="1" ht="30.75" customHeight="1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</row>
    <row r="29" spans="1:11" s="1" customFormat="1" ht="35.25" customHeight="1" x14ac:dyDescent="0.25">
      <c r="A29" s="21"/>
    </row>
    <row r="30" spans="1:11" s="1" customFormat="1" ht="35.25" customHeight="1" x14ac:dyDescent="0.25">
      <c r="A30" s="21"/>
    </row>
    <row r="31" spans="1:11" s="1" customFormat="1" ht="35.25" customHeight="1" x14ac:dyDescent="0.25">
      <c r="A31" s="21"/>
    </row>
    <row r="32" spans="1:11" s="1" customFormat="1" ht="35.25" customHeight="1" x14ac:dyDescent="0.25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19"/>
    </row>
    <row r="33" spans="1:11" s="1" customFormat="1" ht="35.25" customHeight="1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</row>
    <row r="34" spans="1:11" s="1" customFormat="1" ht="16.5" x14ac:dyDescent="0.25">
      <c r="A34" s="100"/>
      <c r="B34" s="101"/>
      <c r="C34" s="11"/>
      <c r="D34" s="11"/>
      <c r="E34" s="11"/>
      <c r="F34" s="11"/>
      <c r="G34" s="11"/>
      <c r="H34" s="5"/>
      <c r="I34" s="5"/>
      <c r="J34" s="5"/>
      <c r="K34" s="5"/>
    </row>
    <row r="35" spans="1:11" s="1" customFormat="1" ht="16.5" x14ac:dyDescent="0.25">
      <c r="J35" s="102"/>
      <c r="K35" s="102"/>
    </row>
  </sheetData>
  <mergeCells count="33">
    <mergeCell ref="A23:K23"/>
    <mergeCell ref="A34:B34"/>
    <mergeCell ref="J35:K35"/>
    <mergeCell ref="J12:J13"/>
    <mergeCell ref="A15:H15"/>
    <mergeCell ref="K15:K17"/>
    <mergeCell ref="A16:H17"/>
    <mergeCell ref="I16:I17"/>
    <mergeCell ref="J16:J17"/>
    <mergeCell ref="A22:K22"/>
    <mergeCell ref="C14:D14"/>
    <mergeCell ref="E14:F14"/>
    <mergeCell ref="G14:H14"/>
    <mergeCell ref="C12:D12"/>
    <mergeCell ref="E12:F12"/>
    <mergeCell ref="G12:H12"/>
    <mergeCell ref="C13:D13"/>
    <mergeCell ref="E13:F13"/>
    <mergeCell ref="G13:H13"/>
    <mergeCell ref="C10:D10"/>
    <mergeCell ref="E10:F10"/>
    <mergeCell ref="G10:H10"/>
    <mergeCell ref="C11:D11"/>
    <mergeCell ref="E11:F11"/>
    <mergeCell ref="G11:H11"/>
    <mergeCell ref="A2:K2"/>
    <mergeCell ref="A3:K3"/>
    <mergeCell ref="C8:D8"/>
    <mergeCell ref="E8:F8"/>
    <mergeCell ref="G8:H8"/>
    <mergeCell ref="C9:D9"/>
    <mergeCell ref="E9:F9"/>
    <mergeCell ref="G9:H9"/>
  </mergeCells>
  <hyperlinks>
    <hyperlink ref="D5" location="'Muc Luc'!A1" display="Mr Cường" xr:uid="{C9B47B12-6C38-4BF8-AD26-A1A9F2B4F2EA}"/>
  </hyperlinks>
  <pageMargins left="0.25" right="0.25" top="0.17" bottom="0.17" header="0.3" footer="0.2"/>
  <pageSetup paperSize="11" scale="77" fitToHeight="0" orientation="landscape" r:id="rId1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F4735-8544-4E0E-B7A5-B3A5127C5625}">
  <sheetPr codeName="Sheet140">
    <pageSetUpPr fitToPage="1"/>
  </sheetPr>
  <dimension ref="A1:K32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178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51" t="s">
        <v>1029</v>
      </c>
      <c r="C9" s="103" t="s">
        <v>1030</v>
      </c>
      <c r="D9" s="104"/>
      <c r="E9" s="105" t="s">
        <v>92</v>
      </c>
      <c r="F9" s="104"/>
      <c r="G9" s="103" t="s">
        <v>466</v>
      </c>
      <c r="H9" s="104"/>
      <c r="I9" s="45">
        <v>20</v>
      </c>
      <c r="J9" s="24">
        <v>1</v>
      </c>
      <c r="K9" s="31" t="s">
        <v>1033</v>
      </c>
    </row>
    <row r="10" spans="1:11" s="1" customFormat="1" ht="30.75" customHeight="1" x14ac:dyDescent="0.25">
      <c r="A10" s="63">
        <v>2</v>
      </c>
      <c r="B10" s="39" t="s">
        <v>757</v>
      </c>
      <c r="C10" s="103" t="s">
        <v>1031</v>
      </c>
      <c r="D10" s="104"/>
      <c r="E10" s="105" t="s">
        <v>92</v>
      </c>
      <c r="F10" s="104"/>
      <c r="G10" s="103" t="s">
        <v>128</v>
      </c>
      <c r="H10" s="104"/>
      <c r="I10" s="45">
        <v>500</v>
      </c>
      <c r="J10" s="24">
        <v>1</v>
      </c>
      <c r="K10" s="31" t="s">
        <v>865</v>
      </c>
    </row>
    <row r="11" spans="1:11" s="1" customFormat="1" ht="30.75" customHeight="1" x14ac:dyDescent="0.25">
      <c r="A11" s="63">
        <v>3</v>
      </c>
      <c r="B11" s="28" t="s">
        <v>873</v>
      </c>
      <c r="C11" s="103" t="s">
        <v>1032</v>
      </c>
      <c r="D11" s="104"/>
      <c r="E11" s="105" t="s">
        <v>17</v>
      </c>
      <c r="F11" s="104"/>
      <c r="G11" s="103" t="s">
        <v>128</v>
      </c>
      <c r="H11" s="104"/>
      <c r="I11" s="45">
        <v>1100</v>
      </c>
      <c r="J11" s="24">
        <v>1</v>
      </c>
      <c r="K11" s="31" t="s">
        <v>875</v>
      </c>
    </row>
    <row r="12" spans="1:11" s="1" customFormat="1" ht="33" customHeight="1" x14ac:dyDescent="0.25">
      <c r="A12" s="106" t="s">
        <v>7</v>
      </c>
      <c r="B12" s="106"/>
      <c r="C12" s="106"/>
      <c r="D12" s="106"/>
      <c r="E12" s="106"/>
      <c r="F12" s="106"/>
      <c r="G12" s="106"/>
      <c r="H12" s="106"/>
      <c r="I12" s="77">
        <f>SUM(I9:I11)</f>
        <v>1620</v>
      </c>
      <c r="J12" s="77">
        <f>SUM(J9:J11)</f>
        <v>3</v>
      </c>
      <c r="K12" s="106"/>
    </row>
    <row r="13" spans="1:11" s="1" customFormat="1" ht="16.5" x14ac:dyDescent="0.25">
      <c r="A13" s="108" t="s">
        <v>19</v>
      </c>
      <c r="B13" s="108"/>
      <c r="C13" s="108"/>
      <c r="D13" s="108"/>
      <c r="E13" s="108"/>
      <c r="F13" s="108"/>
      <c r="G13" s="108"/>
      <c r="H13" s="108"/>
      <c r="I13" s="108">
        <f>I12</f>
        <v>1620</v>
      </c>
      <c r="J13" s="106">
        <f>J12</f>
        <v>3</v>
      </c>
      <c r="K13" s="106"/>
    </row>
    <row r="14" spans="1:11" ht="15" customHeight="1" x14ac:dyDescent="0.25">
      <c r="A14" s="108"/>
      <c r="B14" s="108"/>
      <c r="C14" s="108"/>
      <c r="D14" s="108"/>
      <c r="E14" s="108"/>
      <c r="F14" s="108"/>
      <c r="G14" s="108"/>
      <c r="H14" s="108"/>
      <c r="I14" s="108"/>
      <c r="J14" s="106"/>
      <c r="K14" s="106"/>
    </row>
    <row r="16" spans="1:11" x14ac:dyDescent="0.25">
      <c r="B16" s="10" t="s">
        <v>62</v>
      </c>
      <c r="H16" t="s">
        <v>23</v>
      </c>
    </row>
    <row r="17" spans="1:11" ht="101.25" customHeight="1" x14ac:dyDescent="0.25">
      <c r="B17" s="10"/>
    </row>
    <row r="18" spans="1:11" s="1" customFormat="1" ht="16.5" x14ac:dyDescent="0.25"/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</row>
    <row r="22" spans="1:11" s="1" customFormat="1" ht="16.5" x14ac:dyDescent="0.25"/>
    <row r="23" spans="1:11" s="1" customFormat="1" ht="16.5" x14ac:dyDescent="0.25"/>
    <row r="24" spans="1:11" s="1" customFormat="1" ht="19.5" customHeight="1" x14ac:dyDescent="0.25"/>
    <row r="25" spans="1:11" s="1" customFormat="1" ht="30.75" customHeight="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18"/>
      <c r="B29" s="19"/>
      <c r="C29" s="19"/>
      <c r="D29" s="19"/>
      <c r="E29" s="19"/>
      <c r="F29" s="19"/>
      <c r="G29" s="19"/>
      <c r="H29" s="19"/>
      <c r="I29" s="19"/>
      <c r="J29" s="19"/>
      <c r="K29" s="19"/>
    </row>
    <row r="30" spans="1:11" s="1" customFormat="1" ht="35.25" customHeight="1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s="1" customFormat="1" ht="16.5" x14ac:dyDescent="0.25">
      <c r="A31" s="100"/>
      <c r="B31" s="101"/>
      <c r="C31" s="11"/>
      <c r="D31" s="11"/>
      <c r="E31" s="11"/>
      <c r="F31" s="11"/>
      <c r="G31" s="11"/>
      <c r="H31" s="5"/>
      <c r="I31" s="5"/>
      <c r="J31" s="5"/>
      <c r="K31" s="5"/>
    </row>
    <row r="32" spans="1:11" s="1" customFormat="1" ht="16.5" x14ac:dyDescent="0.25">
      <c r="J32" s="102"/>
      <c r="K32" s="102"/>
    </row>
  </sheetData>
  <mergeCells count="23">
    <mergeCell ref="C9:D9"/>
    <mergeCell ref="E9:F9"/>
    <mergeCell ref="G9:H9"/>
    <mergeCell ref="A2:K2"/>
    <mergeCell ref="A3:K3"/>
    <mergeCell ref="C8:D8"/>
    <mergeCell ref="E8:F8"/>
    <mergeCell ref="G8:H8"/>
    <mergeCell ref="C10:D10"/>
    <mergeCell ref="E10:F10"/>
    <mergeCell ref="G10:H10"/>
    <mergeCell ref="C11:D11"/>
    <mergeCell ref="E11:F11"/>
    <mergeCell ref="G11:H11"/>
    <mergeCell ref="A20:K20"/>
    <mergeCell ref="A31:B31"/>
    <mergeCell ref="J32:K32"/>
    <mergeCell ref="A12:H12"/>
    <mergeCell ref="K12:K14"/>
    <mergeCell ref="A13:H14"/>
    <mergeCell ref="I13:I14"/>
    <mergeCell ref="J13:J14"/>
    <mergeCell ref="A19:K19"/>
  </mergeCells>
  <hyperlinks>
    <hyperlink ref="D5" location="'Muc Luc'!A1" display="Mr Cường" xr:uid="{0E8227E7-2B69-4956-BB79-232CF5706C08}"/>
  </hyperlinks>
  <pageMargins left="0.25" right="0.25" top="0.17" bottom="0.17" header="0.3" footer="0.2"/>
  <pageSetup paperSize="11" scale="77" fitToHeight="0" orientation="landscape" r:id="rId1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8EA6-C937-412E-979A-D97A1512E116}">
  <sheetPr codeName="Sheet145">
    <pageSetUpPr fitToPage="1"/>
  </sheetPr>
  <dimension ref="A1:K31"/>
  <sheetViews>
    <sheetView zoomScaleNormal="100" workbookViewId="0">
      <selection activeCell="K11" sqref="K11:K13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155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27" t="s">
        <v>1077</v>
      </c>
      <c r="C9" s="103" t="s">
        <v>1076</v>
      </c>
      <c r="D9" s="104"/>
      <c r="E9" s="105" t="s">
        <v>1024</v>
      </c>
      <c r="F9" s="104"/>
      <c r="G9" s="103" t="s">
        <v>466</v>
      </c>
      <c r="H9" s="104"/>
      <c r="I9" s="45">
        <v>100</v>
      </c>
      <c r="J9" s="24">
        <v>1</v>
      </c>
      <c r="K9" s="31" t="s">
        <v>1078</v>
      </c>
    </row>
    <row r="10" spans="1:11" s="1" customFormat="1" ht="30.75" customHeight="1" x14ac:dyDescent="0.25">
      <c r="A10" s="63">
        <v>2</v>
      </c>
      <c r="B10" s="7" t="s">
        <v>1073</v>
      </c>
      <c r="C10" s="103" t="s">
        <v>1074</v>
      </c>
      <c r="D10" s="104"/>
      <c r="E10" s="105" t="s">
        <v>57</v>
      </c>
      <c r="F10" s="104"/>
      <c r="G10" s="103" t="s">
        <v>466</v>
      </c>
      <c r="H10" s="104"/>
      <c r="I10" s="45">
        <v>50</v>
      </c>
      <c r="J10" s="24">
        <v>1</v>
      </c>
      <c r="K10" s="31" t="s">
        <v>1075</v>
      </c>
    </row>
    <row r="11" spans="1:11" s="1" customFormat="1" ht="33" customHeight="1" x14ac:dyDescent="0.25">
      <c r="A11" s="106" t="s">
        <v>7</v>
      </c>
      <c r="B11" s="106"/>
      <c r="C11" s="106"/>
      <c r="D11" s="106"/>
      <c r="E11" s="106"/>
      <c r="F11" s="106"/>
      <c r="G11" s="106"/>
      <c r="H11" s="106"/>
      <c r="I11" s="77">
        <f>SUM(I9:I10)</f>
        <v>150</v>
      </c>
      <c r="J11" s="77">
        <f>SUM(J9:J10)</f>
        <v>2</v>
      </c>
      <c r="K11" s="106"/>
    </row>
    <row r="12" spans="1:11" s="1" customFormat="1" ht="16.5" x14ac:dyDescent="0.25">
      <c r="A12" s="108" t="s">
        <v>19</v>
      </c>
      <c r="B12" s="108"/>
      <c r="C12" s="108"/>
      <c r="D12" s="108"/>
      <c r="E12" s="108"/>
      <c r="F12" s="108"/>
      <c r="G12" s="108"/>
      <c r="H12" s="108"/>
      <c r="I12" s="108">
        <f>I11</f>
        <v>150</v>
      </c>
      <c r="J12" s="106">
        <f>J11</f>
        <v>2</v>
      </c>
      <c r="K12" s="106"/>
    </row>
    <row r="13" spans="1:11" ht="15" customHeight="1" x14ac:dyDescent="0.25">
      <c r="A13" s="108"/>
      <c r="B13" s="108"/>
      <c r="C13" s="108"/>
      <c r="D13" s="108"/>
      <c r="E13" s="108"/>
      <c r="F13" s="108"/>
      <c r="G13" s="108"/>
      <c r="H13" s="108"/>
      <c r="I13" s="108"/>
      <c r="J13" s="106"/>
      <c r="K13" s="106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A19:K19"/>
    <mergeCell ref="A30:B30"/>
    <mergeCell ref="J31:K31"/>
    <mergeCell ref="A11:H11"/>
    <mergeCell ref="K11:K13"/>
    <mergeCell ref="A12:H13"/>
    <mergeCell ref="I12:I13"/>
    <mergeCell ref="J12:J13"/>
    <mergeCell ref="A18:K18"/>
    <mergeCell ref="C10:D10"/>
    <mergeCell ref="E10:F10"/>
    <mergeCell ref="G10:H10"/>
    <mergeCell ref="A2:K2"/>
    <mergeCell ref="A3:K3"/>
    <mergeCell ref="C8:D8"/>
    <mergeCell ref="E8:F8"/>
    <mergeCell ref="G8:H8"/>
    <mergeCell ref="C9:D9"/>
    <mergeCell ref="E9:F9"/>
    <mergeCell ref="G9:H9"/>
  </mergeCells>
  <hyperlinks>
    <hyperlink ref="D5" location="'Muc Luc'!A1" display="Mr Cường" xr:uid="{0B9F6D1D-849E-4D7A-BD62-437F9435358D}"/>
  </hyperlinks>
  <pageMargins left="0.25" right="0.25" top="0.17" bottom="0.17" header="0.3" footer="0.2"/>
  <pageSetup paperSize="11" scale="77" fitToHeight="0" orientation="landscape" r:id="rId1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32331-8BF0-4801-AF3E-DA88261BDB6F}">
  <sheetPr codeName="Sheet143">
    <pageSetUpPr fitToPage="1"/>
  </sheetPr>
  <dimension ref="A1:K32"/>
  <sheetViews>
    <sheetView zoomScaleNormal="100" workbookViewId="0">
      <selection activeCell="K10" sqref="K10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190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39" t="s">
        <v>289</v>
      </c>
      <c r="C9" s="103" t="s">
        <v>1050</v>
      </c>
      <c r="D9" s="104"/>
      <c r="E9" s="105" t="s">
        <v>92</v>
      </c>
      <c r="F9" s="104"/>
      <c r="G9" s="103" t="s">
        <v>466</v>
      </c>
      <c r="H9" s="104"/>
      <c r="I9" s="45">
        <v>500</v>
      </c>
      <c r="J9" s="24">
        <v>1</v>
      </c>
      <c r="K9" s="31" t="s">
        <v>1052</v>
      </c>
    </row>
    <row r="10" spans="1:11" s="1" customFormat="1" ht="30.75" customHeight="1" x14ac:dyDescent="0.25">
      <c r="A10" s="63">
        <v>2</v>
      </c>
      <c r="B10" s="39" t="s">
        <v>289</v>
      </c>
      <c r="C10" s="103" t="s">
        <v>1051</v>
      </c>
      <c r="D10" s="104"/>
      <c r="E10" s="105" t="s">
        <v>92</v>
      </c>
      <c r="F10" s="104"/>
      <c r="G10" s="103" t="s">
        <v>466</v>
      </c>
      <c r="H10" s="104"/>
      <c r="I10" s="45">
        <v>500</v>
      </c>
      <c r="J10" s="24">
        <v>1</v>
      </c>
      <c r="K10" s="31" t="s">
        <v>1053</v>
      </c>
    </row>
    <row r="11" spans="1:11" s="1" customFormat="1" ht="30.75" customHeight="1" x14ac:dyDescent="0.25">
      <c r="A11" s="63">
        <v>3</v>
      </c>
      <c r="B11" s="41" t="s">
        <v>525</v>
      </c>
      <c r="C11" s="103" t="s">
        <v>1054</v>
      </c>
      <c r="D11" s="104"/>
      <c r="E11" s="105" t="s">
        <v>92</v>
      </c>
      <c r="F11" s="104"/>
      <c r="G11" s="103" t="s">
        <v>466</v>
      </c>
      <c r="H11" s="104"/>
      <c r="I11" s="45">
        <v>400</v>
      </c>
      <c r="J11" s="24">
        <v>1</v>
      </c>
      <c r="K11" s="31" t="s">
        <v>1055</v>
      </c>
    </row>
    <row r="12" spans="1:11" s="1" customFormat="1" ht="33" customHeight="1" x14ac:dyDescent="0.25">
      <c r="A12" s="106" t="s">
        <v>7</v>
      </c>
      <c r="B12" s="106"/>
      <c r="C12" s="106"/>
      <c r="D12" s="106"/>
      <c r="E12" s="106"/>
      <c r="F12" s="106"/>
      <c r="G12" s="106"/>
      <c r="H12" s="106"/>
      <c r="I12" s="77">
        <f>SUM(I9:I11)</f>
        <v>1400</v>
      </c>
      <c r="J12" s="77">
        <f>SUM(J9:J11)</f>
        <v>3</v>
      </c>
      <c r="K12" s="106"/>
    </row>
    <row r="13" spans="1:11" s="1" customFormat="1" ht="16.5" x14ac:dyDescent="0.25">
      <c r="A13" s="108" t="s">
        <v>19</v>
      </c>
      <c r="B13" s="108"/>
      <c r="C13" s="108"/>
      <c r="D13" s="108"/>
      <c r="E13" s="108"/>
      <c r="F13" s="108"/>
      <c r="G13" s="108"/>
      <c r="H13" s="108"/>
      <c r="I13" s="108">
        <f>I12</f>
        <v>1400</v>
      </c>
      <c r="J13" s="106">
        <f>J12</f>
        <v>3</v>
      </c>
      <c r="K13" s="106"/>
    </row>
    <row r="14" spans="1:11" ht="15" customHeight="1" x14ac:dyDescent="0.25">
      <c r="A14" s="108"/>
      <c r="B14" s="108"/>
      <c r="C14" s="108"/>
      <c r="D14" s="108"/>
      <c r="E14" s="108"/>
      <c r="F14" s="108"/>
      <c r="G14" s="108"/>
      <c r="H14" s="108"/>
      <c r="I14" s="108"/>
      <c r="J14" s="106"/>
      <c r="K14" s="106"/>
    </row>
    <row r="16" spans="1:11" x14ac:dyDescent="0.25">
      <c r="B16" s="10" t="s">
        <v>62</v>
      </c>
      <c r="H16" t="s">
        <v>23</v>
      </c>
    </row>
    <row r="17" spans="1:11" ht="101.25" customHeight="1" x14ac:dyDescent="0.25">
      <c r="B17" s="10"/>
    </row>
    <row r="18" spans="1:11" s="1" customFormat="1" ht="16.5" x14ac:dyDescent="0.25"/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11" s="1" customFormat="1" ht="20.2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</row>
    <row r="22" spans="1:11" s="1" customFormat="1" ht="16.5" x14ac:dyDescent="0.25"/>
    <row r="23" spans="1:11" s="1" customFormat="1" ht="16.5" x14ac:dyDescent="0.25"/>
    <row r="24" spans="1:11" s="1" customFormat="1" ht="19.5" customHeight="1" x14ac:dyDescent="0.25"/>
    <row r="25" spans="1:11" s="1" customFormat="1" ht="30.75" customHeight="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21"/>
    </row>
    <row r="29" spans="1:11" s="1" customFormat="1" ht="35.25" customHeight="1" x14ac:dyDescent="0.25">
      <c r="A29" s="18"/>
      <c r="B29" s="19"/>
      <c r="C29" s="19"/>
      <c r="D29" s="19"/>
      <c r="E29" s="19"/>
      <c r="F29" s="19"/>
      <c r="G29" s="19"/>
      <c r="H29" s="19"/>
      <c r="I29" s="19"/>
      <c r="J29" s="19"/>
      <c r="K29" s="19"/>
    </row>
    <row r="30" spans="1:11" s="1" customFormat="1" ht="35.25" customHeight="1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s="1" customFormat="1" ht="16.5" x14ac:dyDescent="0.25">
      <c r="A31" s="100"/>
      <c r="B31" s="101"/>
      <c r="C31" s="11"/>
      <c r="D31" s="11"/>
      <c r="E31" s="11"/>
      <c r="F31" s="11"/>
      <c r="G31" s="11"/>
      <c r="H31" s="5"/>
      <c r="I31" s="5"/>
      <c r="J31" s="5"/>
      <c r="K31" s="5"/>
    </row>
    <row r="32" spans="1:11" s="1" customFormat="1" ht="16.5" x14ac:dyDescent="0.25">
      <c r="J32" s="102"/>
      <c r="K32" s="102"/>
    </row>
  </sheetData>
  <mergeCells count="23">
    <mergeCell ref="A20:K20"/>
    <mergeCell ref="A31:B31"/>
    <mergeCell ref="J32:K32"/>
    <mergeCell ref="A12:H12"/>
    <mergeCell ref="K12:K14"/>
    <mergeCell ref="A13:H14"/>
    <mergeCell ref="I13:I14"/>
    <mergeCell ref="J13:J14"/>
    <mergeCell ref="A19:K19"/>
    <mergeCell ref="C10:D10"/>
    <mergeCell ref="E10:F10"/>
    <mergeCell ref="G10:H10"/>
    <mergeCell ref="C11:D11"/>
    <mergeCell ref="E11:F11"/>
    <mergeCell ref="G11:H11"/>
    <mergeCell ref="C9:D9"/>
    <mergeCell ref="E9:F9"/>
    <mergeCell ref="G9:H9"/>
    <mergeCell ref="A2:K2"/>
    <mergeCell ref="A3:K3"/>
    <mergeCell ref="C8:D8"/>
    <mergeCell ref="E8:F8"/>
    <mergeCell ref="G8:H8"/>
  </mergeCells>
  <phoneticPr fontId="21" type="noConversion"/>
  <hyperlinks>
    <hyperlink ref="D5" location="'Muc Luc'!A1" display="Mr Cường" xr:uid="{E512A239-03C0-4BFB-A309-A67C811453A3}"/>
  </hyperlinks>
  <pageMargins left="0.25" right="0.25" top="0.17" bottom="0.17" header="0.3" footer="0.2"/>
  <pageSetup paperSize="11" scale="77" fitToHeight="0" orientation="landscape" r:id="rId1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1A333-F386-4786-8575-07E69482436A}">
  <sheetPr codeName="Sheet141">
    <pageSetUpPr fitToPage="1"/>
  </sheetPr>
  <dimension ref="A1:K30"/>
  <sheetViews>
    <sheetView zoomScaleNormal="100" workbookViewId="0"/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738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97" t="s">
        <v>1042</v>
      </c>
      <c r="C9" s="103" t="s">
        <v>1043</v>
      </c>
      <c r="D9" s="104"/>
      <c r="E9" s="105" t="s">
        <v>92</v>
      </c>
      <c r="F9" s="104"/>
      <c r="G9" s="103" t="s">
        <v>469</v>
      </c>
      <c r="H9" s="104"/>
      <c r="I9" s="45">
        <v>100</v>
      </c>
      <c r="J9" s="24">
        <v>1</v>
      </c>
      <c r="K9" s="31" t="s">
        <v>1044</v>
      </c>
    </row>
    <row r="10" spans="1:11" s="1" customFormat="1" ht="33" customHeight="1" x14ac:dyDescent="0.25">
      <c r="A10" s="106" t="s">
        <v>7</v>
      </c>
      <c r="B10" s="106"/>
      <c r="C10" s="106"/>
      <c r="D10" s="106"/>
      <c r="E10" s="106"/>
      <c r="F10" s="106"/>
      <c r="G10" s="106"/>
      <c r="H10" s="106"/>
      <c r="I10" s="77">
        <f>SUM(I9:I9)</f>
        <v>100</v>
      </c>
      <c r="J10" s="77">
        <f>SUM(J9:J9)</f>
        <v>1</v>
      </c>
      <c r="K10" s="106"/>
    </row>
    <row r="11" spans="1:11" s="1" customFormat="1" ht="16.5" x14ac:dyDescent="0.25">
      <c r="A11" s="108" t="s">
        <v>19</v>
      </c>
      <c r="B11" s="108"/>
      <c r="C11" s="108"/>
      <c r="D11" s="108"/>
      <c r="E11" s="108"/>
      <c r="F11" s="108"/>
      <c r="G11" s="108"/>
      <c r="H11" s="108"/>
      <c r="I11" s="108">
        <f>I10</f>
        <v>100</v>
      </c>
      <c r="J11" s="106">
        <f>J10</f>
        <v>1</v>
      </c>
      <c r="K11" s="106"/>
    </row>
    <row r="12" spans="1:11" ht="15" customHeight="1" x14ac:dyDescent="0.25">
      <c r="A12" s="108"/>
      <c r="B12" s="108"/>
      <c r="C12" s="108"/>
      <c r="D12" s="108"/>
      <c r="E12" s="108"/>
      <c r="F12" s="108"/>
      <c r="G12" s="108"/>
      <c r="H12" s="108"/>
      <c r="I12" s="108"/>
      <c r="J12" s="106"/>
      <c r="K12" s="106"/>
    </row>
    <row r="14" spans="1:11" x14ac:dyDescent="0.25">
      <c r="B14" s="10" t="s">
        <v>62</v>
      </c>
      <c r="H14" t="s">
        <v>23</v>
      </c>
    </row>
    <row r="15" spans="1:11" ht="101.25" customHeight="1" x14ac:dyDescent="0.25">
      <c r="B15" s="10"/>
    </row>
    <row r="16" spans="1:11" s="1" customFormat="1" ht="16.5" x14ac:dyDescent="0.25"/>
    <row r="17" spans="1:11" s="1" customFormat="1" ht="20.25" x14ac:dyDescent="0.3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</row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</row>
    <row r="20" spans="1:11" s="1" customFormat="1" ht="16.5" x14ac:dyDescent="0.25"/>
    <row r="21" spans="1:11" s="1" customFormat="1" ht="16.5" x14ac:dyDescent="0.25"/>
    <row r="22" spans="1:11" s="1" customFormat="1" ht="19.5" customHeight="1" x14ac:dyDescent="0.25"/>
    <row r="23" spans="1:11" s="1" customFormat="1" ht="30.75" customHeight="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s="1" customFormat="1" ht="35.25" customHeight="1" x14ac:dyDescent="0.25">
      <c r="A24" s="21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</row>
    <row r="28" spans="1:11" s="1" customFormat="1" ht="35.25" customHeight="1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s="1" customFormat="1" ht="16.5" x14ac:dyDescent="0.25">
      <c r="A29" s="100"/>
      <c r="B29" s="101"/>
      <c r="C29" s="11"/>
      <c r="D29" s="11"/>
      <c r="E29" s="11"/>
      <c r="F29" s="11"/>
      <c r="G29" s="11"/>
      <c r="H29" s="5"/>
      <c r="I29" s="5"/>
      <c r="J29" s="5"/>
      <c r="K29" s="5"/>
    </row>
    <row r="30" spans="1:11" s="1" customFormat="1" ht="16.5" x14ac:dyDescent="0.25">
      <c r="J30" s="102"/>
      <c r="K30" s="102"/>
    </row>
  </sheetData>
  <mergeCells count="17">
    <mergeCell ref="C9:D9"/>
    <mergeCell ref="E9:F9"/>
    <mergeCell ref="G9:H9"/>
    <mergeCell ref="A2:K2"/>
    <mergeCell ref="A3:K3"/>
    <mergeCell ref="C8:D8"/>
    <mergeCell ref="E8:F8"/>
    <mergeCell ref="G8:H8"/>
    <mergeCell ref="A18:K18"/>
    <mergeCell ref="A29:B29"/>
    <mergeCell ref="J30:K30"/>
    <mergeCell ref="A10:H10"/>
    <mergeCell ref="K10:K12"/>
    <mergeCell ref="A11:H12"/>
    <mergeCell ref="I11:I12"/>
    <mergeCell ref="J11:J12"/>
    <mergeCell ref="A17:K17"/>
  </mergeCells>
  <hyperlinks>
    <hyperlink ref="D5" location="'Muc Luc'!A1" display="Mr Cường" xr:uid="{868D0776-B73A-4C03-8892-69D5C0F51EE8}"/>
  </hyperlinks>
  <pageMargins left="0.25" right="0.25" top="0.17" bottom="0.17" header="0.3" footer="0.2"/>
  <pageSetup paperSize="11" scale="77" fitToHeight="0" orientation="landscape" r:id="rId1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961E6-A2BF-422E-A0E5-9B63E5E561E3}">
  <sheetPr codeName="Sheet142">
    <pageSetUpPr fitToPage="1"/>
  </sheetPr>
  <dimension ref="A1:K31"/>
  <sheetViews>
    <sheetView zoomScaleNormal="100" workbookViewId="0">
      <selection activeCell="D5" sqref="D5"/>
    </sheetView>
  </sheetViews>
  <sheetFormatPr defaultRowHeight="15" x14ac:dyDescent="0.25"/>
  <cols>
    <col min="1" max="1" width="6.85546875" customWidth="1"/>
    <col min="2" max="2" width="21" customWidth="1"/>
    <col min="3" max="3" width="6.28515625" customWidth="1"/>
    <col min="4" max="4" width="8.85546875" customWidth="1"/>
    <col min="5" max="5" width="6.42578125" customWidth="1"/>
    <col min="6" max="6" width="8.28515625" customWidth="1"/>
    <col min="8" max="8" width="6.85546875" customWidth="1"/>
    <col min="9" max="9" width="11.28515625" customWidth="1"/>
    <col min="10" max="10" width="14.28515625" customWidth="1"/>
    <col min="11" max="11" width="29" customWidth="1"/>
  </cols>
  <sheetData>
    <row r="1" spans="1:11" s="1" customFormat="1" ht="16.5" x14ac:dyDescent="0.25">
      <c r="A1" s="1" t="s">
        <v>0</v>
      </c>
    </row>
    <row r="2" spans="1:11" s="1" customFormat="1" ht="20.25" x14ac:dyDescent="0.3">
      <c r="A2" s="99" t="s">
        <v>65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3" spans="1:11" s="1" customFormat="1" ht="20.25" x14ac:dyDescent="0.3">
      <c r="A3" s="99" t="s">
        <v>66</v>
      </c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11" s="1" customFormat="1" ht="20.2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</row>
    <row r="5" spans="1:11" s="1" customFormat="1" ht="16.5" x14ac:dyDescent="0.25">
      <c r="A5" s="1" t="s">
        <v>164</v>
      </c>
      <c r="D5" s="33" t="s">
        <v>165</v>
      </c>
      <c r="I5" s="1" t="s">
        <v>159</v>
      </c>
      <c r="J5" s="151">
        <v>46122</v>
      </c>
    </row>
    <row r="6" spans="1:11" s="1" customFormat="1" ht="16.5" x14ac:dyDescent="0.25">
      <c r="A6" s="1" t="s">
        <v>78</v>
      </c>
      <c r="D6" s="1" t="s">
        <v>329</v>
      </c>
      <c r="I6" s="1" t="s">
        <v>18</v>
      </c>
    </row>
    <row r="7" spans="1:11" s="1" customFormat="1" ht="19.5" customHeight="1" x14ac:dyDescent="0.25">
      <c r="A7" s="1" t="s">
        <v>77</v>
      </c>
      <c r="I7" s="1" t="s">
        <v>160</v>
      </c>
      <c r="J7" s="1" t="s">
        <v>780</v>
      </c>
    </row>
    <row r="8" spans="1:11" s="1" customFormat="1" ht="30.75" customHeight="1" x14ac:dyDescent="0.25">
      <c r="A8" s="2" t="s">
        <v>1</v>
      </c>
      <c r="B8" s="2" t="s">
        <v>8</v>
      </c>
      <c r="C8" s="109" t="s">
        <v>9</v>
      </c>
      <c r="D8" s="110"/>
      <c r="E8" s="109" t="s">
        <v>11</v>
      </c>
      <c r="F8" s="110"/>
      <c r="G8" s="111" t="s">
        <v>75</v>
      </c>
      <c r="H8" s="112"/>
      <c r="I8" s="2" t="s">
        <v>10</v>
      </c>
      <c r="J8" s="2" t="s">
        <v>24</v>
      </c>
      <c r="K8" s="8" t="s">
        <v>76</v>
      </c>
    </row>
    <row r="9" spans="1:11" s="1" customFormat="1" ht="30.75" customHeight="1" x14ac:dyDescent="0.25">
      <c r="A9" s="63">
        <v>1</v>
      </c>
      <c r="B9" s="30" t="s">
        <v>138</v>
      </c>
      <c r="C9" s="103" t="s">
        <v>1046</v>
      </c>
      <c r="D9" s="104"/>
      <c r="E9" s="105" t="s">
        <v>92</v>
      </c>
      <c r="F9" s="104"/>
      <c r="G9" s="103" t="s">
        <v>466</v>
      </c>
      <c r="H9" s="104"/>
      <c r="I9" s="45">
        <v>500</v>
      </c>
      <c r="J9" s="24">
        <v>1</v>
      </c>
      <c r="K9" s="31" t="s">
        <v>1048</v>
      </c>
    </row>
    <row r="10" spans="1:11" s="1" customFormat="1" ht="30.75" customHeight="1" x14ac:dyDescent="0.25">
      <c r="A10" s="63">
        <v>2</v>
      </c>
      <c r="B10" s="30" t="s">
        <v>138</v>
      </c>
      <c r="C10" s="103" t="s">
        <v>1047</v>
      </c>
      <c r="D10" s="104"/>
      <c r="E10" s="105" t="s">
        <v>92</v>
      </c>
      <c r="F10" s="104"/>
      <c r="G10" s="103" t="s">
        <v>466</v>
      </c>
      <c r="H10" s="104"/>
      <c r="I10" s="45">
        <v>500</v>
      </c>
      <c r="J10" s="24">
        <v>1</v>
      </c>
      <c r="K10" s="31" t="s">
        <v>1049</v>
      </c>
    </row>
    <row r="11" spans="1:11" s="1" customFormat="1" ht="33" customHeight="1" x14ac:dyDescent="0.25">
      <c r="A11" s="106" t="s">
        <v>7</v>
      </c>
      <c r="B11" s="106"/>
      <c r="C11" s="106"/>
      <c r="D11" s="106"/>
      <c r="E11" s="106"/>
      <c r="F11" s="106"/>
      <c r="G11" s="106"/>
      <c r="H11" s="106"/>
      <c r="I11" s="77">
        <f>SUM(I9:I10)</f>
        <v>1000</v>
      </c>
      <c r="J11" s="77">
        <f>SUM(J9:J10)</f>
        <v>2</v>
      </c>
      <c r="K11" s="106"/>
    </row>
    <row r="12" spans="1:11" s="1" customFormat="1" ht="16.5" x14ac:dyDescent="0.25">
      <c r="A12" s="108" t="s">
        <v>19</v>
      </c>
      <c r="B12" s="108"/>
      <c r="C12" s="108"/>
      <c r="D12" s="108"/>
      <c r="E12" s="108"/>
      <c r="F12" s="108"/>
      <c r="G12" s="108"/>
      <c r="H12" s="108"/>
      <c r="I12" s="108">
        <f>I11</f>
        <v>1000</v>
      </c>
      <c r="J12" s="106">
        <f>J11</f>
        <v>2</v>
      </c>
      <c r="K12" s="106"/>
    </row>
    <row r="13" spans="1:11" ht="15" customHeight="1" x14ac:dyDescent="0.25">
      <c r="A13" s="108"/>
      <c r="B13" s="108"/>
      <c r="C13" s="108"/>
      <c r="D13" s="108"/>
      <c r="E13" s="108"/>
      <c r="F13" s="108"/>
      <c r="G13" s="108"/>
      <c r="H13" s="108"/>
      <c r="I13" s="108"/>
      <c r="J13" s="106"/>
      <c r="K13" s="106"/>
    </row>
    <row r="15" spans="1:11" x14ac:dyDescent="0.25">
      <c r="B15" s="10" t="s">
        <v>62</v>
      </c>
      <c r="H15" t="s">
        <v>23</v>
      </c>
    </row>
    <row r="16" spans="1:11" ht="101.25" customHeight="1" x14ac:dyDescent="0.25">
      <c r="B16" s="10"/>
    </row>
    <row r="17" spans="1:11" s="1" customFormat="1" ht="16.5" x14ac:dyDescent="0.25"/>
    <row r="18" spans="1:11" s="1" customFormat="1" ht="20.25" x14ac:dyDescent="0.3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</row>
    <row r="19" spans="1:11" s="1" customFormat="1" ht="20.25" x14ac:dyDescent="0.3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</row>
    <row r="20" spans="1:11" s="1" customFormat="1" ht="20.2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</row>
    <row r="21" spans="1:11" s="1" customFormat="1" ht="16.5" x14ac:dyDescent="0.25"/>
    <row r="22" spans="1:11" s="1" customFormat="1" ht="16.5" x14ac:dyDescent="0.25"/>
    <row r="23" spans="1:11" s="1" customFormat="1" ht="19.5" customHeight="1" x14ac:dyDescent="0.25"/>
    <row r="24" spans="1:11" s="1" customFormat="1" ht="30.7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s="1" customFormat="1" ht="35.25" customHeight="1" x14ac:dyDescent="0.25">
      <c r="A25" s="21"/>
    </row>
    <row r="26" spans="1:11" s="1" customFormat="1" ht="35.25" customHeight="1" x14ac:dyDescent="0.25">
      <c r="A26" s="21"/>
    </row>
    <row r="27" spans="1:11" s="1" customFormat="1" ht="35.25" customHeight="1" x14ac:dyDescent="0.25">
      <c r="A27" s="21"/>
    </row>
    <row r="28" spans="1:11" s="1" customFormat="1" ht="35.25" customHeight="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1" s="1" customFormat="1" ht="35.25" customHeight="1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s="1" customFormat="1" ht="16.5" x14ac:dyDescent="0.25">
      <c r="A30" s="100"/>
      <c r="B30" s="101"/>
      <c r="C30" s="11"/>
      <c r="D30" s="11"/>
      <c r="E30" s="11"/>
      <c r="F30" s="11"/>
      <c r="G30" s="11"/>
      <c r="H30" s="5"/>
      <c r="I30" s="5"/>
      <c r="J30" s="5"/>
      <c r="K30" s="5"/>
    </row>
    <row r="31" spans="1:11" s="1" customFormat="1" ht="16.5" x14ac:dyDescent="0.25">
      <c r="J31" s="102"/>
      <c r="K31" s="102"/>
    </row>
  </sheetData>
  <mergeCells count="20">
    <mergeCell ref="C10:D10"/>
    <mergeCell ref="E10:F10"/>
    <mergeCell ref="G10:H10"/>
    <mergeCell ref="A2:K2"/>
    <mergeCell ref="A3:K3"/>
    <mergeCell ref="C8:D8"/>
    <mergeCell ref="E8:F8"/>
    <mergeCell ref="G8:H8"/>
    <mergeCell ref="C9:D9"/>
    <mergeCell ref="E9:F9"/>
    <mergeCell ref="G9:H9"/>
    <mergeCell ref="A19:K19"/>
    <mergeCell ref="A30:B30"/>
    <mergeCell ref="J31:K31"/>
    <mergeCell ref="A11:H11"/>
    <mergeCell ref="K11:K13"/>
    <mergeCell ref="A12:H13"/>
    <mergeCell ref="I12:I13"/>
    <mergeCell ref="J12:J13"/>
    <mergeCell ref="A18:K18"/>
  </mergeCells>
  <phoneticPr fontId="21" type="noConversion"/>
  <hyperlinks>
    <hyperlink ref="D5" location="'Muc Luc'!A1" display="Mr Cường" xr:uid="{60C371D3-DF3A-46C2-906B-01B31B46F382}"/>
  </hyperlinks>
  <pageMargins left="0.25" right="0.25" top="0.17" bottom="0.17" header="0.3" footer="0.2"/>
  <pageSetup paperSize="11" scale="77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147</vt:i4>
      </vt:variant>
      <vt:variant>
        <vt:lpstr>Named Ranges</vt:lpstr>
      </vt:variant>
      <vt:variant>
        <vt:i4>146</vt:i4>
      </vt:variant>
    </vt:vector>
  </HeadingPairs>
  <TitlesOfParts>
    <vt:vector size="293" baseType="lpstr">
      <vt:lpstr>Muc Luc</vt:lpstr>
      <vt:lpstr>1</vt:lpstr>
      <vt:lpstr>1 (2)</vt:lpstr>
      <vt:lpstr>1 (3)</vt:lpstr>
      <vt:lpstr>1 (4)</vt:lpstr>
      <vt:lpstr>1 (5)</vt:lpstr>
      <vt:lpstr>1 (6)</vt:lpstr>
      <vt:lpstr>1 (7)</vt:lpstr>
      <vt:lpstr>1 (8)</vt:lpstr>
      <vt:lpstr>1 (9)</vt:lpstr>
      <vt:lpstr>1 (10)</vt:lpstr>
      <vt:lpstr>1 (11)</vt:lpstr>
      <vt:lpstr>1 (12)</vt:lpstr>
      <vt:lpstr>13 (1)</vt:lpstr>
      <vt:lpstr>13 (2)</vt:lpstr>
      <vt:lpstr>13 (3)</vt:lpstr>
      <vt:lpstr>13 (4)</vt:lpstr>
      <vt:lpstr>13 (5)</vt:lpstr>
      <vt:lpstr>13 (6)</vt:lpstr>
      <vt:lpstr>13 (7)</vt:lpstr>
      <vt:lpstr>13 (8)</vt:lpstr>
      <vt:lpstr>13 (9)</vt:lpstr>
      <vt:lpstr>13 (10)</vt:lpstr>
      <vt:lpstr>13 (11)</vt:lpstr>
      <vt:lpstr>13 (12)</vt:lpstr>
      <vt:lpstr>13 (13)</vt:lpstr>
      <vt:lpstr>13 (14)</vt:lpstr>
      <vt:lpstr>13 (15)</vt:lpstr>
      <vt:lpstr>13 (16)</vt:lpstr>
      <vt:lpstr>13 (17)</vt:lpstr>
      <vt:lpstr>13 (18)</vt:lpstr>
      <vt:lpstr>13 (19)</vt:lpstr>
      <vt:lpstr>13 (20)</vt:lpstr>
      <vt:lpstr>13 (21)</vt:lpstr>
      <vt:lpstr>13 (22)</vt:lpstr>
      <vt:lpstr>13 (23)</vt:lpstr>
      <vt:lpstr>13 (24)</vt:lpstr>
      <vt:lpstr>13 (25)</vt:lpstr>
      <vt:lpstr>13 (26)</vt:lpstr>
      <vt:lpstr>13 (27)</vt:lpstr>
      <vt:lpstr>13 (28)</vt:lpstr>
      <vt:lpstr>13 (29)</vt:lpstr>
      <vt:lpstr>13 (30)</vt:lpstr>
      <vt:lpstr>13 (31)</vt:lpstr>
      <vt:lpstr>13 (32)</vt:lpstr>
      <vt:lpstr>13 (33)</vt:lpstr>
      <vt:lpstr>13 (34)</vt:lpstr>
      <vt:lpstr>13 (35)</vt:lpstr>
      <vt:lpstr>13 (36)</vt:lpstr>
      <vt:lpstr>13 (37)</vt:lpstr>
      <vt:lpstr>13 (38)</vt:lpstr>
      <vt:lpstr>13 (39)</vt:lpstr>
      <vt:lpstr>13 (40)</vt:lpstr>
      <vt:lpstr>13 (58)</vt:lpstr>
      <vt:lpstr>13 (41)</vt:lpstr>
      <vt:lpstr>13 (42)</vt:lpstr>
      <vt:lpstr>13 (43)</vt:lpstr>
      <vt:lpstr>13 (44)</vt:lpstr>
      <vt:lpstr>13 (45)</vt:lpstr>
      <vt:lpstr>13 (46)</vt:lpstr>
      <vt:lpstr>13 (47)</vt:lpstr>
      <vt:lpstr>13 (48)</vt:lpstr>
      <vt:lpstr>13 (49)</vt:lpstr>
      <vt:lpstr>13 (50)</vt:lpstr>
      <vt:lpstr>13 (59)</vt:lpstr>
      <vt:lpstr>13 (51)</vt:lpstr>
      <vt:lpstr>13 (52)</vt:lpstr>
      <vt:lpstr>13 (61)</vt:lpstr>
      <vt:lpstr>13 (53)</vt:lpstr>
      <vt:lpstr>13 (54)</vt:lpstr>
      <vt:lpstr>13 (55)</vt:lpstr>
      <vt:lpstr>13 (57)</vt:lpstr>
      <vt:lpstr>13 (56)</vt:lpstr>
      <vt:lpstr>13 (63)</vt:lpstr>
      <vt:lpstr>13 (60)</vt:lpstr>
      <vt:lpstr>13 (62)</vt:lpstr>
      <vt:lpstr>13 (64)</vt:lpstr>
      <vt:lpstr>13 (65)</vt:lpstr>
      <vt:lpstr>13 (66)</vt:lpstr>
      <vt:lpstr>13 (67)</vt:lpstr>
      <vt:lpstr>13 (68)</vt:lpstr>
      <vt:lpstr>13 (69)</vt:lpstr>
      <vt:lpstr>13 (70)</vt:lpstr>
      <vt:lpstr>13 (71)</vt:lpstr>
      <vt:lpstr>13 (72)</vt:lpstr>
      <vt:lpstr>13 (73)</vt:lpstr>
      <vt:lpstr>13 (74)</vt:lpstr>
      <vt:lpstr>13 (75)</vt:lpstr>
      <vt:lpstr>13 (76)</vt:lpstr>
      <vt:lpstr>13 (84)</vt:lpstr>
      <vt:lpstr>13 (77)</vt:lpstr>
      <vt:lpstr>13 (78)</vt:lpstr>
      <vt:lpstr>13 (79)</vt:lpstr>
      <vt:lpstr>13 (80)</vt:lpstr>
      <vt:lpstr>13 (81)</vt:lpstr>
      <vt:lpstr>13 (82)</vt:lpstr>
      <vt:lpstr>13 (83)</vt:lpstr>
      <vt:lpstr>13 (85)</vt:lpstr>
      <vt:lpstr>13 (86)</vt:lpstr>
      <vt:lpstr>13 (88)</vt:lpstr>
      <vt:lpstr>13 (94)</vt:lpstr>
      <vt:lpstr>13 (87)</vt:lpstr>
      <vt:lpstr>13 (89)</vt:lpstr>
      <vt:lpstr>13 (105)</vt:lpstr>
      <vt:lpstr>13 (90)</vt:lpstr>
      <vt:lpstr>13 (99)</vt:lpstr>
      <vt:lpstr>13 (100)</vt:lpstr>
      <vt:lpstr>13 (101)</vt:lpstr>
      <vt:lpstr>13 (103)</vt:lpstr>
      <vt:lpstr>13 (95)</vt:lpstr>
      <vt:lpstr>13 (91)</vt:lpstr>
      <vt:lpstr>13 (104)</vt:lpstr>
      <vt:lpstr>13 (102)</vt:lpstr>
      <vt:lpstr>13 (108)</vt:lpstr>
      <vt:lpstr>13 (106)</vt:lpstr>
      <vt:lpstr>13 (107)</vt:lpstr>
      <vt:lpstr>13 (97)</vt:lpstr>
      <vt:lpstr>13 (98)</vt:lpstr>
      <vt:lpstr>13 (109)</vt:lpstr>
      <vt:lpstr>13 (110)</vt:lpstr>
      <vt:lpstr>13 (92)</vt:lpstr>
      <vt:lpstr>13 (93)</vt:lpstr>
      <vt:lpstr>13 (111)</vt:lpstr>
      <vt:lpstr>13 (115)</vt:lpstr>
      <vt:lpstr>13 (116)</vt:lpstr>
      <vt:lpstr>13 (117)</vt:lpstr>
      <vt:lpstr>13 (118)</vt:lpstr>
      <vt:lpstr>13 (119)</vt:lpstr>
      <vt:lpstr>13 (120)</vt:lpstr>
      <vt:lpstr>13 (122)</vt:lpstr>
      <vt:lpstr>13 (124)</vt:lpstr>
      <vt:lpstr>13 (121)</vt:lpstr>
      <vt:lpstr>13 (123)</vt:lpstr>
      <vt:lpstr>13 (112)</vt:lpstr>
      <vt:lpstr>13 (113)</vt:lpstr>
      <vt:lpstr>13 (114)</vt:lpstr>
      <vt:lpstr>13 (96)</vt:lpstr>
      <vt:lpstr>13 (125)</vt:lpstr>
      <vt:lpstr>13 (126)</vt:lpstr>
      <vt:lpstr>13 (131)</vt:lpstr>
      <vt:lpstr>13 (133)</vt:lpstr>
      <vt:lpstr>13 (134)</vt:lpstr>
      <vt:lpstr>13 (127)</vt:lpstr>
      <vt:lpstr>13 (132)</vt:lpstr>
      <vt:lpstr>13 (130)</vt:lpstr>
      <vt:lpstr>13 (128)</vt:lpstr>
      <vt:lpstr>13 (129)</vt:lpstr>
      <vt:lpstr>'1'!Print_Area</vt:lpstr>
      <vt:lpstr>'1 (10)'!Print_Area</vt:lpstr>
      <vt:lpstr>'1 (11)'!Print_Area</vt:lpstr>
      <vt:lpstr>'1 (12)'!Print_Area</vt:lpstr>
      <vt:lpstr>'1 (2)'!Print_Area</vt:lpstr>
      <vt:lpstr>'1 (3)'!Print_Area</vt:lpstr>
      <vt:lpstr>'1 (4)'!Print_Area</vt:lpstr>
      <vt:lpstr>'1 (5)'!Print_Area</vt:lpstr>
      <vt:lpstr>'1 (6)'!Print_Area</vt:lpstr>
      <vt:lpstr>'1 (7)'!Print_Area</vt:lpstr>
      <vt:lpstr>'1 (8)'!Print_Area</vt:lpstr>
      <vt:lpstr>'1 (9)'!Print_Area</vt:lpstr>
      <vt:lpstr>'13 (1)'!Print_Area</vt:lpstr>
      <vt:lpstr>'13 (10)'!Print_Area</vt:lpstr>
      <vt:lpstr>'13 (100)'!Print_Area</vt:lpstr>
      <vt:lpstr>'13 (101)'!Print_Area</vt:lpstr>
      <vt:lpstr>'13 (102)'!Print_Area</vt:lpstr>
      <vt:lpstr>'13 (103)'!Print_Area</vt:lpstr>
      <vt:lpstr>'13 (104)'!Print_Area</vt:lpstr>
      <vt:lpstr>'13 (105)'!Print_Area</vt:lpstr>
      <vt:lpstr>'13 (106)'!Print_Area</vt:lpstr>
      <vt:lpstr>'13 (107)'!Print_Area</vt:lpstr>
      <vt:lpstr>'13 (108)'!Print_Area</vt:lpstr>
      <vt:lpstr>'13 (109)'!Print_Area</vt:lpstr>
      <vt:lpstr>'13 (11)'!Print_Area</vt:lpstr>
      <vt:lpstr>'13 (110)'!Print_Area</vt:lpstr>
      <vt:lpstr>'13 (111)'!Print_Area</vt:lpstr>
      <vt:lpstr>'13 (112)'!Print_Area</vt:lpstr>
      <vt:lpstr>'13 (113)'!Print_Area</vt:lpstr>
      <vt:lpstr>'13 (114)'!Print_Area</vt:lpstr>
      <vt:lpstr>'13 (115)'!Print_Area</vt:lpstr>
      <vt:lpstr>'13 (116)'!Print_Area</vt:lpstr>
      <vt:lpstr>'13 (117)'!Print_Area</vt:lpstr>
      <vt:lpstr>'13 (118)'!Print_Area</vt:lpstr>
      <vt:lpstr>'13 (119)'!Print_Area</vt:lpstr>
      <vt:lpstr>'13 (12)'!Print_Area</vt:lpstr>
      <vt:lpstr>'13 (120)'!Print_Area</vt:lpstr>
      <vt:lpstr>'13 (121)'!Print_Area</vt:lpstr>
      <vt:lpstr>'13 (122)'!Print_Area</vt:lpstr>
      <vt:lpstr>'13 (123)'!Print_Area</vt:lpstr>
      <vt:lpstr>'13 (124)'!Print_Area</vt:lpstr>
      <vt:lpstr>'13 (125)'!Print_Area</vt:lpstr>
      <vt:lpstr>'13 (126)'!Print_Area</vt:lpstr>
      <vt:lpstr>'13 (127)'!Print_Area</vt:lpstr>
      <vt:lpstr>'13 (128)'!Print_Area</vt:lpstr>
      <vt:lpstr>'13 (129)'!Print_Area</vt:lpstr>
      <vt:lpstr>'13 (13)'!Print_Area</vt:lpstr>
      <vt:lpstr>'13 (130)'!Print_Area</vt:lpstr>
      <vt:lpstr>'13 (131)'!Print_Area</vt:lpstr>
      <vt:lpstr>'13 (132)'!Print_Area</vt:lpstr>
      <vt:lpstr>'13 (133)'!Print_Area</vt:lpstr>
      <vt:lpstr>'13 (134)'!Print_Area</vt:lpstr>
      <vt:lpstr>'13 (14)'!Print_Area</vt:lpstr>
      <vt:lpstr>'13 (15)'!Print_Area</vt:lpstr>
      <vt:lpstr>'13 (16)'!Print_Area</vt:lpstr>
      <vt:lpstr>'13 (17)'!Print_Area</vt:lpstr>
      <vt:lpstr>'13 (18)'!Print_Area</vt:lpstr>
      <vt:lpstr>'13 (19)'!Print_Area</vt:lpstr>
      <vt:lpstr>'13 (2)'!Print_Area</vt:lpstr>
      <vt:lpstr>'13 (20)'!Print_Area</vt:lpstr>
      <vt:lpstr>'13 (21)'!Print_Area</vt:lpstr>
      <vt:lpstr>'13 (22)'!Print_Area</vt:lpstr>
      <vt:lpstr>'13 (23)'!Print_Area</vt:lpstr>
      <vt:lpstr>'13 (24)'!Print_Area</vt:lpstr>
      <vt:lpstr>'13 (25)'!Print_Area</vt:lpstr>
      <vt:lpstr>'13 (26)'!Print_Area</vt:lpstr>
      <vt:lpstr>'13 (27)'!Print_Area</vt:lpstr>
      <vt:lpstr>'13 (28)'!Print_Area</vt:lpstr>
      <vt:lpstr>'13 (29)'!Print_Area</vt:lpstr>
      <vt:lpstr>'13 (3)'!Print_Area</vt:lpstr>
      <vt:lpstr>'13 (30)'!Print_Area</vt:lpstr>
      <vt:lpstr>'13 (31)'!Print_Area</vt:lpstr>
      <vt:lpstr>'13 (32)'!Print_Area</vt:lpstr>
      <vt:lpstr>'13 (33)'!Print_Area</vt:lpstr>
      <vt:lpstr>'13 (34)'!Print_Area</vt:lpstr>
      <vt:lpstr>'13 (35)'!Print_Area</vt:lpstr>
      <vt:lpstr>'13 (36)'!Print_Area</vt:lpstr>
      <vt:lpstr>'13 (37)'!Print_Area</vt:lpstr>
      <vt:lpstr>'13 (38)'!Print_Area</vt:lpstr>
      <vt:lpstr>'13 (39)'!Print_Area</vt:lpstr>
      <vt:lpstr>'13 (4)'!Print_Area</vt:lpstr>
      <vt:lpstr>'13 (40)'!Print_Area</vt:lpstr>
      <vt:lpstr>'13 (41)'!Print_Area</vt:lpstr>
      <vt:lpstr>'13 (42)'!Print_Area</vt:lpstr>
      <vt:lpstr>'13 (43)'!Print_Area</vt:lpstr>
      <vt:lpstr>'13 (44)'!Print_Area</vt:lpstr>
      <vt:lpstr>'13 (45)'!Print_Area</vt:lpstr>
      <vt:lpstr>'13 (46)'!Print_Area</vt:lpstr>
      <vt:lpstr>'13 (47)'!Print_Area</vt:lpstr>
      <vt:lpstr>'13 (48)'!Print_Area</vt:lpstr>
      <vt:lpstr>'13 (49)'!Print_Area</vt:lpstr>
      <vt:lpstr>'13 (5)'!Print_Area</vt:lpstr>
      <vt:lpstr>'13 (50)'!Print_Area</vt:lpstr>
      <vt:lpstr>'13 (51)'!Print_Area</vt:lpstr>
      <vt:lpstr>'13 (52)'!Print_Area</vt:lpstr>
      <vt:lpstr>'13 (53)'!Print_Area</vt:lpstr>
      <vt:lpstr>'13 (54)'!Print_Area</vt:lpstr>
      <vt:lpstr>'13 (55)'!Print_Area</vt:lpstr>
      <vt:lpstr>'13 (56)'!Print_Area</vt:lpstr>
      <vt:lpstr>'13 (57)'!Print_Area</vt:lpstr>
      <vt:lpstr>'13 (58)'!Print_Area</vt:lpstr>
      <vt:lpstr>'13 (59)'!Print_Area</vt:lpstr>
      <vt:lpstr>'13 (6)'!Print_Area</vt:lpstr>
      <vt:lpstr>'13 (60)'!Print_Area</vt:lpstr>
      <vt:lpstr>'13 (61)'!Print_Area</vt:lpstr>
      <vt:lpstr>'13 (62)'!Print_Area</vt:lpstr>
      <vt:lpstr>'13 (63)'!Print_Area</vt:lpstr>
      <vt:lpstr>'13 (64)'!Print_Area</vt:lpstr>
      <vt:lpstr>'13 (65)'!Print_Area</vt:lpstr>
      <vt:lpstr>'13 (66)'!Print_Area</vt:lpstr>
      <vt:lpstr>'13 (67)'!Print_Area</vt:lpstr>
      <vt:lpstr>'13 (68)'!Print_Area</vt:lpstr>
      <vt:lpstr>'13 (69)'!Print_Area</vt:lpstr>
      <vt:lpstr>'13 (7)'!Print_Area</vt:lpstr>
      <vt:lpstr>'13 (70)'!Print_Area</vt:lpstr>
      <vt:lpstr>'13 (71)'!Print_Area</vt:lpstr>
      <vt:lpstr>'13 (72)'!Print_Area</vt:lpstr>
      <vt:lpstr>'13 (73)'!Print_Area</vt:lpstr>
      <vt:lpstr>'13 (74)'!Print_Area</vt:lpstr>
      <vt:lpstr>'13 (75)'!Print_Area</vt:lpstr>
      <vt:lpstr>'13 (76)'!Print_Area</vt:lpstr>
      <vt:lpstr>'13 (77)'!Print_Area</vt:lpstr>
      <vt:lpstr>'13 (78)'!Print_Area</vt:lpstr>
      <vt:lpstr>'13 (79)'!Print_Area</vt:lpstr>
      <vt:lpstr>'13 (8)'!Print_Area</vt:lpstr>
      <vt:lpstr>'13 (80)'!Print_Area</vt:lpstr>
      <vt:lpstr>'13 (81)'!Print_Area</vt:lpstr>
      <vt:lpstr>'13 (82)'!Print_Area</vt:lpstr>
      <vt:lpstr>'13 (83)'!Print_Area</vt:lpstr>
      <vt:lpstr>'13 (84)'!Print_Area</vt:lpstr>
      <vt:lpstr>'13 (85)'!Print_Area</vt:lpstr>
      <vt:lpstr>'13 (86)'!Print_Area</vt:lpstr>
      <vt:lpstr>'13 (87)'!Print_Area</vt:lpstr>
      <vt:lpstr>'13 (88)'!Print_Area</vt:lpstr>
      <vt:lpstr>'13 (89)'!Print_Area</vt:lpstr>
      <vt:lpstr>'13 (9)'!Print_Area</vt:lpstr>
      <vt:lpstr>'13 (90)'!Print_Area</vt:lpstr>
      <vt:lpstr>'13 (91)'!Print_Area</vt:lpstr>
      <vt:lpstr>'13 (92)'!Print_Area</vt:lpstr>
      <vt:lpstr>'13 (93)'!Print_Area</vt:lpstr>
      <vt:lpstr>'13 (94)'!Print_Area</vt:lpstr>
      <vt:lpstr>'13 (95)'!Print_Area</vt:lpstr>
      <vt:lpstr>'13 (96)'!Print_Area</vt:lpstr>
      <vt:lpstr>'13 (97)'!Print_Area</vt:lpstr>
      <vt:lpstr>'13 (98)'!Print_Area</vt:lpstr>
      <vt:lpstr>'13 (99)'!Print_Area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Cuong</dc:creator>
  <cp:lastModifiedBy>Cuong Dao Chi</cp:lastModifiedBy>
  <cp:lastPrinted>2026-04-10T03:52:48Z</cp:lastPrinted>
  <dcterms:created xsi:type="dcterms:W3CDTF">2024-06-24T01:26:22Z</dcterms:created>
  <dcterms:modified xsi:type="dcterms:W3CDTF">2026-04-10T03:52:56Z</dcterms:modified>
</cp:coreProperties>
</file>