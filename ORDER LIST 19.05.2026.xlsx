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fileSharing userName="Ngan" algorithmName="SHA-512" hashValue="iwcW+W/NAlxBHMXzsfq6JzL9tY7NLhGj6+52tusDrJ1XCPNBOg8Pf+hICtW5ZnWI0dLR3qrEuO46JSQwm3zd8g==" saltValue="O8wRGD6Mb0PdBISD0qtvIQ==" spinCount="100000"/>
  <workbookPr codeName="ThisWorkbook" defaultThemeVersion="166925"/>
  <mc:AlternateContent xmlns:mc="http://schemas.openxmlformats.org/markup-compatibility/2006">
    <mc:Choice Requires="x15">
      <x15ac:absPath xmlns:x15ac="http://schemas.microsoft.com/office/spreadsheetml/2010/11/ac" url="D:\OL Draft\"/>
    </mc:Choice>
  </mc:AlternateContent>
  <xr:revisionPtr revIDLastSave="0" documentId="13_ncr:10001_{8CCF050B-22B9-4781-A808-134095E01639}" xr6:coauthVersionLast="47" xr6:coauthVersionMax="47" xr10:uidLastSave="{00000000-0000-0000-0000-000000000000}"/>
  <bookViews>
    <workbookView xWindow="-120" yWindow="-120" windowWidth="29040" windowHeight="15840" xr2:uid="{37FCCF91-6341-4E95-B04E-0AA08ED2A7C6}"/>
  </bookViews>
  <sheets>
    <sheet name="ORDER LIST" sheetId="6" r:id="rId1"/>
    <sheet name="Sample list" sheetId="2" r:id="rId2"/>
    <sheet name="Finish sample" sheetId="3" r:id="rId3"/>
    <sheet name="QUOTATION " sheetId="4" r:id="rId4"/>
    <sheet name="HOLDING PO" sheetId="7" r:id="rId5"/>
    <sheet name="CANCEL PO" sheetId="5" r:id="rId6"/>
  </sheets>
  <definedNames>
    <definedName name="_xlnm._FilterDatabase" localSheetId="2" hidden="1">'Finish sample'!$A$1:$X$619</definedName>
    <definedName name="_xlnm._FilterDatabase" localSheetId="0" hidden="1">'ORDER LIST'!$A$1:$XEV$375</definedName>
    <definedName name="_xlnm._FilterDatabase" localSheetId="3" hidden="1">'QUOTATION '!$A$1:$J$1</definedName>
    <definedName name="_xlnm._FilterDatabase" localSheetId="1" hidden="1">'Sample list'!$A$1:$L$2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5" i="6" l="1"/>
  <c r="Y155" i="6"/>
  <c r="G150" i="6"/>
  <c r="G140" i="6"/>
  <c r="G132" i="6"/>
  <c r="G118" i="6"/>
  <c r="G106" i="6"/>
  <c r="G89" i="6"/>
  <c r="W87" i="6"/>
  <c r="Y87" i="6" s="1"/>
  <c r="G73" i="6"/>
  <c r="G29" i="6"/>
  <c r="X87" i="6" l="1"/>
  <c r="G143" i="6"/>
  <c r="G315" i="6"/>
  <c r="W310" i="6"/>
  <c r="X310" i="6" s="1"/>
  <c r="AA310" i="6"/>
  <c r="W311" i="6"/>
  <c r="X311" i="6" s="1"/>
  <c r="AA311" i="6"/>
  <c r="W312" i="6"/>
  <c r="Y312" i="6" s="1"/>
  <c r="AA312" i="6"/>
  <c r="W313" i="6"/>
  <c r="X313" i="6" s="1"/>
  <c r="AA313" i="6"/>
  <c r="W314" i="6"/>
  <c r="X314" i="6" s="1"/>
  <c r="AA314" i="6"/>
  <c r="Y314" i="6" l="1"/>
  <c r="Y310" i="6"/>
  <c r="Y313" i="6"/>
  <c r="Y311" i="6"/>
  <c r="X312" i="6"/>
  <c r="G40" i="6" l="1"/>
  <c r="G60" i="6"/>
  <c r="W373" i="6" l="1"/>
  <c r="S142" i="6"/>
  <c r="T142" i="6"/>
  <c r="U142" i="6"/>
  <c r="W142" i="6"/>
  <c r="X142" i="6" s="1"/>
  <c r="AA142" i="6"/>
  <c r="Y142" i="6" l="1"/>
  <c r="Y143" i="6" s="1"/>
  <c r="W370" i="6" l="1"/>
  <c r="X370" i="6" s="1"/>
  <c r="AA370" i="6"/>
  <c r="Y370" i="6" l="1"/>
  <c r="W371" i="6"/>
  <c r="X371" i="6" s="1"/>
  <c r="AA371" i="6"/>
  <c r="Y371" i="6" l="1"/>
  <c r="W372" i="6"/>
  <c r="X372" i="6" s="1"/>
  <c r="AA372" i="6"/>
  <c r="Y372" i="6" l="1"/>
  <c r="X373" i="6"/>
  <c r="AA373" i="6"/>
  <c r="Y373" i="6" l="1"/>
  <c r="G325" i="6"/>
  <c r="AA321" i="6"/>
  <c r="W321" i="6"/>
  <c r="X321" i="6" s="1"/>
  <c r="Y321" i="6" l="1"/>
  <c r="G358" i="6"/>
  <c r="G344" i="6"/>
  <c r="G340" i="6"/>
  <c r="G173" i="6"/>
  <c r="G181" i="6"/>
  <c r="AA59" i="6"/>
  <c r="W59" i="6"/>
  <c r="X59" i="6" s="1"/>
  <c r="G49" i="6"/>
  <c r="G34" i="6"/>
  <c r="Y59" i="6" l="1"/>
  <c r="G56" i="6"/>
  <c r="G333" i="6"/>
  <c r="AA322" i="6"/>
  <c r="G12" i="6" l="1"/>
  <c r="AA77" i="5"/>
  <c r="W77" i="5"/>
  <c r="Y77" i="5" s="1"/>
  <c r="AA76" i="5"/>
  <c r="W76" i="5"/>
  <c r="Y76" i="5" s="1"/>
  <c r="X77" i="5" l="1"/>
  <c r="X76" i="5"/>
  <c r="AA69" i="6"/>
  <c r="W69" i="6"/>
  <c r="Y69" i="6" s="1"/>
  <c r="W338" i="6"/>
  <c r="Y338" i="6" s="1"/>
  <c r="AA338" i="6"/>
  <c r="W339" i="6"/>
  <c r="X339" i="6" s="1"/>
  <c r="AA339" i="6"/>
  <c r="X69" i="6" l="1"/>
  <c r="X338" i="6"/>
  <c r="Y339" i="6"/>
  <c r="W337" i="6"/>
  <c r="Y337" i="6" s="1"/>
  <c r="AA337" i="6"/>
  <c r="X337" i="6" l="1"/>
  <c r="W335" i="6"/>
  <c r="X335" i="6" s="1"/>
  <c r="AA335" i="6"/>
  <c r="W336" i="6"/>
  <c r="X336" i="6" s="1"/>
  <c r="AA336" i="6"/>
  <c r="Y335" i="6" l="1"/>
  <c r="Y336" i="6"/>
  <c r="W323" i="6"/>
  <c r="Y323" i="6" s="1"/>
  <c r="AA323" i="6"/>
  <c r="Y340" i="6" l="1"/>
  <c r="X323" i="6"/>
  <c r="W324" i="6"/>
  <c r="Y324" i="6" s="1"/>
  <c r="AA324" i="6"/>
  <c r="X324" i="6" l="1"/>
  <c r="W332" i="6" l="1"/>
  <c r="X332" i="6" s="1"/>
  <c r="AA332" i="6"/>
  <c r="Y332" i="6" l="1"/>
  <c r="W331" i="6"/>
  <c r="X331" i="6" s="1"/>
  <c r="AA331" i="6"/>
  <c r="Y331" i="6" l="1"/>
  <c r="W330" i="6"/>
  <c r="X330" i="6" s="1"/>
  <c r="AA330" i="6"/>
  <c r="Y330" i="6" l="1"/>
  <c r="W329" i="6"/>
  <c r="X329" i="6" s="1"/>
  <c r="Y329" i="6" l="1"/>
  <c r="W328" i="6" l="1"/>
  <c r="X328" i="6" s="1"/>
  <c r="AA328" i="6"/>
  <c r="Y328" i="6" l="1"/>
  <c r="AA36" i="6"/>
  <c r="W36" i="6"/>
  <c r="Y36" i="6" s="1"/>
  <c r="AA21" i="6"/>
  <c r="W21" i="6"/>
  <c r="Y21" i="6" s="1"/>
  <c r="G84" i="6"/>
  <c r="X36" i="6" l="1"/>
  <c r="X21" i="6"/>
  <c r="AA14" i="6"/>
  <c r="W14" i="6"/>
  <c r="Y14" i="6" s="1"/>
  <c r="X14" i="6" l="1"/>
  <c r="AA39" i="6" l="1"/>
  <c r="W39" i="6"/>
  <c r="Y39" i="6" s="1"/>
  <c r="X39" i="6" l="1"/>
  <c r="E683" i="3"/>
  <c r="G200" i="6"/>
  <c r="G192" i="6"/>
  <c r="G165" i="6"/>
  <c r="G349" i="6"/>
  <c r="G354" i="6"/>
  <c r="G65" i="6" l="1"/>
  <c r="W72" i="6" l="1"/>
  <c r="X72" i="6" s="1"/>
  <c r="AA72" i="6"/>
  <c r="Y72" i="6" l="1"/>
  <c r="W164" i="6"/>
  <c r="X164" i="6" s="1"/>
  <c r="AA164" i="6"/>
  <c r="Y164" i="6" l="1"/>
  <c r="W180" i="6"/>
  <c r="Y180" i="6" s="1"/>
  <c r="AA180" i="6"/>
  <c r="X180" i="6" l="1"/>
  <c r="W179" i="6"/>
  <c r="X179" i="6" s="1"/>
  <c r="AA179" i="6"/>
  <c r="Y179" i="6" l="1"/>
  <c r="AA178" i="6"/>
  <c r="Y177" i="6" l="1"/>
  <c r="AA177" i="6"/>
  <c r="AA25" i="6" l="1"/>
  <c r="AA26" i="6"/>
  <c r="AA27" i="6"/>
  <c r="AA28" i="6"/>
  <c r="AA163" i="6" l="1"/>
  <c r="W163" i="6"/>
  <c r="Y163" i="6" s="1"/>
  <c r="X163" i="6" l="1"/>
  <c r="AA58" i="6" l="1"/>
  <c r="W58" i="6"/>
  <c r="X58" i="6" s="1"/>
  <c r="AA38" i="6"/>
  <c r="W38" i="6"/>
  <c r="Y38" i="6" s="1"/>
  <c r="Y58" i="6" l="1"/>
  <c r="Y60" i="6" s="1"/>
  <c r="X38" i="6"/>
  <c r="W158" i="6" l="1"/>
  <c r="X158" i="6" s="1"/>
  <c r="AA158" i="6"/>
  <c r="Y158" i="6" l="1"/>
  <c r="W188" i="6" l="1"/>
  <c r="Y188" i="6" s="1"/>
  <c r="AA188" i="6"/>
  <c r="X188" i="6" l="1"/>
  <c r="W186" i="6" l="1"/>
  <c r="X186" i="6" s="1"/>
  <c r="AA186" i="6"/>
  <c r="Y186" i="6" l="1"/>
  <c r="W159" i="6" l="1"/>
  <c r="X159" i="6" s="1"/>
  <c r="AA159" i="6"/>
  <c r="W187" i="6" l="1"/>
  <c r="Y187" i="6" s="1"/>
  <c r="AA187" i="6"/>
  <c r="X187" i="6" l="1"/>
  <c r="AA183" i="6" l="1"/>
  <c r="W183" i="6"/>
  <c r="X183" i="6" s="1"/>
  <c r="Y183" i="6" l="1"/>
  <c r="W189" i="6" l="1"/>
  <c r="Y189" i="6" s="1"/>
  <c r="AA189" i="6"/>
  <c r="X189" i="6" l="1"/>
  <c r="W191" i="6" l="1"/>
  <c r="X191" i="6" s="1"/>
  <c r="AA191" i="6"/>
  <c r="Y191" i="6" l="1"/>
  <c r="W167" i="6" l="1"/>
  <c r="X167" i="6" s="1"/>
  <c r="AA167" i="6"/>
  <c r="W168" i="6"/>
  <c r="Y168" i="6" s="1"/>
  <c r="AA168" i="6"/>
  <c r="Y167" i="6" l="1"/>
  <c r="X168" i="6"/>
  <c r="W190" i="6"/>
  <c r="X190" i="6" s="1"/>
  <c r="AA190" i="6"/>
  <c r="Y190" i="6" l="1"/>
  <c r="W196" i="6"/>
  <c r="Y196" i="6" s="1"/>
  <c r="AA196" i="6"/>
  <c r="X196" i="6" l="1"/>
  <c r="W128" i="6"/>
  <c r="X128" i="6" s="1"/>
  <c r="AA128" i="6"/>
  <c r="Y128" i="6" l="1"/>
  <c r="W198" i="6"/>
  <c r="X198" i="6" s="1"/>
  <c r="AA198" i="6"/>
  <c r="Y198" i="6" l="1"/>
  <c r="W171" i="6"/>
  <c r="X171" i="6" s="1"/>
  <c r="AA171" i="6"/>
  <c r="Y171" i="6" l="1"/>
  <c r="W195" i="6"/>
  <c r="Y195" i="6" s="1"/>
  <c r="AA195" i="6"/>
  <c r="X195" i="6" l="1"/>
  <c r="W184" i="6"/>
  <c r="X184" i="6" s="1"/>
  <c r="AA184" i="6"/>
  <c r="W131" i="6"/>
  <c r="Y131" i="6" s="1"/>
  <c r="AA131" i="6"/>
  <c r="Y184" i="6" l="1"/>
  <c r="X131" i="6"/>
  <c r="W139" i="6"/>
  <c r="Y139" i="6" s="1"/>
  <c r="AA139" i="6"/>
  <c r="X139" i="6" l="1"/>
  <c r="W129" i="6"/>
  <c r="X129" i="6" s="1"/>
  <c r="Z129" i="6"/>
  <c r="AA129" i="6" s="1"/>
  <c r="Y129" i="6" l="1"/>
  <c r="W197" i="6"/>
  <c r="Y197" i="6" s="1"/>
  <c r="AA197" i="6"/>
  <c r="W170" i="6"/>
  <c r="X170" i="6" s="1"/>
  <c r="AA170" i="6"/>
  <c r="X197" i="6" l="1"/>
  <c r="Y170" i="6"/>
  <c r="W130" i="6"/>
  <c r="Y130" i="6" s="1"/>
  <c r="AA130" i="6"/>
  <c r="W154" i="6" l="1"/>
  <c r="X154" i="6" s="1"/>
  <c r="AA154" i="6"/>
  <c r="Y154" i="6" l="1"/>
  <c r="W169" i="6"/>
  <c r="X169" i="6" s="1"/>
  <c r="AA169" i="6"/>
  <c r="Y169" i="6" l="1"/>
  <c r="W81" i="6"/>
  <c r="X81" i="6" s="1"/>
  <c r="Y81" i="6" l="1"/>
  <c r="W320" i="6"/>
  <c r="Y320" i="6" s="1"/>
  <c r="AA320" i="6"/>
  <c r="W160" i="6"/>
  <c r="Y160" i="6" s="1"/>
  <c r="AA160" i="6"/>
  <c r="W161" i="6"/>
  <c r="X161" i="6" s="1"/>
  <c r="AA161" i="6"/>
  <c r="X320" i="6" l="1"/>
  <c r="X160" i="6"/>
  <c r="Y161" i="6"/>
  <c r="W185" i="6"/>
  <c r="X185" i="6" s="1"/>
  <c r="AA185" i="6"/>
  <c r="Y185" i="6" l="1"/>
  <c r="Y192" i="6" s="1"/>
  <c r="W199" i="6"/>
  <c r="X199" i="6" s="1"/>
  <c r="AA199" i="6"/>
  <c r="W319" i="6"/>
  <c r="X319" i="6" s="1"/>
  <c r="AA319" i="6"/>
  <c r="Y199" i="6" l="1"/>
  <c r="Y319" i="6"/>
  <c r="W98" i="6" l="1"/>
  <c r="X98" i="6" s="1"/>
  <c r="AA98" i="6"/>
  <c r="W194" i="6"/>
  <c r="X194" i="6" s="1"/>
  <c r="AA194" i="6"/>
  <c r="W317" i="6"/>
  <c r="X317" i="6" s="1"/>
  <c r="AA317" i="6"/>
  <c r="W318" i="6"/>
  <c r="X318" i="6" s="1"/>
  <c r="AA318" i="6"/>
  <c r="G110" i="6"/>
  <c r="S108" i="6"/>
  <c r="T108" i="6"/>
  <c r="U108" i="6"/>
  <c r="W108" i="6"/>
  <c r="X108" i="6" s="1"/>
  <c r="AA108" i="6"/>
  <c r="S109" i="6"/>
  <c r="T109" i="6"/>
  <c r="U109" i="6"/>
  <c r="W109" i="6"/>
  <c r="X109" i="6" s="1"/>
  <c r="AA109" i="6"/>
  <c r="Y98" i="6" l="1"/>
  <c r="Y194" i="6"/>
  <c r="Y200" i="6" s="1"/>
  <c r="Y318" i="6"/>
  <c r="Y317" i="6"/>
  <c r="Y108" i="6"/>
  <c r="Y109" i="6"/>
  <c r="AA149" i="6"/>
  <c r="W149" i="6"/>
  <c r="X149" i="6" s="1"/>
  <c r="Y325" i="6" l="1"/>
  <c r="Y110" i="6"/>
  <c r="Y149" i="6"/>
  <c r="W162" i="6" l="1"/>
  <c r="Y162" i="6" s="1"/>
  <c r="AA162" i="6"/>
  <c r="X162" i="6" l="1"/>
  <c r="G7" i="6" l="1"/>
  <c r="W4" i="6"/>
  <c r="X4" i="6" s="1"/>
  <c r="AA4" i="6"/>
  <c r="W5" i="6"/>
  <c r="Y5" i="6" s="1"/>
  <c r="AA5" i="6"/>
  <c r="W6" i="6"/>
  <c r="X6" i="6" s="1"/>
  <c r="AA6" i="6"/>
  <c r="X5" i="6" l="1"/>
  <c r="Y6" i="6"/>
  <c r="Y4" i="6"/>
  <c r="Y7" i="6" l="1"/>
  <c r="AA47" i="6"/>
  <c r="W47" i="6"/>
  <c r="Y47" i="6" s="1"/>
  <c r="X47" i="6" l="1"/>
  <c r="G78" i="6" l="1"/>
  <c r="W309" i="6" l="1"/>
  <c r="Y309" i="6" s="1"/>
  <c r="AA309" i="6"/>
  <c r="X309" i="6" l="1"/>
  <c r="W71" i="6"/>
  <c r="X71" i="6" s="1"/>
  <c r="AA71" i="6"/>
  <c r="Y71" i="6" l="1"/>
  <c r="W42" i="6" l="1"/>
  <c r="X42" i="6" s="1"/>
  <c r="AA42" i="6"/>
  <c r="Y42" i="6" l="1"/>
  <c r="W153" i="6" l="1"/>
  <c r="X153" i="6" s="1"/>
  <c r="AA153" i="6"/>
  <c r="Y153" i="6" l="1"/>
  <c r="G283" i="6" l="1"/>
  <c r="AA282" i="6"/>
  <c r="W282" i="6"/>
  <c r="Y282" i="6" s="1"/>
  <c r="AA281" i="6"/>
  <c r="W281" i="6"/>
  <c r="X281" i="6" s="1"/>
  <c r="Y281" i="6" l="1"/>
  <c r="X282" i="6"/>
  <c r="E667" i="3" l="1"/>
  <c r="S62" i="6" l="1"/>
  <c r="T62" i="6"/>
  <c r="U62" i="6"/>
  <c r="W62" i="6"/>
  <c r="X62" i="6" s="1"/>
  <c r="AA62" i="6"/>
  <c r="W63" i="6"/>
  <c r="X63" i="6" s="1"/>
  <c r="AA63" i="6"/>
  <c r="S64" i="6"/>
  <c r="T64" i="6"/>
  <c r="U64" i="6"/>
  <c r="W64" i="6"/>
  <c r="X64" i="6" s="1"/>
  <c r="AA64" i="6"/>
  <c r="W65" i="6" l="1"/>
  <c r="Y64" i="6"/>
  <c r="Y62" i="6"/>
  <c r="AA65" i="6"/>
  <c r="X65" i="6"/>
  <c r="Y63" i="6"/>
  <c r="Y65" i="6" l="1"/>
  <c r="AA308" i="6"/>
  <c r="W308" i="6"/>
  <c r="X308" i="6" s="1"/>
  <c r="AA307" i="6"/>
  <c r="W307" i="6"/>
  <c r="X307" i="6" s="1"/>
  <c r="AA306" i="6"/>
  <c r="W306" i="6"/>
  <c r="Y306" i="6" s="1"/>
  <c r="AA305" i="6"/>
  <c r="W305" i="6"/>
  <c r="X305" i="6" s="1"/>
  <c r="AA304" i="6"/>
  <c r="W304" i="6"/>
  <c r="Y304" i="6" s="1"/>
  <c r="AA303" i="6"/>
  <c r="W303" i="6"/>
  <c r="Y303" i="6" s="1"/>
  <c r="AA302" i="6"/>
  <c r="W302" i="6"/>
  <c r="X302" i="6" s="1"/>
  <c r="AA301" i="6"/>
  <c r="W301" i="6"/>
  <c r="Y301" i="6" s="1"/>
  <c r="AA300" i="6"/>
  <c r="W300" i="6"/>
  <c r="Y300" i="6" s="1"/>
  <c r="AA299" i="6"/>
  <c r="W299" i="6"/>
  <c r="X299" i="6" s="1"/>
  <c r="AA298" i="6"/>
  <c r="W298" i="6"/>
  <c r="Y298" i="6" s="1"/>
  <c r="AA297" i="6"/>
  <c r="W297" i="6"/>
  <c r="Y297" i="6" s="1"/>
  <c r="AA296" i="6"/>
  <c r="W296" i="6"/>
  <c r="X296" i="6" s="1"/>
  <c r="AA295" i="6"/>
  <c r="W295" i="6"/>
  <c r="Y295" i="6" s="1"/>
  <c r="AA294" i="6"/>
  <c r="W294" i="6"/>
  <c r="X294" i="6" s="1"/>
  <c r="AA293" i="6"/>
  <c r="W293" i="6"/>
  <c r="X293" i="6" s="1"/>
  <c r="AA292" i="6"/>
  <c r="W292" i="6"/>
  <c r="Y292" i="6" s="1"/>
  <c r="AA291" i="6"/>
  <c r="W291" i="6"/>
  <c r="Y291" i="6" s="1"/>
  <c r="AA290" i="6"/>
  <c r="W290" i="6"/>
  <c r="X290" i="6" s="1"/>
  <c r="AA289" i="6"/>
  <c r="W289" i="6"/>
  <c r="Y289" i="6" s="1"/>
  <c r="AA288" i="6"/>
  <c r="W288" i="6"/>
  <c r="Y288" i="6" s="1"/>
  <c r="AA287" i="6"/>
  <c r="W287" i="6"/>
  <c r="X287" i="6" s="1"/>
  <c r="AA286" i="6"/>
  <c r="W286" i="6"/>
  <c r="Y286" i="6" s="1"/>
  <c r="AA285" i="6"/>
  <c r="W285" i="6"/>
  <c r="Y285" i="6" s="1"/>
  <c r="Y308" i="6" l="1"/>
  <c r="Y299" i="6"/>
  <c r="Y296" i="6"/>
  <c r="X306" i="6"/>
  <c r="Y287" i="6"/>
  <c r="Y290" i="6"/>
  <c r="Y307" i="6"/>
  <c r="Y293" i="6"/>
  <c r="Y302" i="6"/>
  <c r="Y305" i="6"/>
  <c r="X285" i="6"/>
  <c r="X288" i="6"/>
  <c r="X291" i="6"/>
  <c r="X297" i="6"/>
  <c r="X300" i="6"/>
  <c r="X303" i="6"/>
  <c r="Y294" i="6"/>
  <c r="X286" i="6"/>
  <c r="X289" i="6"/>
  <c r="X292" i="6"/>
  <c r="X295" i="6"/>
  <c r="X298" i="6"/>
  <c r="X301" i="6"/>
  <c r="X304" i="6"/>
  <c r="Y315" i="6" l="1"/>
  <c r="AA22" i="6"/>
  <c r="W22" i="6"/>
  <c r="Y22" i="6" s="1"/>
  <c r="W20" i="6"/>
  <c r="X20" i="6" s="1"/>
  <c r="AA20" i="6"/>
  <c r="X22" i="6" l="1"/>
  <c r="Y20" i="6"/>
  <c r="W117" i="6"/>
  <c r="X117" i="6" s="1"/>
  <c r="AA117" i="6"/>
  <c r="Y117" i="6" l="1"/>
  <c r="W103" i="6" l="1"/>
  <c r="X103" i="6" s="1"/>
  <c r="Y103" i="6" l="1"/>
  <c r="W121" i="6"/>
  <c r="Y121" i="6" s="1"/>
  <c r="AA121" i="6"/>
  <c r="X121" i="6" l="1"/>
  <c r="W92" i="6" l="1"/>
  <c r="X92" i="6" s="1"/>
  <c r="AA92" i="6"/>
  <c r="Y92" i="6" l="1"/>
  <c r="W23" i="6" l="1"/>
  <c r="X23" i="6" s="1"/>
  <c r="AA23" i="6"/>
  <c r="Y23" i="6" l="1"/>
  <c r="W94" i="6" l="1"/>
  <c r="X94" i="6" s="1"/>
  <c r="AA94" i="6"/>
  <c r="Y94" i="6" l="1"/>
  <c r="U104" i="6" l="1"/>
  <c r="W104" i="6"/>
  <c r="X104" i="6" s="1"/>
  <c r="AA104" i="6"/>
  <c r="Y104" i="6" l="1"/>
  <c r="W137" i="6"/>
  <c r="X137" i="6" s="1"/>
  <c r="AA137" i="6"/>
  <c r="Y137" i="6" l="1"/>
  <c r="W105" i="6" l="1"/>
  <c r="X105" i="6" s="1"/>
  <c r="AA105" i="6"/>
  <c r="Y105" i="6" l="1"/>
  <c r="W123" i="6" l="1"/>
  <c r="Y123" i="6" s="1"/>
  <c r="AA123" i="6"/>
  <c r="W114" i="6"/>
  <c r="Y114" i="6" s="1"/>
  <c r="AA114" i="6"/>
  <c r="W115" i="6"/>
  <c r="X115" i="6" s="1"/>
  <c r="AA115" i="6"/>
  <c r="W116" i="6"/>
  <c r="X116" i="6" s="1"/>
  <c r="AA116" i="6"/>
  <c r="Y116" i="6" l="1"/>
  <c r="X114" i="6"/>
  <c r="X123" i="6"/>
  <c r="Y115" i="6"/>
  <c r="AA75" i="5"/>
  <c r="W75" i="5"/>
  <c r="Y75" i="5" s="1"/>
  <c r="AA203" i="6"/>
  <c r="AA204" i="6"/>
  <c r="AA205" i="6"/>
  <c r="AA206" i="6"/>
  <c r="AA207" i="6"/>
  <c r="AA208" i="6"/>
  <c r="AA209" i="6"/>
  <c r="AA210" i="6"/>
  <c r="AA211" i="6"/>
  <c r="AA212" i="6"/>
  <c r="AA213" i="6"/>
  <c r="AA214" i="6"/>
  <c r="AA215" i="6"/>
  <c r="AA216" i="6"/>
  <c r="AA217" i="6"/>
  <c r="AA218" i="6"/>
  <c r="AA219" i="6"/>
  <c r="AA220" i="6"/>
  <c r="AA221" i="6"/>
  <c r="AA222" i="6"/>
  <c r="AA223" i="6"/>
  <c r="AA224" i="6"/>
  <c r="AA225" i="6"/>
  <c r="AA226" i="6"/>
  <c r="AA227" i="6"/>
  <c r="AA228" i="6"/>
  <c r="AA229" i="6"/>
  <c r="AA230" i="6"/>
  <c r="AA231" i="6"/>
  <c r="AA232" i="6"/>
  <c r="AA233" i="6"/>
  <c r="AA234" i="6"/>
  <c r="AA235" i="6"/>
  <c r="AA236" i="6"/>
  <c r="AA237" i="6"/>
  <c r="AA238" i="6"/>
  <c r="AA239" i="6"/>
  <c r="AA240" i="6"/>
  <c r="AA241" i="6"/>
  <c r="AA242" i="6"/>
  <c r="AA243" i="6"/>
  <c r="AA244" i="6"/>
  <c r="AA245" i="6"/>
  <c r="AA246" i="6"/>
  <c r="AA247" i="6"/>
  <c r="AA248" i="6"/>
  <c r="AA249" i="6"/>
  <c r="AA250" i="6"/>
  <c r="AA251" i="6"/>
  <c r="AA252" i="6"/>
  <c r="AA253" i="6"/>
  <c r="AA254" i="6"/>
  <c r="AA255" i="6"/>
  <c r="AA256" i="6"/>
  <c r="AA257" i="6"/>
  <c r="AA258" i="6"/>
  <c r="AA259" i="6"/>
  <c r="AA260" i="6"/>
  <c r="AA261" i="6"/>
  <c r="AA262" i="6"/>
  <c r="AA263" i="6"/>
  <c r="AA264" i="6"/>
  <c r="AA265" i="6"/>
  <c r="AA266" i="6"/>
  <c r="AA267" i="6"/>
  <c r="AA268" i="6"/>
  <c r="AA269" i="6"/>
  <c r="AA270" i="6"/>
  <c r="AA271" i="6"/>
  <c r="AA272" i="6"/>
  <c r="AA273" i="6"/>
  <c r="AA274" i="6"/>
  <c r="AA275" i="6"/>
  <c r="AA276" i="6"/>
  <c r="AA277" i="6"/>
  <c r="AA278" i="6"/>
  <c r="AA279" i="6"/>
  <c r="AA280" i="6"/>
  <c r="X75" i="5" l="1"/>
  <c r="W100" i="6" l="1"/>
  <c r="Y100" i="6" s="1"/>
  <c r="AA100" i="6"/>
  <c r="X100" i="6" l="1"/>
  <c r="W93" i="6"/>
  <c r="Y93" i="6" s="1"/>
  <c r="AA93" i="6"/>
  <c r="X93" i="6" l="1"/>
  <c r="W127" i="6"/>
  <c r="X127" i="6" s="1"/>
  <c r="AA127" i="6"/>
  <c r="Y127" i="6" l="1"/>
  <c r="W99" i="6" l="1"/>
  <c r="X99" i="6" s="1"/>
  <c r="AA99" i="6"/>
  <c r="Y99" i="6" l="1"/>
  <c r="W136" i="6"/>
  <c r="X136" i="6" s="1"/>
  <c r="AA136" i="6"/>
  <c r="Y136" i="6" l="1"/>
  <c r="W55" i="6"/>
  <c r="X55" i="6" s="1"/>
  <c r="Y55" i="6" l="1"/>
  <c r="W88" i="6"/>
  <c r="X88" i="6" s="1"/>
  <c r="AA88" i="6"/>
  <c r="W148" i="6"/>
  <c r="X148" i="6" s="1"/>
  <c r="AA148" i="6"/>
  <c r="W147" i="6"/>
  <c r="X147" i="6" s="1"/>
  <c r="AA147" i="6"/>
  <c r="Y148" i="6" l="1"/>
  <c r="Y88" i="6"/>
  <c r="Y147" i="6"/>
  <c r="W24" i="6" l="1"/>
  <c r="X24" i="6" s="1"/>
  <c r="AA24" i="6"/>
  <c r="Y24" i="6" l="1"/>
  <c r="W280" i="6"/>
  <c r="Y280" i="6" s="1"/>
  <c r="W279" i="6"/>
  <c r="X279" i="6" s="1"/>
  <c r="W278" i="6"/>
  <c r="Y278" i="6" s="1"/>
  <c r="W277" i="6"/>
  <c r="Y277" i="6" s="1"/>
  <c r="W276" i="6"/>
  <c r="Y276" i="6" s="1"/>
  <c r="W275" i="6"/>
  <c r="X275" i="6" s="1"/>
  <c r="W274" i="6"/>
  <c r="X274" i="6" s="1"/>
  <c r="W273" i="6"/>
  <c r="Y273" i="6" s="1"/>
  <c r="W272" i="6"/>
  <c r="X272" i="6" s="1"/>
  <c r="W271" i="6"/>
  <c r="X271" i="6" s="1"/>
  <c r="W270" i="6"/>
  <c r="Y270" i="6" s="1"/>
  <c r="W269" i="6"/>
  <c r="Y269" i="6" s="1"/>
  <c r="W268" i="6"/>
  <c r="Y268" i="6" s="1"/>
  <c r="W267" i="6"/>
  <c r="X267" i="6" s="1"/>
  <c r="W263" i="6"/>
  <c r="Y263" i="6" s="1"/>
  <c r="W266" i="6"/>
  <c r="Y266" i="6" s="1"/>
  <c r="W265" i="6"/>
  <c r="X265" i="6" s="1"/>
  <c r="W264" i="6"/>
  <c r="Y264" i="6" s="1"/>
  <c r="W262" i="6"/>
  <c r="X262" i="6" s="1"/>
  <c r="W261" i="6"/>
  <c r="Y261" i="6" s="1"/>
  <c r="W260" i="6"/>
  <c r="Y260" i="6" s="1"/>
  <c r="W258" i="6"/>
  <c r="Y258" i="6" s="1"/>
  <c r="W259" i="6"/>
  <c r="X259" i="6" s="1"/>
  <c r="W257" i="6"/>
  <c r="Y257" i="6" s="1"/>
  <c r="W256" i="6"/>
  <c r="Y256" i="6" s="1"/>
  <c r="W254" i="6"/>
  <c r="X254" i="6" s="1"/>
  <c r="W255" i="6"/>
  <c r="X255" i="6" s="1"/>
  <c r="W252" i="6"/>
  <c r="Y252" i="6" s="1"/>
  <c r="W253" i="6"/>
  <c r="Y253" i="6" s="1"/>
  <c r="W251" i="6"/>
  <c r="Y251" i="6" s="1"/>
  <c r="W250" i="6"/>
  <c r="Y250" i="6" s="1"/>
  <c r="W249" i="6"/>
  <c r="Y249" i="6" s="1"/>
  <c r="W248" i="6"/>
  <c r="Y248" i="6" s="1"/>
  <c r="W247" i="6"/>
  <c r="Y247" i="6" s="1"/>
  <c r="W246" i="6"/>
  <c r="X246" i="6" s="1"/>
  <c r="W245" i="6"/>
  <c r="Y245" i="6" s="1"/>
  <c r="W244" i="6"/>
  <c r="Y244" i="6" s="1"/>
  <c r="W243" i="6"/>
  <c r="Y243" i="6" s="1"/>
  <c r="X242" i="6"/>
  <c r="W241" i="6"/>
  <c r="X241" i="6" s="1"/>
  <c r="W240" i="6"/>
  <c r="X240" i="6" s="1"/>
  <c r="W239" i="6"/>
  <c r="Y239" i="6" s="1"/>
  <c r="W238" i="6"/>
  <c r="Y238" i="6" s="1"/>
  <c r="W237" i="6"/>
  <c r="Y237" i="6" s="1"/>
  <c r="W236" i="6"/>
  <c r="Y236" i="6" s="1"/>
  <c r="Y235" i="6"/>
  <c r="X235" i="6"/>
  <c r="Y234" i="6"/>
  <c r="X234" i="6"/>
  <c r="W233" i="6"/>
  <c r="Y233" i="6" s="1"/>
  <c r="W232" i="6"/>
  <c r="Y232" i="6" s="1"/>
  <c r="W229" i="6"/>
  <c r="Y229" i="6" s="1"/>
  <c r="W230" i="6"/>
  <c r="Y230" i="6" s="1"/>
  <c r="W231" i="6"/>
  <c r="Y231" i="6" s="1"/>
  <c r="W227" i="6"/>
  <c r="Y227" i="6" s="1"/>
  <c r="X280" i="6" l="1"/>
  <c r="Y279" i="6"/>
  <c r="X278" i="6"/>
  <c r="X277" i="6"/>
  <c r="X276" i="6"/>
  <c r="Y275" i="6"/>
  <c r="Y274" i="6"/>
  <c r="X273" i="6"/>
  <c r="Y272" i="6"/>
  <c r="Y271" i="6"/>
  <c r="X270" i="6"/>
  <c r="X268" i="6"/>
  <c r="Y267" i="6"/>
  <c r="X269" i="6"/>
  <c r="X263" i="6"/>
  <c r="X266" i="6"/>
  <c r="Y265" i="6"/>
  <c r="X264" i="6"/>
  <c r="Y262" i="6"/>
  <c r="X261" i="6"/>
  <c r="X260" i="6"/>
  <c r="X258" i="6"/>
  <c r="Y259" i="6"/>
  <c r="Y255" i="6"/>
  <c r="X257" i="6"/>
  <c r="Y254" i="6"/>
  <c r="X256" i="6"/>
  <c r="X252" i="6"/>
  <c r="X251" i="6"/>
  <c r="X253" i="6"/>
  <c r="X250" i="6"/>
  <c r="X249" i="6"/>
  <c r="X248" i="6"/>
  <c r="Y246" i="6"/>
  <c r="Y241" i="6"/>
  <c r="X247" i="6"/>
  <c r="X245" i="6"/>
  <c r="X244" i="6"/>
  <c r="X243" i="6"/>
  <c r="Y240" i="6"/>
  <c r="X239" i="6"/>
  <c r="X238" i="6"/>
  <c r="X237" i="6"/>
  <c r="X236" i="6"/>
  <c r="X233" i="6"/>
  <c r="X232" i="6"/>
  <c r="X229" i="6"/>
  <c r="X230" i="6"/>
  <c r="X231" i="6"/>
  <c r="X227" i="6"/>
  <c r="W228" i="6" l="1"/>
  <c r="Y228" i="6" s="1"/>
  <c r="W226" i="6"/>
  <c r="X226" i="6" s="1"/>
  <c r="W225" i="6"/>
  <c r="X225" i="6" s="1"/>
  <c r="W224" i="6"/>
  <c r="Y224" i="6" s="1"/>
  <c r="W223" i="6"/>
  <c r="X223" i="6" s="1"/>
  <c r="W222" i="6"/>
  <c r="X222" i="6" s="1"/>
  <c r="W221" i="6"/>
  <c r="X221" i="6" s="1"/>
  <c r="W220" i="6"/>
  <c r="X220" i="6" s="1"/>
  <c r="W219" i="6"/>
  <c r="X219" i="6" s="1"/>
  <c r="W218" i="6"/>
  <c r="X218" i="6" s="1"/>
  <c r="W217" i="6"/>
  <c r="Y217" i="6" s="1"/>
  <c r="W216" i="6"/>
  <c r="Y216" i="6" s="1"/>
  <c r="W215" i="6"/>
  <c r="X215" i="6" s="1"/>
  <c r="W214" i="6"/>
  <c r="Y214" i="6" s="1"/>
  <c r="W213" i="6"/>
  <c r="Y213" i="6" s="1"/>
  <c r="W212" i="6"/>
  <c r="Y212" i="6" s="1"/>
  <c r="W211" i="6"/>
  <c r="Y211" i="6" s="1"/>
  <c r="W210" i="6"/>
  <c r="X210" i="6" s="1"/>
  <c r="W209" i="6"/>
  <c r="X209" i="6" s="1"/>
  <c r="W208" i="6"/>
  <c r="X208" i="6" s="1"/>
  <c r="W207" i="6"/>
  <c r="X207" i="6" s="1"/>
  <c r="W206" i="6"/>
  <c r="X206" i="6" s="1"/>
  <c r="W205" i="6"/>
  <c r="Y205" i="6" s="1"/>
  <c r="W204" i="6"/>
  <c r="Y204" i="6" s="1"/>
  <c r="W203" i="6"/>
  <c r="X203" i="6" s="1"/>
  <c r="AA202" i="6"/>
  <c r="W202" i="6"/>
  <c r="Y202" i="6" s="1"/>
  <c r="X228" i="6" l="1"/>
  <c r="Y226" i="6"/>
  <c r="Y225" i="6"/>
  <c r="Y222" i="6"/>
  <c r="X224" i="6"/>
  <c r="Y223" i="6"/>
  <c r="Y219" i="6"/>
  <c r="Y221" i="6"/>
  <c r="Y220" i="6"/>
  <c r="Y218" i="6"/>
  <c r="X217" i="6"/>
  <c r="X216" i="6"/>
  <c r="Y215" i="6"/>
  <c r="X214" i="6"/>
  <c r="X213" i="6"/>
  <c r="X212" i="6"/>
  <c r="X211" i="6"/>
  <c r="Y210" i="6"/>
  <c r="Y209" i="6"/>
  <c r="Y208" i="6"/>
  <c r="Y207" i="6"/>
  <c r="Y206" i="6"/>
  <c r="X205" i="6"/>
  <c r="X204" i="6"/>
  <c r="Y203" i="6"/>
  <c r="X202" i="6"/>
  <c r="Y283" i="6" l="1"/>
  <c r="AA145" i="6"/>
  <c r="W145" i="6"/>
  <c r="Y145" i="6" s="1"/>
  <c r="X145" i="6" l="1"/>
  <c r="W112" i="6" l="1"/>
  <c r="Y112" i="6" s="1"/>
  <c r="AA112" i="6"/>
  <c r="AA11" i="6"/>
  <c r="W11" i="6"/>
  <c r="X11" i="6" s="1"/>
  <c r="U11" i="6"/>
  <c r="T11" i="6"/>
  <c r="S11" i="6"/>
  <c r="X112" i="6" l="1"/>
  <c r="Y11" i="6"/>
  <c r="W53" i="6" l="1"/>
  <c r="Y53" i="6" s="1"/>
  <c r="AA53" i="6"/>
  <c r="W125" i="6"/>
  <c r="X125" i="6" s="1"/>
  <c r="AA125" i="6"/>
  <c r="W68" i="6"/>
  <c r="X68" i="6" s="1"/>
  <c r="AA68" i="6"/>
  <c r="W138" i="6"/>
  <c r="X138" i="6" s="1"/>
  <c r="AA138" i="6"/>
  <c r="W135" i="6"/>
  <c r="X135" i="6" s="1"/>
  <c r="AA135" i="6"/>
  <c r="W124" i="6"/>
  <c r="X124" i="6" s="1"/>
  <c r="AA124" i="6"/>
  <c r="Y125" i="6" l="1"/>
  <c r="X53" i="6"/>
  <c r="Y68" i="6"/>
  <c r="Y124" i="6"/>
  <c r="Y138" i="6"/>
  <c r="Y135" i="6"/>
  <c r="W126" i="6" l="1"/>
  <c r="X126" i="6" s="1"/>
  <c r="AA126" i="6"/>
  <c r="Y126" i="6" l="1"/>
  <c r="W83" i="6" l="1"/>
  <c r="Y83" i="6" s="1"/>
  <c r="AA83" i="6"/>
  <c r="X83" i="6" l="1"/>
  <c r="W91" i="6" l="1"/>
  <c r="X91" i="6" s="1"/>
  <c r="Y91" i="6" l="1"/>
  <c r="W48" i="6" l="1"/>
  <c r="X48" i="6" s="1"/>
  <c r="AA48" i="6"/>
  <c r="Y48" i="6" l="1"/>
  <c r="S9" i="6"/>
  <c r="T9" i="6"/>
  <c r="U9" i="6"/>
  <c r="W9" i="6"/>
  <c r="X9" i="6" s="1"/>
  <c r="AA9" i="6"/>
  <c r="S10" i="6"/>
  <c r="T10" i="6"/>
  <c r="U10" i="6"/>
  <c r="W10" i="6"/>
  <c r="X10" i="6" s="1"/>
  <c r="AA10" i="6"/>
  <c r="Y10" i="6" l="1"/>
  <c r="Y9" i="6"/>
  <c r="Y12" i="6" s="1"/>
  <c r="AA357" i="6" l="1"/>
  <c r="W357" i="6"/>
  <c r="Y357" i="6" s="1"/>
  <c r="AA356" i="6"/>
  <c r="W356" i="6"/>
  <c r="X356" i="6" s="1"/>
  <c r="AA353" i="6"/>
  <c r="W353" i="6"/>
  <c r="X353" i="6" s="1"/>
  <c r="AA352" i="6"/>
  <c r="W352" i="6"/>
  <c r="Y352" i="6" s="1"/>
  <c r="AA351" i="6"/>
  <c r="W351" i="6"/>
  <c r="Y351" i="6" s="1"/>
  <c r="AA348" i="6"/>
  <c r="W348" i="6"/>
  <c r="X348" i="6" s="1"/>
  <c r="AA347" i="6"/>
  <c r="W347" i="6"/>
  <c r="Y347" i="6" s="1"/>
  <c r="AA346" i="6"/>
  <c r="W346" i="6"/>
  <c r="X346" i="6" s="1"/>
  <c r="AA343" i="6"/>
  <c r="W343" i="6"/>
  <c r="X343" i="6" s="1"/>
  <c r="AA342" i="6"/>
  <c r="W342" i="6"/>
  <c r="X342" i="6" s="1"/>
  <c r="AA327" i="6"/>
  <c r="W327" i="6"/>
  <c r="Y327" i="6" s="1"/>
  <c r="Y333" i="6" s="1"/>
  <c r="AA176" i="6"/>
  <c r="W176" i="6"/>
  <c r="X176" i="6" s="1"/>
  <c r="AA175" i="6"/>
  <c r="W175" i="6"/>
  <c r="X175" i="6" s="1"/>
  <c r="AA157" i="6"/>
  <c r="W157" i="6"/>
  <c r="X157" i="6" s="1"/>
  <c r="AA152" i="6"/>
  <c r="W152" i="6"/>
  <c r="Y152" i="6" s="1"/>
  <c r="AA134" i="6"/>
  <c r="W134" i="6"/>
  <c r="X134" i="6" s="1"/>
  <c r="AA86" i="6"/>
  <c r="W86" i="6"/>
  <c r="Y86" i="6" s="1"/>
  <c r="Y89" i="6" s="1"/>
  <c r="AA80" i="6"/>
  <c r="W80" i="6"/>
  <c r="Y80" i="6" s="1"/>
  <c r="AA67" i="6"/>
  <c r="W67" i="6"/>
  <c r="Y67" i="6" s="1"/>
  <c r="AA37" i="6"/>
  <c r="W37" i="6"/>
  <c r="X37" i="6" s="1"/>
  <c r="AA51" i="6"/>
  <c r="W51" i="6"/>
  <c r="Y51" i="6" s="1"/>
  <c r="X357" i="6" l="1"/>
  <c r="Y356" i="6"/>
  <c r="Y358" i="6" s="1"/>
  <c r="Y353" i="6"/>
  <c r="Y354" i="6" s="1"/>
  <c r="Y348" i="6"/>
  <c r="X351" i="6"/>
  <c r="X352" i="6"/>
  <c r="Y346" i="6"/>
  <c r="Y342" i="6"/>
  <c r="X347" i="6"/>
  <c r="Y343" i="6"/>
  <c r="Y176" i="6"/>
  <c r="Y175" i="6"/>
  <c r="X327" i="6"/>
  <c r="X80" i="6"/>
  <c r="Y157" i="6"/>
  <c r="Y165" i="6" s="1"/>
  <c r="X152" i="6"/>
  <c r="Y134" i="6"/>
  <c r="X86" i="6"/>
  <c r="X67" i="6"/>
  <c r="Y37" i="6"/>
  <c r="Y40" i="6" s="1"/>
  <c r="X51" i="6"/>
  <c r="Y140" i="6" l="1"/>
  <c r="Y344" i="6"/>
  <c r="Y181" i="6"/>
  <c r="Y349" i="6"/>
  <c r="W101" i="6"/>
  <c r="Y101" i="6" s="1"/>
  <c r="AA101" i="6"/>
  <c r="X101" i="6" l="1"/>
  <c r="E656" i="3" l="1"/>
  <c r="E653" i="3"/>
  <c r="W43" i="6" l="1"/>
  <c r="X43" i="6" s="1"/>
  <c r="AA43" i="6"/>
  <c r="Y43" i="6" l="1"/>
  <c r="AA77" i="6" l="1"/>
  <c r="W77" i="6"/>
  <c r="Y77" i="6" s="1"/>
  <c r="AA76" i="6"/>
  <c r="W76" i="6"/>
  <c r="Y76" i="6" s="1"/>
  <c r="AA75" i="6"/>
  <c r="W75" i="6"/>
  <c r="Y75" i="6" s="1"/>
  <c r="Y78" i="6" l="1"/>
  <c r="X77" i="6"/>
  <c r="X76" i="6"/>
  <c r="X75" i="6"/>
  <c r="W120" i="6" l="1"/>
  <c r="X120" i="6" s="1"/>
  <c r="AA120" i="6"/>
  <c r="Y120" i="6" l="1"/>
  <c r="W46" i="6" l="1"/>
  <c r="X46" i="6" s="1"/>
  <c r="AA46" i="6"/>
  <c r="Y46" i="6" l="1"/>
  <c r="W146" i="6" l="1"/>
  <c r="X146" i="6" s="1"/>
  <c r="AA146" i="6"/>
  <c r="Y146" i="6" l="1"/>
  <c r="Y150" i="6" s="1"/>
  <c r="W122" i="6" l="1"/>
  <c r="Y122" i="6" s="1"/>
  <c r="Y132" i="6" s="1"/>
  <c r="AA122" i="6"/>
  <c r="X122" i="6" l="1"/>
  <c r="W52" i="6" l="1"/>
  <c r="X52" i="6" s="1"/>
  <c r="AA52" i="6"/>
  <c r="Y52" i="6" l="1"/>
  <c r="W44" i="6"/>
  <c r="Y44" i="6" s="1"/>
  <c r="AA44" i="6"/>
  <c r="X44" i="6" l="1"/>
  <c r="W96" i="6" l="1"/>
  <c r="X96" i="6" s="1"/>
  <c r="AA96" i="6"/>
  <c r="Y96" i="6" l="1"/>
  <c r="W95" i="6"/>
  <c r="X95" i="6" s="1"/>
  <c r="AA95" i="6"/>
  <c r="Y95" i="6" l="1"/>
  <c r="W18" i="6"/>
  <c r="X18" i="6" s="1"/>
  <c r="AA18" i="6"/>
  <c r="Y18" i="6" l="1"/>
  <c r="W17" i="6" l="1"/>
  <c r="Y17" i="6" s="1"/>
  <c r="AA17" i="6"/>
  <c r="X17" i="6" l="1"/>
  <c r="W19" i="6" l="1"/>
  <c r="X19" i="6" s="1"/>
  <c r="AA19" i="6"/>
  <c r="Y19" i="6" l="1"/>
  <c r="W102" i="6" l="1"/>
  <c r="Y102" i="6" s="1"/>
  <c r="AA102" i="6"/>
  <c r="X102" i="6" l="1"/>
  <c r="W70" i="6" l="1"/>
  <c r="X70" i="6" s="1"/>
  <c r="AA70" i="6"/>
  <c r="Y70" i="6" l="1"/>
  <c r="Y73" i="6" s="1"/>
  <c r="W45" i="6" l="1"/>
  <c r="X45" i="6" s="1"/>
  <c r="AA45" i="6"/>
  <c r="Y45" i="6" l="1"/>
  <c r="Y49" i="6" s="1"/>
  <c r="U15" i="6"/>
  <c r="W15" i="6"/>
  <c r="X15" i="6" s="1"/>
  <c r="AA15" i="6"/>
  <c r="Y15" i="6" l="1"/>
  <c r="W82" i="6" l="1"/>
  <c r="Y82" i="6" s="1"/>
  <c r="Y84" i="6" s="1"/>
  <c r="AA82" i="6"/>
  <c r="X82" i="6" l="1"/>
  <c r="AA113" i="6" l="1"/>
  <c r="W113" i="6"/>
  <c r="Y113" i="6" s="1"/>
  <c r="Y118" i="6" s="1"/>
  <c r="X113" i="6" l="1"/>
  <c r="AA97" i="6" l="1"/>
  <c r="W97" i="6"/>
  <c r="Y97" i="6" s="1"/>
  <c r="Y106" i="6" s="1"/>
  <c r="X97" i="6" l="1"/>
  <c r="E643" i="3" l="1"/>
  <c r="W368" i="6" l="1"/>
  <c r="Y368" i="6" s="1"/>
  <c r="AA172" i="6"/>
  <c r="W172" i="6"/>
  <c r="X172" i="6" s="1"/>
  <c r="AA367" i="6"/>
  <c r="W367" i="6"/>
  <c r="X367" i="6" s="1"/>
  <c r="AA54" i="6"/>
  <c r="W54" i="6"/>
  <c r="Y54" i="6" s="1"/>
  <c r="Y56" i="6" s="1"/>
  <c r="AA16" i="6"/>
  <c r="W16" i="6"/>
  <c r="Y16" i="6" s="1"/>
  <c r="Y29" i="6" s="1"/>
  <c r="AA365" i="6"/>
  <c r="W365" i="6"/>
  <c r="X365" i="6" s="1"/>
  <c r="U365" i="6"/>
  <c r="T365" i="6"/>
  <c r="S365" i="6"/>
  <c r="AA366" i="6"/>
  <c r="W366" i="6"/>
  <c r="Y366" i="6" s="1"/>
  <c r="X368" i="6" l="1"/>
  <c r="Y172" i="6"/>
  <c r="Y173" i="6" s="1"/>
  <c r="Y367" i="6"/>
  <c r="X54" i="6"/>
  <c r="X16" i="6"/>
  <c r="Y365" i="6"/>
  <c r="X366" i="6"/>
  <c r="AA74" i="5" l="1"/>
  <c r="W74" i="5"/>
  <c r="Y74" i="5" s="1"/>
  <c r="X74" i="5" l="1"/>
  <c r="E633" i="3" l="1"/>
  <c r="W363" i="6" l="1"/>
  <c r="X363" i="6" s="1"/>
  <c r="AA363" i="6"/>
  <c r="Y363" i="6" l="1"/>
  <c r="E594" i="3" l="1"/>
  <c r="AA72" i="5"/>
  <c r="G73" i="5"/>
  <c r="Y73" i="5"/>
  <c r="AA33" i="6" l="1"/>
  <c r="W33" i="6"/>
  <c r="Y33" i="6" s="1"/>
  <c r="X33" i="6" l="1"/>
  <c r="AA32" i="6" l="1"/>
  <c r="W32" i="6"/>
  <c r="Y32" i="6" s="1"/>
  <c r="AA31" i="6"/>
  <c r="W31" i="6"/>
  <c r="Y31" i="6" s="1"/>
  <c r="Y34" i="6" s="1"/>
  <c r="X32" i="6" l="1"/>
  <c r="X31" i="6"/>
  <c r="E579" i="3" l="1"/>
  <c r="E562" i="3" l="1"/>
  <c r="E551" i="3" l="1"/>
  <c r="G70" i="5" l="1"/>
  <c r="AA69" i="5"/>
  <c r="W69" i="5"/>
  <c r="Y69" i="5" s="1"/>
  <c r="Y70" i="5" s="1"/>
  <c r="X69" i="5" l="1"/>
  <c r="E536" i="3"/>
  <c r="AA67" i="5" l="1"/>
  <c r="W67" i="5"/>
  <c r="Y67" i="5" s="1"/>
  <c r="X67" i="5" l="1"/>
  <c r="W362" i="6" l="1"/>
  <c r="X362" i="6" s="1"/>
  <c r="AA362" i="6"/>
  <c r="W360" i="6"/>
  <c r="Y360" i="6" s="1"/>
  <c r="AA360" i="6"/>
  <c r="W361" i="6"/>
  <c r="Y361" i="6" s="1"/>
  <c r="AA361" i="6"/>
  <c r="X361" i="6" l="1"/>
  <c r="X360" i="6"/>
  <c r="Y362" i="6"/>
  <c r="G66" i="5" l="1"/>
  <c r="AA65" i="5"/>
  <c r="W65" i="5"/>
  <c r="X65" i="5" s="1"/>
  <c r="AA64" i="5"/>
  <c r="W64" i="5"/>
  <c r="X64" i="5" s="1"/>
  <c r="AA63" i="5"/>
  <c r="W63" i="5"/>
  <c r="X63" i="5" s="1"/>
  <c r="AA62" i="5"/>
  <c r="W62" i="5"/>
  <c r="Y62" i="5" s="1"/>
  <c r="AA61" i="5"/>
  <c r="W61" i="5"/>
  <c r="X61" i="5" s="1"/>
  <c r="AA60" i="5"/>
  <c r="W60" i="5"/>
  <c r="X60" i="5" s="1"/>
  <c r="AA59" i="5"/>
  <c r="W59" i="5"/>
  <c r="Y59" i="5" s="1"/>
  <c r="AA58" i="5"/>
  <c r="W58" i="5"/>
  <c r="X58" i="5" s="1"/>
  <c r="AA57" i="5"/>
  <c r="W57" i="5"/>
  <c r="X57" i="5" s="1"/>
  <c r="AA56" i="5"/>
  <c r="W56" i="5"/>
  <c r="Y56" i="5" s="1"/>
  <c r="AA55" i="5"/>
  <c r="W55" i="5"/>
  <c r="X55" i="5" s="1"/>
  <c r="AA54" i="5"/>
  <c r="W54" i="5"/>
  <c r="X54" i="5" s="1"/>
  <c r="Y65" i="5" l="1"/>
  <c r="Y55" i="5"/>
  <c r="Y64" i="5"/>
  <c r="X59" i="5"/>
  <c r="Y61" i="5"/>
  <c r="X56" i="5"/>
  <c r="Y58" i="5"/>
  <c r="X62" i="5"/>
  <c r="Y54" i="5"/>
  <c r="Y57" i="5"/>
  <c r="Y60" i="5"/>
  <c r="Y63" i="5"/>
  <c r="Y66" i="5" l="1"/>
  <c r="E513" i="3" l="1"/>
  <c r="G52" i="5" l="1"/>
  <c r="AA51" i="5"/>
  <c r="W51" i="5"/>
  <c r="Y51" i="5" s="1"/>
  <c r="AA50" i="5"/>
  <c r="W50" i="5"/>
  <c r="Y50" i="5" s="1"/>
  <c r="AA49" i="5"/>
  <c r="W49" i="5"/>
  <c r="Y49" i="5" s="1"/>
  <c r="AA48" i="5"/>
  <c r="W48" i="5"/>
  <c r="X48" i="5" s="1"/>
  <c r="Y52" i="5" l="1"/>
  <c r="Y48" i="5"/>
  <c r="X51" i="5"/>
  <c r="X50" i="5"/>
  <c r="X49" i="5"/>
  <c r="G47" i="5" l="1"/>
  <c r="AA46" i="5"/>
  <c r="W46" i="5"/>
  <c r="X46" i="5" s="1"/>
  <c r="AA45" i="5"/>
  <c r="W45" i="5"/>
  <c r="Y45" i="5" s="1"/>
  <c r="AA44" i="5"/>
  <c r="W44" i="5"/>
  <c r="X44" i="5" s="1"/>
  <c r="AA43" i="5"/>
  <c r="W43" i="5"/>
  <c r="X43" i="5" s="1"/>
  <c r="AA42" i="5"/>
  <c r="W42" i="5"/>
  <c r="Y42" i="5" s="1"/>
  <c r="AA41" i="5"/>
  <c r="W41" i="5"/>
  <c r="X41" i="5" s="1"/>
  <c r="Y43" i="5" l="1"/>
  <c r="Y41" i="5"/>
  <c r="Y46" i="5"/>
  <c r="Y44" i="5"/>
  <c r="X42" i="5"/>
  <c r="X45" i="5"/>
  <c r="Y47" i="5" l="1"/>
  <c r="G39" i="5" l="1"/>
  <c r="AA38" i="5"/>
  <c r="W38" i="5"/>
  <c r="X38" i="5" s="1"/>
  <c r="AA36" i="5"/>
  <c r="W36" i="5"/>
  <c r="X36" i="5" s="1"/>
  <c r="Y36" i="5" l="1"/>
  <c r="Y38" i="5"/>
  <c r="Y39" i="5" s="1"/>
  <c r="G34" i="5" l="1"/>
  <c r="AA33" i="5"/>
  <c r="W33" i="5"/>
  <c r="X33" i="5" s="1"/>
  <c r="AA32" i="5"/>
  <c r="W32" i="5"/>
  <c r="X32" i="5" s="1"/>
  <c r="AA31" i="5"/>
  <c r="W31" i="5"/>
  <c r="X31" i="5" s="1"/>
  <c r="AA30" i="5"/>
  <c r="W30" i="5"/>
  <c r="X30" i="5" s="1"/>
  <c r="AA29" i="5"/>
  <c r="W29" i="5"/>
  <c r="X29" i="5" s="1"/>
  <c r="AA28" i="5"/>
  <c r="W28" i="5"/>
  <c r="X28" i="5" s="1"/>
  <c r="Y30" i="5" l="1"/>
  <c r="Y28" i="5"/>
  <c r="Y32" i="5"/>
  <c r="Y29" i="5"/>
  <c r="Y31" i="5"/>
  <c r="Y33" i="5"/>
  <c r="Y34" i="5" l="1"/>
  <c r="G26" i="5" l="1"/>
  <c r="AA25" i="5"/>
  <c r="W25" i="5"/>
  <c r="Y25" i="5" s="1"/>
  <c r="AA24" i="5"/>
  <c r="W24" i="5"/>
  <c r="Y24" i="5" s="1"/>
  <c r="Y26" i="5" s="1"/>
  <c r="AA23" i="5"/>
  <c r="W23" i="5"/>
  <c r="Y23" i="5" s="1"/>
  <c r="AA22" i="5"/>
  <c r="W22" i="5"/>
  <c r="Y22" i="5" s="1"/>
  <c r="AA21" i="5"/>
  <c r="W21" i="5"/>
  <c r="Y21" i="5" s="1"/>
  <c r="AA20" i="5"/>
  <c r="W20" i="5"/>
  <c r="Y20" i="5" s="1"/>
  <c r="X25" i="5" l="1"/>
  <c r="X24" i="5"/>
  <c r="X23" i="5"/>
  <c r="X22" i="5"/>
  <c r="X21" i="5"/>
  <c r="X20" i="5"/>
  <c r="E494" i="3" l="1"/>
  <c r="E483" i="3" l="1"/>
  <c r="E465" i="3" l="1"/>
  <c r="E428" i="3" l="1"/>
  <c r="E449" i="3" l="1"/>
  <c r="E406" i="3" l="1"/>
  <c r="E388" i="3"/>
  <c r="E364" i="3"/>
  <c r="E343" i="3"/>
  <c r="E329" i="3"/>
  <c r="E309" i="3"/>
  <c r="G18" i="5" l="1"/>
  <c r="AA17" i="5"/>
  <c r="W17" i="5"/>
  <c r="Y17" i="5" s="1"/>
  <c r="AA16" i="5"/>
  <c r="W16" i="5"/>
  <c r="Y16" i="5" s="1"/>
  <c r="Y18" i="5" l="1"/>
  <c r="X17" i="5"/>
  <c r="X16" i="5"/>
  <c r="AA14" i="5" l="1"/>
  <c r="W14" i="5"/>
  <c r="Y14" i="5" s="1"/>
  <c r="X14" i="5" l="1"/>
  <c r="AA13" i="5" l="1"/>
  <c r="W13" i="5"/>
  <c r="X13" i="5" s="1"/>
  <c r="Y13" i="5" l="1"/>
  <c r="I310" i="4" l="1"/>
  <c r="I309" i="4"/>
  <c r="I308" i="4"/>
  <c r="I307" i="4"/>
  <c r="I288" i="4" l="1"/>
  <c r="I287" i="4"/>
  <c r="I286" i="4"/>
  <c r="I285" i="4"/>
  <c r="AA12" i="5" l="1"/>
  <c r="W12" i="5"/>
  <c r="Y12" i="5" s="1"/>
  <c r="X12" i="5" l="1"/>
  <c r="AA11" i="5" l="1"/>
  <c r="W11" i="5"/>
  <c r="Y11" i="5" s="1"/>
  <c r="X11" i="5" l="1"/>
  <c r="I298" i="4" l="1"/>
  <c r="I292" i="4" l="1"/>
  <c r="I291" i="4" l="1"/>
  <c r="I274" i="4" l="1"/>
  <c r="AA10" i="5"/>
  <c r="AA9" i="5"/>
  <c r="G8" i="5"/>
  <c r="AA7" i="5"/>
  <c r="W7" i="5"/>
  <c r="X7" i="5" s="1"/>
  <c r="U7" i="5"/>
  <c r="T7" i="5"/>
  <c r="S7" i="5"/>
  <c r="AA6" i="5"/>
  <c r="W6" i="5"/>
  <c r="X6" i="5" s="1"/>
  <c r="U6" i="5"/>
  <c r="T6" i="5"/>
  <c r="S6" i="5"/>
  <c r="AA4" i="5"/>
  <c r="W4" i="5"/>
  <c r="Y4" i="5" s="1"/>
  <c r="I218" i="4"/>
  <c r="I217" i="4"/>
  <c r="I216" i="4"/>
  <c r="I215" i="4"/>
  <c r="I127" i="4"/>
  <c r="I126" i="4"/>
  <c r="I70" i="4"/>
  <c r="I99" i="4"/>
  <c r="I98" i="4"/>
  <c r="I97" i="4"/>
  <c r="I214" i="4"/>
  <c r="I213" i="4"/>
  <c r="I204" i="4"/>
  <c r="I203" i="4"/>
  <c r="I202" i="4"/>
  <c r="I201" i="4"/>
  <c r="I104" i="4"/>
  <c r="I103" i="4"/>
  <c r="I143" i="4"/>
  <c r="I169" i="4"/>
  <c r="I113" i="4"/>
  <c r="I112" i="4"/>
  <c r="I111" i="4"/>
  <c r="I110" i="4"/>
  <c r="Z3" i="5"/>
  <c r="AA3" i="5" s="1"/>
  <c r="W3" i="5"/>
  <c r="X3" i="5" s="1"/>
  <c r="I65" i="4"/>
  <c r="I64" i="4"/>
  <c r="I24" i="4"/>
  <c r="I23" i="4"/>
  <c r="I22" i="4"/>
  <c r="I21" i="4"/>
  <c r="I20" i="4"/>
  <c r="I19" i="4"/>
  <c r="I18" i="4"/>
  <c r="I17" i="4"/>
  <c r="I16" i="4"/>
  <c r="I15" i="4"/>
  <c r="I14" i="4"/>
  <c r="I13" i="4"/>
  <c r="I9" i="4"/>
  <c r="I8" i="4"/>
  <c r="I7" i="4"/>
  <c r="I6" i="4"/>
  <c r="I5" i="4"/>
  <c r="I4" i="4"/>
  <c r="I12" i="4"/>
  <c r="I11" i="4"/>
  <c r="G5" i="7"/>
  <c r="W5" i="7" s="1"/>
  <c r="X5" i="7" s="1"/>
  <c r="U6" i="7"/>
  <c r="T6" i="7"/>
  <c r="S6" i="7"/>
  <c r="G6" i="7"/>
  <c r="AA6" i="7" s="1"/>
  <c r="U5" i="7"/>
  <c r="T5" i="7"/>
  <c r="S5" i="7"/>
  <c r="AA4" i="7"/>
  <c r="W4" i="7"/>
  <c r="X4" i="7" s="1"/>
  <c r="U4" i="7"/>
  <c r="T4" i="7"/>
  <c r="S4" i="7"/>
  <c r="AA3" i="7"/>
  <c r="W3" i="7"/>
  <c r="X3" i="7" s="1"/>
  <c r="U3" i="7"/>
  <c r="T3" i="7"/>
  <c r="S3" i="7"/>
  <c r="W6" i="7" l="1"/>
  <c r="X6" i="7" s="1"/>
  <c r="Y6" i="5"/>
  <c r="Y3" i="7"/>
  <c r="Y7" i="5"/>
  <c r="Y3" i="5"/>
  <c r="AA5" i="7"/>
  <c r="Y4" i="7"/>
  <c r="Y5" i="7"/>
  <c r="X4" i="5"/>
  <c r="Y6" i="7" l="1"/>
  <c r="Y8" i="5"/>
  <c r="E61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Ngan</author>
    <author>DGA</author>
  </authors>
  <commentList>
    <comment ref="E11" authorId="0" shapeId="0" xr:uid="{C6C3E7CE-57F7-491D-91FF-69924C342F41}">
      <text>
        <r>
          <rPr>
            <b/>
            <sz val="9"/>
            <color indexed="81"/>
            <rFont val="Tahoma"/>
            <family val="2"/>
          </rPr>
          <t>19/3/2026
đặt thêm cho đủ cont 40'DC</t>
        </r>
        <r>
          <rPr>
            <sz val="9"/>
            <color indexed="81"/>
            <rFont val="Tahoma"/>
            <family val="2"/>
          </rPr>
          <t xml:space="preserve">
(sales H)</t>
        </r>
      </text>
    </comment>
    <comment ref="U63" authorId="1" shapeId="0" xr:uid="{3DF230E9-D362-44FA-A1F3-F60CEB3843F1}">
      <text>
        <r>
          <rPr>
            <b/>
            <sz val="9"/>
            <color indexed="81"/>
            <rFont val="Tahoma"/>
            <family val="2"/>
          </rPr>
          <t>Ngan:</t>
        </r>
        <r>
          <rPr>
            <sz val="9"/>
            <color indexed="81"/>
            <rFont val="Tahoma"/>
            <family val="2"/>
          </rPr>
          <t xml:space="preserve">
9-5: check từ đơn đặt hàng thay đổi năm 2017 (Huyền sales)</t>
        </r>
      </text>
    </comment>
    <comment ref="L172" authorId="2" shapeId="0" xr:uid="{CC471DC7-35A3-4396-A57C-F9AE5E814059}">
      <text>
        <r>
          <rPr>
            <b/>
            <sz val="9"/>
            <color indexed="81"/>
            <rFont val="Tahoma"/>
            <family val="2"/>
          </rPr>
          <t>DGA:</t>
        </r>
        <r>
          <rPr>
            <sz val="9"/>
            <color indexed="81"/>
            <rFont val="Tahoma"/>
            <family val="2"/>
          </rPr>
          <t xml:space="preserve">
đổi hàng do thiếu túi kiếng, mã này là thái châu giao
</t>
        </r>
      </text>
    </comment>
    <comment ref="Z269" authorId="1" shapeId="0" xr:uid="{84401D43-AD60-467C-A950-E1B76DB243E3}">
      <text>
        <r>
          <rPr>
            <b/>
            <sz val="9"/>
            <color indexed="81"/>
            <rFont val="Tahoma"/>
            <family val="2"/>
          </rPr>
          <t>Ngan:</t>
        </r>
        <r>
          <rPr>
            <sz val="9"/>
            <color indexed="81"/>
            <rFont val="Tahoma"/>
            <family val="2"/>
          </rPr>
          <t xml:space="preserve">
mistake last year Mr. Henrik offered to make 100 x Whistler boots bags without charge to compensate.</t>
        </r>
      </text>
    </comment>
    <comment ref="S292" authorId="1" shapeId="0" xr:uid="{1F740F74-F923-4ED8-909A-FCE0618F5991}">
      <text>
        <r>
          <rPr>
            <b/>
            <sz val="9"/>
            <color indexed="81"/>
            <rFont val="Tahoma"/>
            <family val="2"/>
          </rPr>
          <t>Ngan:</t>
        </r>
        <r>
          <rPr>
            <sz val="9"/>
            <color indexed="81"/>
            <rFont val="Tahoma"/>
            <family val="2"/>
          </rPr>
          <t xml:space="preserve">
lần sau sd cùng size thùng 1265 (6-8-2025)</t>
        </r>
      </text>
    </comment>
  </commentList>
</comments>
</file>

<file path=xl/sharedStrings.xml><?xml version="1.0" encoding="utf-8"?>
<sst xmlns="http://schemas.openxmlformats.org/spreadsheetml/2006/main" count="10689" uniqueCount="3475">
  <si>
    <t>Order date</t>
  </si>
  <si>
    <t>Order No.</t>
  </si>
  <si>
    <t>DG Case No</t>
  </si>
  <si>
    <t>Contract</t>
  </si>
  <si>
    <t>Remarks</t>
  </si>
  <si>
    <t>Customer</t>
  </si>
  <si>
    <t>Qty</t>
  </si>
  <si>
    <t xml:space="preserve">  Production No.</t>
  </si>
  <si>
    <t xml:space="preserve">Production name </t>
  </si>
  <si>
    <t>Logo</t>
  </si>
  <si>
    <t>Product color</t>
  </si>
  <si>
    <t>Supplier</t>
  </si>
  <si>
    <t>Ship date</t>
  </si>
  <si>
    <t>Shipped by</t>
  </si>
  <si>
    <t xml:space="preserve">Material </t>
  </si>
  <si>
    <t>LOGO Approval</t>
  </si>
  <si>
    <t>Finished cutting</t>
  </si>
  <si>
    <t>Logotype</t>
  </si>
  <si>
    <t>Box size (cm)</t>
  </si>
  <si>
    <t>Qty/ctn (pcs)</t>
  </si>
  <si>
    <t>Carton Qty (pcs)</t>
  </si>
  <si>
    <t>GW whole order (kg)</t>
  </si>
  <si>
    <t>CBM
whole order</t>
  </si>
  <si>
    <t>For making invoice</t>
  </si>
  <si>
    <t>Forwarder</t>
  </si>
  <si>
    <t xml:space="preserve">Eyelets/Spring-Button </t>
  </si>
  <si>
    <t xml:space="preserve">Cutting Part </t>
  </si>
  <si>
    <t xml:space="preserve">Stock Part </t>
  </si>
  <si>
    <t xml:space="preserve">Logo Part </t>
  </si>
  <si>
    <t xml:space="preserve">Processing Part </t>
  </si>
  <si>
    <t>Estimate time of delivery from Ms Thuy</t>
  </si>
  <si>
    <t xml:space="preserve">Receiving Part </t>
  </si>
  <si>
    <t xml:space="preserve">QC Part </t>
  </si>
  <si>
    <t xml:space="preserve">Packing Part </t>
  </si>
  <si>
    <t xml:space="preserve">Eyelets Part </t>
  </si>
  <si>
    <t>Sewing bottom/upright</t>
  </si>
  <si>
    <t xml:space="preserve">Bottom </t>
  </si>
  <si>
    <t>Carton Box</t>
  </si>
  <si>
    <t xml:space="preserve">L </t>
  </si>
  <si>
    <t>W</t>
  </si>
  <si>
    <t xml:space="preserve">H </t>
  </si>
  <si>
    <t>Selling Price+Y1X1:AB6</t>
  </si>
  <si>
    <t>Total value</t>
  </si>
  <si>
    <t>Currency</t>
  </si>
  <si>
    <t>OLD</t>
  </si>
  <si>
    <t xml:space="preserve">PRINT </t>
  </si>
  <si>
    <t>USD</t>
  </si>
  <si>
    <t xml:space="preserve">Done </t>
  </si>
  <si>
    <t>-</t>
  </si>
  <si>
    <t>NO LOGO</t>
  </si>
  <si>
    <t>Red</t>
  </si>
  <si>
    <t xml:space="preserve"> </t>
  </si>
  <si>
    <t>EMG</t>
  </si>
  <si>
    <t>Black</t>
  </si>
  <si>
    <t>40'HC</t>
  </si>
  <si>
    <t>D1800x900 PVC</t>
  </si>
  <si>
    <t>Orange</t>
  </si>
  <si>
    <t>TRANSFER after sewing</t>
  </si>
  <si>
    <t>Square Tool bag</t>
  </si>
  <si>
    <t>No logo</t>
  </si>
  <si>
    <t>VD</t>
  </si>
  <si>
    <t>C-176-4467-001</t>
  </si>
  <si>
    <t xml:space="preserve">Large pallet bag </t>
  </si>
  <si>
    <t xml:space="preserve">Orange </t>
  </si>
  <si>
    <t>Tấn Trường - VD</t>
  </si>
  <si>
    <t>Tarpaulin 0.75mm</t>
  </si>
  <si>
    <t>Trolley bag</t>
  </si>
  <si>
    <t>Trolley</t>
  </si>
  <si>
    <t>Thái Châu - VD</t>
  </si>
  <si>
    <t xml:space="preserve">Black </t>
  </si>
  <si>
    <t>Rubbermaid</t>
  </si>
  <si>
    <t>Blue</t>
  </si>
  <si>
    <t>Thu Hằng - VD</t>
  </si>
  <si>
    <t>Eyelets</t>
  </si>
  <si>
    <t xml:space="preserve">BRUTE CADDY BAG        </t>
  </si>
  <si>
    <t>Yellow</t>
  </si>
  <si>
    <t>Tấn Trường</t>
  </si>
  <si>
    <t>Tarpaulin 0.35mm</t>
  </si>
  <si>
    <t>Tấn Trường transfer</t>
  </si>
  <si>
    <t>Certex Springload soft bag</t>
  </si>
  <si>
    <t>R&amp;T Christiansen ApS</t>
  </si>
  <si>
    <t>#6668
(C-314-3573-065)</t>
  </si>
  <si>
    <t>Shopping bag</t>
  </si>
  <si>
    <t>Leth Beton
miljørigtig  elementor montage</t>
  </si>
  <si>
    <t>Shopping Bag</t>
  </si>
  <si>
    <t>D1800*900 PVC</t>
  </si>
  <si>
    <t>#6623
(C-314-3682-013)</t>
  </si>
  <si>
    <t> Håkonsson</t>
  </si>
  <si>
    <t>D600*300 PVC</t>
  </si>
  <si>
    <t>Sport bag</t>
  </si>
  <si>
    <t>Lifting bag for scaffold</t>
  </si>
  <si>
    <t>Protection box with hoist harness for batteries</t>
  </si>
  <si>
    <t>Sơn Thành Đạt - VD</t>
  </si>
  <si>
    <t>C-176-5622-001</t>
  </si>
  <si>
    <t xml:space="preserve">Tool bag with steel fittings </t>
  </si>
  <si>
    <t>Backpack</t>
  </si>
  <si>
    <t xml:space="preserve">EMG </t>
  </si>
  <si>
    <t xml:space="preserve">No Logo </t>
  </si>
  <si>
    <t>Mini long tool bag</t>
  </si>
  <si>
    <t>40'DC</t>
  </si>
  <si>
    <t xml:space="preserve">FABRIC 9 POCKET ORG    </t>
  </si>
  <si>
    <t>Rubbermaid Commercial Products 
+ ES Executive Series</t>
  </si>
  <si>
    <t>Hồng Hạnh  - VD</t>
  </si>
  <si>
    <t xml:space="preserve"> D600*300 PVC </t>
  </si>
  <si>
    <t xml:space="preserve">Spring-Button </t>
  </si>
  <si>
    <t>INTERSURF A/S</t>
  </si>
  <si>
    <t>SnowTech Covert Vario Skibag 1 pair Adj. 175-195cm</t>
  </si>
  <si>
    <t>BNA Boardshop</t>
  </si>
  <si>
    <t>C-324-3849-027</t>
  </si>
  <si>
    <t>SnowTech Whistler Støvlebag - 1 par</t>
  </si>
  <si>
    <t>SnowTech Covert Vario Skibag 1 pair Adj. 160-180cm</t>
  </si>
  <si>
    <t>SnowTech Junior Skiselen HEMATIS™</t>
  </si>
  <si>
    <t>SnowTech Whistler Støvle/Hjelmbag</t>
  </si>
  <si>
    <t>C-324-5521-009</t>
  </si>
  <si>
    <t xml:space="preserve">S&amp;S Odense + bike </t>
  </si>
  <si>
    <t>SnowTech Covert Vario Skibag 2 pair Adj. 160-180cm</t>
  </si>
  <si>
    <t>Based on #4408</t>
  </si>
  <si>
    <t>C-324-10048-001</t>
  </si>
  <si>
    <t xml:space="preserve">SnowTech Sport Støvlebag - 2 par </t>
  </si>
  <si>
    <t>Linen Hamper bag 30 Gal</t>
  </si>
  <si>
    <t>Tall drum bag for rescue equipment</t>
  </si>
  <si>
    <t>No Logo</t>
  </si>
  <si>
    <t xml:space="preserve">No logo </t>
  </si>
  <si>
    <t>Transfer after sewing</t>
  </si>
  <si>
    <t>Square tool bag</t>
  </si>
  <si>
    <t xml:space="preserve">Single Extendable Ski Bag 165cm-185cm </t>
  </si>
  <si>
    <t>Double Extendable Ski Bag 175cm-195cm</t>
  </si>
  <si>
    <t>C-324-3850-016</t>
  </si>
  <si>
    <t>C-324-3852-006</t>
  </si>
  <si>
    <t>C-176-2073-3-001</t>
  </si>
  <si>
    <t>Round tool bag Ø80</t>
  </si>
  <si>
    <t>Vattenfall</t>
  </si>
  <si>
    <t>Holster bag for Jumbo box (without hard cover)</t>
  </si>
  <si>
    <t>no logo</t>
  </si>
  <si>
    <t>Do in advance</t>
  </si>
  <si>
    <t xml:space="preserve">EXECUTIVE BRUTE CADDY BAG BLA    </t>
  </si>
  <si>
    <t>PRIORITY</t>
  </si>
  <si>
    <t>REMARKS</t>
  </si>
  <si>
    <t>Production No.</t>
  </si>
  <si>
    <t>Production Name</t>
  </si>
  <si>
    <t>GLOBAL TIMER</t>
  </si>
  <si>
    <t>#10050</t>
  </si>
  <si>
    <t xml:space="preserve">Shoulder bag </t>
  </si>
  <si>
    <t>Đen</t>
  </si>
  <si>
    <t>#10051</t>
  </si>
  <si>
    <t>Dice bag</t>
  </si>
  <si>
    <t>#10052</t>
  </si>
  <si>
    <t>Dry bag</t>
  </si>
  <si>
    <t>Cam</t>
  </si>
  <si>
    <t>C.176.4872.001</t>
  </si>
  <si>
    <t>Large tube bag</t>
  </si>
  <si>
    <t>C.176.5398.001</t>
  </si>
  <si>
    <t>Diagonal tube bag</t>
  </si>
  <si>
    <t>C.176.4595.002</t>
  </si>
  <si>
    <t>Lifting bag for pitch cylinder</t>
  </si>
  <si>
    <t>May lại mẫu để điều chỉnh dấu trên rập. Lần sản xuất này vẫn bình thường</t>
  </si>
  <si>
    <t>Màu bất kỳ</t>
  </si>
  <si>
    <t>C-176-7011</t>
  </si>
  <si>
    <t>Blade bag for disruption of aerodynamics For V150</t>
  </si>
  <si>
    <t>Light grey</t>
  </si>
  <si>
    <t>C - 176 - 5886 - 001</t>
  </si>
  <si>
    <t>C - 176 - 5683 - 002</t>
  </si>
  <si>
    <t>VATTENFALL</t>
  </si>
  <si>
    <t xml:space="preserve">Mẫu cần cho sản xuất </t>
  </si>
  <si>
    <t>#6623
C-314-3682-012</t>
  </si>
  <si>
    <t xml:space="preserve">Dansk Revision </t>
  </si>
  <si>
    <t>Màu xanh navy</t>
  </si>
  <si>
    <t>C-314-1338-001</t>
  </si>
  <si>
    <t>Pole Bag</t>
  </si>
  <si>
    <t>KG Camping</t>
  </si>
  <si>
    <t>C-314-1159-001</t>
  </si>
  <si>
    <t>Tent bag</t>
  </si>
  <si>
    <t>C-314-1159-002</t>
  </si>
  <si>
    <t>Brønderslev Caravan + Caravelair + LMC + Hobby + Tabbert + T@B</t>
  </si>
  <si>
    <t>C-314-1338-002</t>
  </si>
  <si>
    <t>C.176.4786.001</t>
  </si>
  <si>
    <t xml:space="preserve">Mẫu cần gửi cho KH khoảng đầu tuần sau </t>
  </si>
  <si>
    <t>R&amp;T</t>
  </si>
  <si>
    <t>C-314-3573-062
(#6619)</t>
  </si>
  <si>
    <t>Dark Navy</t>
  </si>
  <si>
    <t>C-314-3573-063
(#6610)</t>
  </si>
  <si>
    <t>C-314-3573-064
(#6610)</t>
  </si>
  <si>
    <t>C-314-1059-048 (#6649)</t>
  </si>
  <si>
    <t>C-314-3672-001</t>
  </si>
  <si>
    <t>Pedbag</t>
  </si>
  <si>
    <t>C-314-5406-002</t>
  </si>
  <si>
    <t>Shopping bag
36*36*12cms</t>
  </si>
  <si>
    <t>C-314-5717-002</t>
  </si>
  <si>
    <t>Shopping Bag ( FOLDABLE BAG)</t>
  </si>
  <si>
    <t>SKJERN BANK</t>
  </si>
  <si>
    <t>C - 176 - 5661 - 001</t>
  </si>
  <si>
    <t>Cover bag #4702</t>
  </si>
  <si>
    <t xml:space="preserve">BRANDWORKZ </t>
  </si>
  <si>
    <t>C-131-5965-001</t>
  </si>
  <si>
    <t>Library shopping bag</t>
  </si>
  <si>
    <t>Picture</t>
  </si>
  <si>
    <t>Xanh navy</t>
  </si>
  <si>
    <t>Phipps</t>
  </si>
  <si>
    <t>#3882</t>
  </si>
  <si>
    <t>HURDLE BAG ROYAL D1283                            (52 x 52 x 29)</t>
  </si>
  <si>
    <t xml:space="preserve">"Sport hall by Eveque" </t>
  </si>
  <si>
    <t>xanh</t>
  </si>
  <si>
    <t>#3356</t>
  </si>
  <si>
    <t xml:space="preserve">HI STEPPER ROYAL D1262      (75 x 21,5 x 30,5) </t>
  </si>
  <si>
    <t>#3353</t>
  </si>
  <si>
    <t>JAVELIN ROYAL D1270                               (82L x 39 Dia)</t>
  </si>
  <si>
    <t>#3241</t>
  </si>
  <si>
    <t>DISCUS PAK ROUND ROYAL D1259   (12H x 16H x 16W)</t>
  </si>
  <si>
    <t>#3238</t>
  </si>
  <si>
    <t>PAKBAG THR LONG ROYAL D1267  (90L x 20H x 23W)</t>
  </si>
  <si>
    <t>#4463</t>
  </si>
  <si>
    <t>MINI JAV ROYAL D1384              (35H x 35W x 50L)</t>
  </si>
  <si>
    <t>C - 176 - 5686 - 001</t>
  </si>
  <si>
    <t>Blade bag for disruption of aerodynamics ( concept A) for V150</t>
  </si>
  <si>
    <r>
      <t xml:space="preserve">White
</t>
    </r>
    <r>
      <rPr>
        <i/>
        <sz val="10"/>
        <rFont val="Arial"/>
        <family val="2"/>
      </rPr>
      <t>(Mẫu lưu ở nhà may vải D600 Navy do k đủ vải)</t>
    </r>
  </si>
  <si>
    <t>#3439</t>
  </si>
  <si>
    <t>PAKBAG JUM  ROYAL D1269</t>
  </si>
  <si>
    <t>C-176-7014</t>
  </si>
  <si>
    <t>Square lifting bag with roundgoing handles</t>
  </si>
  <si>
    <t>C.176.4435.001</t>
  </si>
  <si>
    <t>C-176-35200-002</t>
  </si>
  <si>
    <t>Long tool bag</t>
  </si>
  <si>
    <t>C-176-5983-001</t>
  </si>
  <si>
    <t>Lifting bag for safemaster ladder</t>
  </si>
  <si>
    <t>orange</t>
  </si>
  <si>
    <t>#10041</t>
  </si>
  <si>
    <t>18 Pocket insert                                   (Jump Seat Headrest Rev A)</t>
  </si>
  <si>
    <t>#10042</t>
  </si>
  <si>
    <t>36 Pocket insert                         (Assy Door Glazing Drop)</t>
  </si>
  <si>
    <t>#10044</t>
  </si>
  <si>
    <t>16 Pocket insert                    (Door Reinfore Base On Inner)</t>
  </si>
  <si>
    <t>#3354-001</t>
  </si>
  <si>
    <t>GRANDMAT BAG D1261</t>
  </si>
  <si>
    <t>#10028</t>
  </si>
  <si>
    <t>Royal mail bag</t>
  </si>
  <si>
    <t>Royal Mail</t>
  </si>
  <si>
    <t>màu bất kỳ</t>
  </si>
  <si>
    <t>May lại điều chỉnh thông số</t>
  </si>
  <si>
    <t>#2840</t>
  </si>
  <si>
    <t>BLACK AB110A MH172                          (94L x 65W x 16H)</t>
  </si>
  <si>
    <t>C.176.3963.001</t>
  </si>
  <si>
    <t>No logo 
(đánh dấu định vị logo trên túi)</t>
  </si>
  <si>
    <t>C.176.2606.009</t>
  </si>
  <si>
    <t>SIEMENS Gamesa RENEWABLE ENERGY 
( ko in logo, chỉ lấy dấu định vị )</t>
  </si>
  <si>
    <t>Shoulder strap</t>
  </si>
  <si>
    <t>đen</t>
  </si>
  <si>
    <t>DG-10022-02</t>
  </si>
  <si>
    <t>COVER</t>
  </si>
  <si>
    <t>Xanh Olive</t>
  </si>
  <si>
    <t>Dog collar</t>
  </si>
  <si>
    <t xml:space="preserve">DATE </t>
  </si>
  <si>
    <t xml:space="preserve">REMARK </t>
  </si>
  <si>
    <t>Production no.</t>
  </si>
  <si>
    <t>LOGO</t>
  </si>
  <si>
    <t>COLOR</t>
  </si>
  <si>
    <t xml:space="preserve">MATERIAL </t>
  </si>
  <si>
    <t xml:space="preserve">QTY </t>
  </si>
  <si>
    <t>UNIT PRICE
(USD/PC)</t>
  </si>
  <si>
    <t>C-324-4155</t>
  </si>
  <si>
    <t>C-324-4156</t>
  </si>
  <si>
    <t xml:space="preserve">Shopping bag </t>
  </si>
  <si>
    <t>SHOPPING BAG</t>
  </si>
  <si>
    <t xml:space="preserve">May A - VD </t>
  </si>
  <si>
    <t>C.176.5618.001</t>
  </si>
  <si>
    <t>Team bag for heavy lift</t>
  </si>
  <si>
    <t>"tạm"
 C-176-5867-001</t>
  </si>
  <si>
    <t>Vàng</t>
  </si>
  <si>
    <t>#6619
C-314-3573</t>
  </si>
  <si>
    <t>C-176-4425-002</t>
  </si>
  <si>
    <t>GLOBAL WIND SERVICE
 WLL MAX 25KG</t>
  </si>
  <si>
    <t>C-176-7015</t>
  </si>
  <si>
    <t>Lifting cargo harness with ratches</t>
  </si>
  <si>
    <t>C-176-7016</t>
  </si>
  <si>
    <t>4467 Mini gift bag</t>
  </si>
  <si>
    <t>C.176.5511.004</t>
  </si>
  <si>
    <t>Cover bag of #4467 ( with vavle)</t>
  </si>
  <si>
    <t>Red/ Navy</t>
  </si>
  <si>
    <t>#10055-001</t>
  </si>
  <si>
    <t>Shopping bag - JKS</t>
  </si>
  <si>
    <t>JKS</t>
  </si>
  <si>
    <t>Brandworkz</t>
  </si>
  <si>
    <t>C-176-7017</t>
  </si>
  <si>
    <t>Waterproof lifting bag for drone - Small (25 KGS)</t>
  </si>
  <si>
    <t>C-176-7018</t>
  </si>
  <si>
    <t>Waterproof lifting bag for drone - Small (50 KGS)</t>
  </si>
  <si>
    <t>C-176-7019</t>
  </si>
  <si>
    <t>Waterproof lifting bag for drone - Small (80 KGS)</t>
  </si>
  <si>
    <t>C - 176 - 7012</t>
  </si>
  <si>
    <t>Blade bag for disruption of aerodynamics For V162 (concept A)</t>
  </si>
  <si>
    <t>C-176-7020-001</t>
  </si>
  <si>
    <t xml:space="preserve">Lifting harness for SST module </t>
  </si>
  <si>
    <t>FG264200YEL
C-214-1368-002</t>
  </si>
  <si>
    <t>FG9T9000BLA 
C-214-1392-003</t>
  </si>
  <si>
    <t>C-176-7021</t>
  </si>
  <si>
    <t>Raizor bag</t>
  </si>
  <si>
    <t>Raizor Liftup</t>
  </si>
  <si>
    <t>#10058-001</t>
  </si>
  <si>
    <t>O-03168-01</t>
  </si>
  <si>
    <t>Pre. Production 11.06.2022
Please stick the warning label on the polybag (on the packaging)</t>
  </si>
  <si>
    <t>#3824</t>
  </si>
  <si>
    <t>Spiroscape bag</t>
  </si>
  <si>
    <t>bản in SPIROPSCAPE</t>
  </si>
  <si>
    <t xml:space="preserve">Phipps </t>
  </si>
  <si>
    <t>C-176-7022</t>
  </si>
  <si>
    <t xml:space="preserve">Tarpaulin Trolley </t>
  </si>
  <si>
    <t>C-176-7023</t>
  </si>
  <si>
    <t>Tube bag for scaffold with dual lifting option</t>
  </si>
  <si>
    <t>black</t>
  </si>
  <si>
    <t>C-176-7024</t>
  </si>
  <si>
    <t>Lifting bag for hydraulic cylinders</t>
  </si>
  <si>
    <t>1966888 
(C-214-4616-001)</t>
  </si>
  <si>
    <t>ES HK Cart Canvas V Lined Bag 30 Gal BLA</t>
  </si>
  <si>
    <t>C-176-7025</t>
  </si>
  <si>
    <t>Tool bag not lifting</t>
  </si>
  <si>
    <t>C-176-5511-004</t>
  </si>
  <si>
    <t xml:space="preserve">Vattenfall </t>
  </si>
  <si>
    <t>Vattenfall Kriegers Flak</t>
  </si>
  <si>
    <t>Equipment bag with hard cover</t>
  </si>
  <si>
    <t>Bradworkz</t>
  </si>
  <si>
    <t>C-176-5017-002</t>
  </si>
  <si>
    <t>Trailside Folding Washbasin</t>
  </si>
  <si>
    <t>(anchor)</t>
  </si>
  <si>
    <t>C-176-7026</t>
  </si>
  <si>
    <t>tall bag for RTM pipes</t>
  </si>
  <si>
    <t>C.176.4389.014</t>
  </si>
  <si>
    <t>C.176.4389.015</t>
  </si>
  <si>
    <t>C.176.3459.008</t>
  </si>
  <si>
    <t>C.176.3459.009</t>
  </si>
  <si>
    <t xml:space="preserve">R&amp;T </t>
  </si>
  <si>
    <t xml:space="preserve">May lại mẫu gốc sản xuất </t>
  </si>
  <si>
    <t>C-314-3624-001</t>
  </si>
  <si>
    <t xml:space="preserve">Sport bag </t>
  </si>
  <si>
    <t>C-314-4134-001</t>
  </si>
  <si>
    <t xml:space="preserve">Special bag </t>
  </si>
  <si>
    <t>Logo Knipleforening</t>
  </si>
  <si>
    <t>C-176-3234-004</t>
  </si>
  <si>
    <t>C-177-5264-008</t>
  </si>
  <si>
    <t>C-177-5263-006</t>
  </si>
  <si>
    <t xml:space="preserve">INTERSURF </t>
  </si>
  <si>
    <t>May lại mẫu gốc</t>
  </si>
  <si>
    <t>B49 Blade bag</t>
  </si>
  <si>
    <t>SIEMENS Gamesa RENEWABLE ENERGY B45 A9B00090709</t>
  </si>
  <si>
    <t>B45 Blade bag</t>
  </si>
  <si>
    <t>C-176-2635-002</t>
  </si>
  <si>
    <t>TOOL BAGS FOR PROFESSIONAL
EMG
www.emg.dk</t>
  </si>
  <si>
    <t>C.176.2636.003</t>
  </si>
  <si>
    <t>SIEMENS GAMESA B49 A9B10022173</t>
  </si>
  <si>
    <t>C-176-4896-004</t>
  </si>
  <si>
    <t>Filter Bag for MKII instrument ( with white bottom)</t>
  </si>
  <si>
    <t>Hanging Car Seat Organizer</t>
  </si>
  <si>
    <t xml:space="preserve">Navy </t>
  </si>
  <si>
    <t>Xanh oliu</t>
  </si>
  <si>
    <t>C-307-10071</t>
  </si>
  <si>
    <t>#10068</t>
  </si>
  <si>
    <t>110 POCKET INSERT</t>
  </si>
  <si>
    <t>C-296-10072</t>
  </si>
  <si>
    <t>Approval date</t>
  </si>
  <si>
    <t>Black/Grey</t>
  </si>
  <si>
    <t>C-269-10072</t>
  </si>
  <si>
    <t>No Logo (có nhãn dệt autoexec)</t>
  </si>
  <si>
    <t>AUTOEXEC</t>
  </si>
  <si>
    <t>C.176.5618.002</t>
  </si>
  <si>
    <t>C-176-7006-001</t>
  </si>
  <si>
    <t>Basic SAF Bag</t>
  </si>
  <si>
    <t>S.A.F. BASICO VIGILI FUOCO</t>
  </si>
  <si>
    <t>Black/ Red</t>
  </si>
  <si>
    <t>C-176-7006-002</t>
  </si>
  <si>
    <t>Black/ blue</t>
  </si>
  <si>
    <t>C-176-7007</t>
  </si>
  <si>
    <t>CODRA 1</t>
  </si>
  <si>
    <t>C-176-7008-001</t>
  </si>
  <si>
    <t>ANCODRAGGIO
ATTREZZI</t>
  </si>
  <si>
    <t>red</t>
  </si>
  <si>
    <t>C-176-7008-002</t>
  </si>
  <si>
    <t>C-176-7009</t>
  </si>
  <si>
    <t>PROGRESSIONE
CODRA 2</t>
  </si>
  <si>
    <t>C-176-7010</t>
  </si>
  <si>
    <t>S.A.F. BASICO IMBRACO</t>
  </si>
  <si>
    <t>cancel</t>
  </si>
  <si>
    <t>Pre. production 04.10.2022</t>
  </si>
  <si>
    <t>O-03602-01</t>
  </si>
  <si>
    <t xml:space="preserve"> 1867533 
(C-214-1368-003) </t>
  </si>
  <si>
    <t xml:space="preserve">Tarpaulin </t>
  </si>
  <si>
    <t>Pre. production 14.10.2022
Please stick the warning label on the polybag (on the packaging)</t>
  </si>
  <si>
    <t>Viking Sport bag w/ shoulder strap</t>
  </si>
  <si>
    <t>8 Pockets insert bag</t>
  </si>
  <si>
    <t xml:space="preserve"> C-269-4336 </t>
  </si>
  <si>
    <t xml:space="preserve">Cooler bag </t>
  </si>
  <si>
    <t xml:space="preserve"> No logo có nhãn thêu autoexec </t>
  </si>
  <si>
    <t xml:space="preserve"> Black  </t>
  </si>
  <si>
    <t>C.176.4844.001</t>
  </si>
  <si>
    <t>Viking</t>
  </si>
  <si>
    <t>O-03635-01</t>
  </si>
  <si>
    <t>Pre. production 27.10.2022</t>
  </si>
  <si>
    <t>#2591</t>
  </si>
  <si>
    <t>Amour Bag - D1093</t>
  </si>
  <si>
    <t xml:space="preserve">BLACK AB110A MH172 </t>
  </si>
  <si>
    <t>#3823</t>
  </si>
  <si>
    <t>HUNTLEIGH NEW BAG</t>
  </si>
  <si>
    <t>Xanh lá</t>
  </si>
  <si>
    <t>#2459</t>
  </si>
  <si>
    <t xml:space="preserve"> GOLF BAG </t>
  </si>
  <si>
    <t xml:space="preserve">Đen </t>
  </si>
  <si>
    <t>#5144</t>
  </si>
  <si>
    <t>DUFFLE BAG</t>
  </si>
  <si>
    <t>Đỏ - Đen</t>
  </si>
  <si>
    <t>#10097</t>
  </si>
  <si>
    <t>FARRIER APRON</t>
  </si>
  <si>
    <t>IRON HORSE</t>
  </si>
  <si>
    <t>#10098</t>
  </si>
  <si>
    <t>BACK CUSHION (of set)</t>
  </si>
  <si>
    <t xml:space="preserve">D600x300 PVC </t>
  </si>
  <si>
    <t>O-03616-02</t>
  </si>
  <si>
    <t>FENNOTEX</t>
  </si>
  <si>
    <t>TRANSIT ROPE BAG 30L</t>
  </si>
  <si>
    <t>… MURER …</t>
  </si>
  <si>
    <t xml:space="preserve">Đen phối đai cam </t>
  </si>
  <si>
    <t>Mãu gửi KH (1)</t>
  </si>
  <si>
    <t>C.176.6297.001</t>
  </si>
  <si>
    <t>Cover for #4272</t>
  </si>
  <si>
    <t>C-176-5327-3-003</t>
  </si>
  <si>
    <t>SQUARE TOOL BAG</t>
  </si>
  <si>
    <t xml:space="preserve"> The Embassy of Denmark in Vietnam </t>
  </si>
  <si>
    <t>Pet Accessories</t>
  </si>
  <si>
    <t>Sport Bag</t>
  </si>
  <si>
    <t>C-176-7027</t>
  </si>
  <si>
    <t>Lifting Harness For D8 SST Module</t>
  </si>
  <si>
    <t xml:space="preserve">chỉnh dây ở mặt sau </t>
  </si>
  <si>
    <t>#10086</t>
  </si>
  <si>
    <t>Mini tool bag</t>
  </si>
  <si>
    <t>1800D pvc</t>
  </si>
  <si>
    <t>#6675
C-314-5039</t>
  </si>
  <si>
    <t>2cols on 1 side</t>
  </si>
  <si>
    <t>C - FR - 10125 - 001</t>
  </si>
  <si>
    <t>NON-MODULAR BAG VERSION
SIZE : 37L X 15W X 5H CM</t>
  </si>
  <si>
    <t>C - FR - 10124 - 001</t>
  </si>
  <si>
    <t>MODULAR BAG VERSION
SIZE : 37L X 15W X 5H CM</t>
  </si>
  <si>
    <t>D600x300PVC/D210PU</t>
  </si>
  <si>
    <t>C-PAG-5941-001</t>
  </si>
  <si>
    <t>Urban backpack</t>
  </si>
  <si>
    <t>C-PAG-10126-001</t>
  </si>
  <si>
    <t xml:space="preserve"> Shopper bag</t>
  </si>
  <si>
    <t>C-PAG-10126-002</t>
  </si>
  <si>
    <t>C-PAG-10126-003</t>
  </si>
  <si>
    <t>C-PAG-10127-001</t>
  </si>
  <si>
    <t xml:space="preserve">Classic bag </t>
  </si>
  <si>
    <t>C-PAG-10128-001</t>
  </si>
  <si>
    <t>Classic bag premium</t>
  </si>
  <si>
    <t>C-PAG-10129-001</t>
  </si>
  <si>
    <t>Cotton classic bag premium</t>
  </si>
  <si>
    <t>Marine Blue pantone 286C Pvc and Medium Blue 300C Pvc in stock</t>
  </si>
  <si>
    <t xml:space="preserve">Silver </t>
  </si>
  <si>
    <t>4Oz Marine Blue pantone 286C
Baby Blue 283C
Blue 306C
Red 186C
Red 1795C
Light Yellow 4Oz 1235C</t>
  </si>
  <si>
    <t>Navy Blue C-289
Reflex Blue
Turkis Green 7720C
Orange 4Oz 151C</t>
  </si>
  <si>
    <t>MOQ for 8oz cotton is 2000yard</t>
  </si>
  <si>
    <t>From 5000pcs for 2000yard new material</t>
  </si>
  <si>
    <t>1-Color printing on 1 side</t>
  </si>
  <si>
    <t>Engraving logo on PU batch on 1 position
(Charges for special tools is USD33.34)</t>
  </si>
  <si>
    <t>D600x300 PVC/D70 PU (190T=D70)</t>
  </si>
  <si>
    <t>Nonwoven</t>
  </si>
  <si>
    <t xml:space="preserve">PP woven </t>
  </si>
  <si>
    <t>RPET D600x300 PVC</t>
  </si>
  <si>
    <t>D210 PU with D600 corner</t>
  </si>
  <si>
    <t>D420 PU with drop corner</t>
  </si>
  <si>
    <t xml:space="preserve">8oz cotton with simili corner </t>
  </si>
  <si>
    <t>SHOPPING BAG
Size: 38 x 38 x 14 cm</t>
  </si>
  <si>
    <t>2 color print on 1 side.
(Kovsted Skovgaard)</t>
  </si>
  <si>
    <t>2 color print on 2 sides.
(Kovsted Skovgaard)</t>
  </si>
  <si>
    <t>C-314-10130</t>
  </si>
  <si>
    <t>1 color 1 side</t>
  </si>
  <si>
    <t>Blue 286 in stock
(similar to 288C)</t>
  </si>
  <si>
    <t>D210PU</t>
  </si>
  <si>
    <t>1 color 2 sides</t>
  </si>
  <si>
    <t>2 color 1 side</t>
  </si>
  <si>
    <t>2 color 2 sides</t>
  </si>
  <si>
    <t>#6668
C-314-3573</t>
  </si>
  <si>
    <t>KLA - Personskade</t>
  </si>
  <si>
    <t xml:space="preserve">6328
C-314-3828 </t>
  </si>
  <si>
    <t>INEOS energy 
Logo height 9 cm</t>
  </si>
  <si>
    <t>D600x300PVC</t>
  </si>
  <si>
    <t>400-500</t>
  </si>
  <si>
    <t xml:space="preserve">C-314-Nicki </t>
  </si>
  <si>
    <t>Flat Cap (size 60)</t>
  </si>
  <si>
    <t>Nicki Pedersen + Moldow + 110 + JAK +… 2003*2007*2008</t>
  </si>
  <si>
    <t>Blue/White</t>
  </si>
  <si>
    <t>Unbrush fabric</t>
  </si>
  <si>
    <t>C-314-3978</t>
  </si>
  <si>
    <t>DNV.GL</t>
  </si>
  <si>
    <t>Xanh Navy Đậm</t>
  </si>
  <si>
    <t>C - 176 - 7028</t>
  </si>
  <si>
    <t>Blade bag for disruption of aerodynamics For V117</t>
  </si>
  <si>
    <t>#10134</t>
  </si>
  <si>
    <t>String bag (10x10cm)</t>
  </si>
  <si>
    <t>Đỏ</t>
  </si>
  <si>
    <t>C-314-EPOKE-0001</t>
  </si>
  <si>
    <t xml:space="preserve">for 6 panel Cap </t>
  </si>
  <si>
    <t>EPOKE</t>
  </si>
  <si>
    <t>Black/orange piping</t>
  </si>
  <si>
    <t>heavy brush cotton</t>
  </si>
  <si>
    <t>#10140-01</t>
  </si>
  <si>
    <t>#10140-02</t>
  </si>
  <si>
    <t>420PU</t>
  </si>
  <si>
    <t>Rose Gold</t>
  </si>
  <si>
    <t>Rubber logo</t>
  </si>
  <si>
    <t>Toiletry Bag
(IF-TB 003-8'')</t>
  </si>
  <si>
    <t>C-131-282-013</t>
  </si>
  <si>
    <t>"Vestjilland….."</t>
  </si>
  <si>
    <t>C-279-EGHOLM</t>
  </si>
  <si>
    <t>100-500</t>
  </si>
  <si>
    <t>500-1000</t>
  </si>
  <si>
    <t>1000-5000</t>
  </si>
  <si>
    <t>&gt;5000</t>
  </si>
  <si>
    <t>Cap
(Size 60)</t>
  </si>
  <si>
    <t>EGHOLM</t>
  </si>
  <si>
    <t>Dark grey</t>
  </si>
  <si>
    <t>cotton</t>
  </si>
  <si>
    <t>C-SAR-10133-001</t>
  </si>
  <si>
    <t>Adult Backpack
D1800</t>
  </si>
  <si>
    <t>D1800</t>
  </si>
  <si>
    <t>CANTABRIA + picture</t>
  </si>
  <si>
    <t>#10143-01</t>
  </si>
  <si>
    <t>#10143-02</t>
  </si>
  <si>
    <t>#10143-03</t>
  </si>
  <si>
    <t>#10143-04</t>
  </si>
  <si>
    <t>230T</t>
  </si>
  <si>
    <t>Packing Cube (size large)</t>
  </si>
  <si>
    <t>Packing Cube (size M)</t>
  </si>
  <si>
    <t>#10142-01</t>
  </si>
  <si>
    <t>#10142-02</t>
  </si>
  <si>
    <t>#10142-03</t>
  </si>
  <si>
    <t>#10142-04</t>
  </si>
  <si>
    <t>#10141-01</t>
  </si>
  <si>
    <t>#10141-02</t>
  </si>
  <si>
    <t>#10141-03</t>
  </si>
  <si>
    <t>#10141-04</t>
  </si>
  <si>
    <t>Packing Cube (size S)</t>
  </si>
  <si>
    <t>C-314-3828-004</t>
  </si>
  <si>
    <t xml:space="preserve">Ineos energy </t>
  </si>
  <si>
    <t>ĐeN</t>
  </si>
  <si>
    <t>Mẫu gửi KH</t>
  </si>
  <si>
    <t>Mẫu cần cho sản xuất</t>
  </si>
  <si>
    <t>250-500</t>
  </si>
  <si>
    <t>C-314-HUNTING-0001</t>
  </si>
  <si>
    <t xml:space="preserve">Camouflage/brown on front </t>
  </si>
  <si>
    <t xml:space="preserve"> Cotton </t>
  </si>
  <si>
    <t>#3359-001</t>
  </si>
  <si>
    <t xml:space="preserve">PAK BAG TUNNEL D1263 </t>
  </si>
  <si>
    <t>Pacific Gateway Partners</t>
  </si>
  <si>
    <t>C-PGP-2828</t>
  </si>
  <si>
    <t>ĐEN</t>
  </si>
  <si>
    <t>PHIPPS &amp; CO</t>
  </si>
  <si>
    <t>ORANGE</t>
  </si>
  <si>
    <t>1966889
C-214-4621-001</t>
  </si>
  <si>
    <t>Executive Side-Load Mesh Linen Bag - Housekeeping Carts</t>
  </si>
  <si>
    <t xml:space="preserve"> Rubbermaid Commercial products
+ ES Executive series</t>
  </si>
  <si>
    <t>#10164-001</t>
  </si>
  <si>
    <t>#10165-001</t>
  </si>
  <si>
    <t>WINSURF BAG (Size : 215L x 86W)</t>
  </si>
  <si>
    <t>WINSURF BAG - Rocket (Size : 215L x 86W</t>
  </si>
  <si>
    <t>D600 PVC + PE Tarpaulin</t>
  </si>
  <si>
    <t>#10166-001</t>
  </si>
  <si>
    <t>#10167-001</t>
  </si>
  <si>
    <t>#10168-001</t>
  </si>
  <si>
    <t>#10169-001</t>
  </si>
  <si>
    <t>WINGFOIL - Boardbag (Size : 165L x 78W)</t>
  </si>
  <si>
    <t>SURF BAG - Wave (Size : 223L x 69W)</t>
  </si>
  <si>
    <t>SUP BAG - BoardBag (Size : 292L x 83W)</t>
  </si>
  <si>
    <t>SUR BAG - Wave Kailua (Size : 177L x 59W)</t>
  </si>
  <si>
    <t>#10160-001</t>
  </si>
  <si>
    <t>#10160-002</t>
  </si>
  <si>
    <t>#10161-01</t>
  </si>
  <si>
    <t>CINCH BAG</t>
  </si>
  <si>
    <t>1000-2000</t>
  </si>
  <si>
    <t>ACCESSORY CASE</t>
  </si>
  <si>
    <t>C-269-5438-001</t>
  </si>
  <si>
    <t>RACKET BAG</t>
  </si>
  <si>
    <t>C-314-VVS Fredriksen-0001</t>
  </si>
  <si>
    <t>VVS Fredriksen</t>
  </si>
  <si>
    <t>BLACK</t>
  </si>
  <si>
    <t>C-314-3573-001</t>
  </si>
  <si>
    <t>NYBORG + RORDAM</t>
  </si>
  <si>
    <t>D1800 PVC</t>
  </si>
  <si>
    <t>KIRK LARSEN &amp; ASCANIUS</t>
  </si>
  <si>
    <t>C.176.5221.2.001</t>
  </si>
  <si>
    <t>Trolley bag (USA)</t>
  </si>
  <si>
    <t>C.176.4626.2.001</t>
  </si>
  <si>
    <t>Shoulder bag for rope access (USA)</t>
  </si>
  <si>
    <t>C.176.5327.2.001</t>
  </si>
  <si>
    <t>SQUARE TOOL BAG (USA)</t>
  </si>
  <si>
    <t>C.176.16135.2.001</t>
  </si>
  <si>
    <t>Tall Mini tool bag (USA)</t>
  </si>
  <si>
    <t>C.176.4139.2.001</t>
  </si>
  <si>
    <t>New long tool bag (USA)</t>
  </si>
  <si>
    <t>C.176.5616.005
(OPTION 1)</t>
  </si>
  <si>
    <t>Large trouble shooting bag (with valve/ 2 lifting eyes)</t>
  </si>
  <si>
    <t>C.176.5616.005
(OPTION 2)</t>
  </si>
  <si>
    <t>Large trouble shooting bag (with valve/ 4 lifting eyes)</t>
  </si>
  <si>
    <t>#10135</t>
  </si>
  <si>
    <t>Back pack of Painter</t>
  </si>
  <si>
    <t>Wooster</t>
  </si>
  <si>
    <t>CROZZ COMPANY ApS</t>
  </si>
  <si>
    <t>SKI CLIPS
(set 2pcs)</t>
  </si>
  <si>
    <t>D600x300 PVC</t>
  </si>
  <si>
    <t xml:space="preserve"> No logo </t>
  </si>
  <si>
    <t>#10180-001</t>
  </si>
  <si>
    <t>#10179-001</t>
  </si>
  <si>
    <t>HOOK-N-LOOP SMART PHONE CASE</t>
  </si>
  <si>
    <t>MEGNETIC SMART
PHONE CASE</t>
  </si>
  <si>
    <t>base on
picture</t>
  </si>
  <si>
    <t>C-307-10182-001</t>
  </si>
  <si>
    <t>Shoe bag 
size: 32(L)x20(W)x16(H) cm</t>
  </si>
  <si>
    <t xml:space="preserve">Zubioutlet </t>
  </si>
  <si>
    <t>Black/Grey/Navy …</t>
  </si>
  <si>
    <t>300-500</t>
  </si>
  <si>
    <t>C-307-10183-001</t>
  </si>
  <si>
    <t>Shoe bag 
Size: 37x20x12.5 cm</t>
  </si>
  <si>
    <t>Black/Grey/Navy ..</t>
  </si>
  <si>
    <t xml:space="preserve">Big Tool Bag </t>
  </si>
  <si>
    <t>SnowTech Snowboardbag 150 cm</t>
  </si>
  <si>
    <t>SnowTech Snowboardbag 165 cm</t>
  </si>
  <si>
    <t>C.176.4786.2.001</t>
  </si>
  <si>
    <t>Lifting bag for scaffold (USA)</t>
  </si>
  <si>
    <t>C.176.4896.2.001</t>
  </si>
  <si>
    <t>Filter Bag for MKII instrument (USA)</t>
  </si>
  <si>
    <t>C.176.4467.003</t>
  </si>
  <si>
    <t>Large pallet bag</t>
  </si>
  <si>
    <t>C.176.2535.2.001</t>
  </si>
  <si>
    <t>Large service tote bag - Dual option (USA)</t>
  </si>
  <si>
    <t>Small service tote bag - Long straps</t>
  </si>
  <si>
    <t xml:space="preserve"> Tarpaulin</t>
  </si>
  <si>
    <t>Văn Hồng + VD</t>
  </si>
  <si>
    <t>Vestas VT20001762 WLL MAX 80 KG</t>
  </si>
  <si>
    <t>Square hand tool bag</t>
  </si>
  <si>
    <t>C-176-3225-004</t>
  </si>
  <si>
    <t>May A - VD</t>
  </si>
  <si>
    <t>Estimated time of delivery</t>
  </si>
  <si>
    <t>PRINT</t>
  </si>
  <si>
    <t>Autoexec</t>
  </si>
  <si>
    <t>Large pallet bag (without rain cover)</t>
  </si>
  <si>
    <t>GLOBAL WIND SERVICE WLL MAX 400KG</t>
  </si>
  <si>
    <t xml:space="preserve">Kirk Larsen &amp; Ascanius </t>
  </si>
  <si>
    <t>ROCKSAPS</t>
  </si>
  <si>
    <t xml:space="preserve">BLACK </t>
  </si>
  <si>
    <t>CROSS COUNTRY SKIING EASY HANDLE</t>
  </si>
  <si>
    <t>PIKKORI SPORT</t>
  </si>
  <si>
    <t>C-176-6300-001</t>
  </si>
  <si>
    <t>Sling protector for #4626</t>
  </si>
  <si>
    <t>C-176-6301-001</t>
  </si>
  <si>
    <t>Cover for #4626</t>
  </si>
  <si>
    <t xml:space="preserve">C.176.5616.005
</t>
  </si>
  <si>
    <t>C.176.4595.2.001</t>
  </si>
  <si>
    <t>Lifting bag for pitch cylinder (USA)</t>
  </si>
  <si>
    <t>C-324-10185</t>
  </si>
  <si>
    <t>SIMPLE BOOTBAG</t>
  </si>
  <si>
    <t>SNOWTECH</t>
  </si>
  <si>
    <t>C-307-10186</t>
  </si>
  <si>
    <t>TRAVEL BAG WITH WHEELS</t>
  </si>
  <si>
    <t>INTERSURF</t>
  </si>
  <si>
    <t>C-314-3573</t>
  </si>
  <si>
    <t>Black - đen</t>
  </si>
  <si>
    <t>Need open zipper around 60cm</t>
  </si>
  <si>
    <t xml:space="preserve">Waiting logo </t>
  </si>
  <si>
    <t>Cross Country Ski Bags for 2 pairs – 210 cm. long</t>
  </si>
  <si>
    <t>C-176.7030.2.001</t>
  </si>
  <si>
    <t xml:space="preserve">Tall drum bag for rescue equipment (with rain cover) - USA version </t>
  </si>
  <si>
    <t>add padding + lifting eyes 
folded and padded like 
lifting eyes on #4467</t>
  </si>
  <si>
    <t>estimation first week June</t>
  </si>
  <si>
    <t xml:space="preserve">remake the # 5327 US 
with O rings </t>
  </si>
  <si>
    <t>estimation seconds week June</t>
  </si>
  <si>
    <t>waiting new handle 
sample</t>
  </si>
  <si>
    <t>estimation last week May</t>
  </si>
  <si>
    <t>adjust lifting slings shorter</t>
  </si>
  <si>
    <t>#5560
C-347-10122-001</t>
  </si>
  <si>
    <t>#5530
C-347-10204-001</t>
  </si>
  <si>
    <t>#5535
C-347-10114-002</t>
  </si>
  <si>
    <t>#1591</t>
  </si>
  <si>
    <t>BLACK BAG ( 63-9T76-U1)</t>
  </si>
  <si>
    <t>#4616</t>
  </si>
  <si>
    <t>ES HK Cart Canvas V Lined Bag 30 Gal BLA ( 1966888)</t>
  </si>
  <si>
    <t xml:space="preserve">Rubbermaid </t>
  </si>
  <si>
    <t>Order no. 553</t>
  </si>
  <si>
    <t>SIEMENS Gamesa RENEWABLE ENERGY A9B10242928</t>
  </si>
  <si>
    <t>Holster bag for Jumbo box (with hard cover)</t>
  </si>
  <si>
    <t>C-176-2606-1-004</t>
  </si>
  <si>
    <t>O-03922-01</t>
  </si>
  <si>
    <t xml:space="preserve">SHOPPING BAG </t>
  </si>
  <si>
    <t>Cancelled this order on 01.06.2023</t>
  </si>
  <si>
    <t>C-176-7029-001</t>
  </si>
  <si>
    <t>Service kit bag for Elebia</t>
  </si>
  <si>
    <t> C-300-3875-001</t>
  </si>
  <si>
    <t xml:space="preserve"> Shopping bag </t>
  </si>
  <si>
    <t>STAGE ADVOKATFIRMA</t>
  </si>
  <si>
    <t>Văn Hồng - VD</t>
  </si>
  <si>
    <t>High Quality backpack</t>
  </si>
  <si>
    <t>C-176-5571-001</t>
  </si>
  <si>
    <t>#5590 
C-347-4652-001</t>
  </si>
  <si>
    <t xml:space="preserve">Crozz Country Holder </t>
  </si>
  <si>
    <t>Văn Hồng</t>
  </si>
  <si>
    <t xml:space="preserve">Orsted </t>
  </si>
  <si>
    <t>Heat Seal Square Tool bag (USA)</t>
  </si>
  <si>
    <t>C-176-3610-2-002</t>
  </si>
  <si>
    <t>O-03960-01</t>
  </si>
  <si>
    <t>Order no.557</t>
  </si>
  <si>
    <t>1966882
C-214-4620-001</t>
  </si>
  <si>
    <t>34-Gal. Janitorial Cleaning Cart Vinyl Bag - High Capacity, Red</t>
  </si>
  <si>
    <t xml:space="preserve">Rubbermaid Commercial products </t>
  </si>
  <si>
    <t xml:space="preserve">Rubbermaid
(Shanghai China) </t>
  </si>
  <si>
    <t>1966888 
C-214-4616-001</t>
  </si>
  <si>
    <t>639T76U1BLA   
C-214-1591-002</t>
  </si>
  <si>
    <t xml:space="preserve">BAG BLA                </t>
  </si>
  <si>
    <t>FG635000BLA
(C-214-1705-002)</t>
  </si>
  <si>
    <t>FG9T9000BLA 
(C-214-1392-003)</t>
  </si>
  <si>
    <t>Marine Blue</t>
  </si>
  <si>
    <t>GLOBAL WIND SERVICE</t>
  </si>
  <si>
    <t>SPORT BAG (without bottom)</t>
  </si>
  <si>
    <t>C-176-5718-002</t>
  </si>
  <si>
    <t>No Logo (Siemens Label)</t>
  </si>
  <si>
    <t>L</t>
  </si>
  <si>
    <t>Waterproof drum bag Ø48</t>
  </si>
  <si>
    <t>C-176-4864-001 ( KH yêu cầu dùng mã này cho túi #7031)</t>
  </si>
  <si>
    <t>Black/ Orange</t>
  </si>
  <si>
    <t>C-269-10199</t>
  </si>
  <si>
    <t>COOLER BAG with EVA bottom</t>
  </si>
  <si>
    <t>KH cần cuối cuối tháng 6</t>
  </si>
  <si>
    <t>BLUE</t>
  </si>
  <si>
    <t>#10050-002</t>
  </si>
  <si>
    <t>Balut Bag ( Emb Name)</t>
  </si>
  <si>
    <t>ASIAN GAME 2023</t>
  </si>
  <si>
    <t>MR DAN</t>
  </si>
  <si>
    <t>#10200</t>
  </si>
  <si>
    <t>SHOULDER BAG</t>
  </si>
  <si>
    <t xml:space="preserve">ĐEN </t>
  </si>
  <si>
    <t>MR. JAN KUZAN</t>
  </si>
  <si>
    <t>Mẫu cần cuối tháng 7</t>
  </si>
  <si>
    <t xml:space="preserve">BLAST &amp; RECCO </t>
  </si>
  <si>
    <t xml:space="preserve">Rope bag </t>
  </si>
  <si>
    <t>BRUGTEXSKI.DK</t>
  </si>
  <si>
    <t>C-176-4321-2-001</t>
  </si>
  <si>
    <t>Square Tool bag (USA)</t>
  </si>
  <si>
    <t>C-176-4425-2-001</t>
  </si>
  <si>
    <t>Mini long tool bag (GWS-USA)</t>
  </si>
  <si>
    <t>C-176-1225-2-001</t>
  </si>
  <si>
    <t>Small Tool Bag (GWS-USA)</t>
  </si>
  <si>
    <t>GLOBAL WIND SERVICE WLL MAX 80KG</t>
  </si>
  <si>
    <t>C-176-5686-001</t>
  </si>
  <si>
    <t>Blade bag for disruption of aerodynamics</t>
  </si>
  <si>
    <t>C-176-7035</t>
  </si>
  <si>
    <t>Blade bag for disruption of aerodynamics for V136</t>
  </si>
  <si>
    <t xml:space="preserve">Light grey </t>
  </si>
  <si>
    <t xml:space="preserve">Fenotex </t>
  </si>
  <si>
    <t>SCISSOR HURDLE BAG</t>
  </si>
  <si>
    <t>0099 SNOWBOARD 170CM</t>
  </si>
  <si>
    <t>C-177-10223-001</t>
  </si>
  <si>
    <t>Computer bag</t>
  </si>
  <si>
    <t xml:space="preserve"> #6563-2
C-314-10047-001</t>
  </si>
  <si>
    <t>VIKINGBUS</t>
  </si>
  <si>
    <t>Cotton</t>
  </si>
  <si>
    <t>Helippe</t>
  </si>
  <si>
    <t>#10212-001</t>
  </si>
  <si>
    <t>BACKPACK - BROOKFIELD</t>
  </si>
  <si>
    <t>#10213-001</t>
  </si>
  <si>
    <t>BACKPACK (33x15x44)</t>
  </si>
  <si>
    <t>#10214-001</t>
  </si>
  <si>
    <t>BACKPACK (Black Red)</t>
  </si>
  <si>
    <t>D420pvc</t>
  </si>
  <si>
    <t>Grey/ Black/ Red/ Violet/ Yellow/ Blue</t>
  </si>
  <si>
    <t>Black/ Blue</t>
  </si>
  <si>
    <t>Black + Red</t>
  </si>
  <si>
    <t>nologo, notag</t>
  </si>
  <si>
    <t xml:space="preserve">33L x 15W 42H </t>
  </si>
  <si>
    <t xml:space="preserve">33L x 15W 44H </t>
  </si>
  <si>
    <t>35L x 1W x 43H</t>
  </si>
  <si>
    <t>any colors</t>
  </si>
  <si>
    <t>43L x 17W x 25H</t>
  </si>
  <si>
    <t xml:space="preserve">30L x 14W 42H </t>
  </si>
  <si>
    <t>21L x 8.5 Dia (round)</t>
  </si>
  <si>
    <t>standard</t>
  </si>
  <si>
    <t>#10205-001</t>
  </si>
  <si>
    <t>Duffle Bag</t>
  </si>
  <si>
    <t>#10206-001</t>
  </si>
  <si>
    <t>#277-004</t>
  </si>
  <si>
    <t>Pencil case</t>
  </si>
  <si>
    <t xml:space="preserve">Knitted </t>
  </si>
  <si>
    <t xml:space="preserve">Adult </t>
  </si>
  <si>
    <t>Kid</t>
  </si>
  <si>
    <t>#10197-001</t>
  </si>
  <si>
    <t>Tool bag RFQ</t>
  </si>
  <si>
    <t>Bottom (plastic)</t>
  </si>
  <si>
    <t>D600 (2 layers)</t>
  </si>
  <si>
    <t>D1680 + D600</t>
  </si>
  <si>
    <t>C-296-10199-001</t>
  </si>
  <si>
    <t>COOLER BAG</t>
  </si>
  <si>
    <t>Autoexec (EMB)</t>
  </si>
  <si>
    <t>&lt; 1000</t>
  </si>
  <si>
    <t>&gt; 1000</t>
  </si>
  <si>
    <t>Autoexec (PRINT)</t>
  </si>
  <si>
    <t>#10211-001</t>
  </si>
  <si>
    <t>Red bag</t>
  </si>
  <si>
    <t>RED</t>
  </si>
  <si>
    <t>#10224-001</t>
  </si>
  <si>
    <t>Shopping Bag "orla hansen"</t>
  </si>
  <si>
    <t>D600 pvc</t>
  </si>
  <si>
    <t>#10221-001</t>
  </si>
  <si>
    <t>CINCH BAG (with Zipper pocket)</t>
  </si>
  <si>
    <t>#10221-002</t>
  </si>
  <si>
    <t>CINCH BAG (Gymbag)</t>
  </si>
  <si>
    <t>#5434-002</t>
  </si>
  <si>
    <t>#10026-001</t>
  </si>
  <si>
    <t>Computer Bag</t>
  </si>
  <si>
    <t>#10027-001</t>
  </si>
  <si>
    <t>Single Skibag 210cm</t>
  </si>
  <si>
    <t>C-347-4652-001</t>
  </si>
  <si>
    <t>CROSS COUNTRY SKI HOLDER</t>
  </si>
  <si>
    <t xml:space="preserve">PIKKORI SPORT </t>
  </si>
  <si>
    <t>Logo on both sides</t>
  </si>
  <si>
    <t>D420/D600 PVC</t>
  </si>
  <si>
    <t>C-176-6303-001</t>
  </si>
  <si>
    <t>Plastic bottom for #4389</t>
  </si>
  <si>
    <t>C-176-6307-001</t>
  </si>
  <si>
    <t>Plastic bottom feet</t>
  </si>
  <si>
    <t>C-176-16135-2-001</t>
  </si>
  <si>
    <t>C-176-2535-2-001</t>
  </si>
  <si>
    <t>C-176-4139-2-001</t>
  </si>
  <si>
    <t>C-176-4389-2-001</t>
  </si>
  <si>
    <t>Backpack (USA)</t>
  </si>
  <si>
    <t>C-176-4467-2-001</t>
  </si>
  <si>
    <t>Large pallet bag (USA)</t>
  </si>
  <si>
    <t>C-176-4595-2-001</t>
  </si>
  <si>
    <t>C-176-4626-2-001</t>
  </si>
  <si>
    <t>C-176-4786-2-001</t>
  </si>
  <si>
    <t>C-176-4896-2-001</t>
  </si>
  <si>
    <t>C-176-5221-2-001</t>
  </si>
  <si>
    <t>C-176-5327-2-001</t>
  </si>
  <si>
    <t>Orsted</t>
  </si>
  <si>
    <t>C-176-6304</t>
  </si>
  <si>
    <t xml:space="preserve">Plastic round bottom Ø 17 cm </t>
  </si>
  <si>
    <t>C-176-6305</t>
  </si>
  <si>
    <t xml:space="preserve">Plastic round bottom Ø 29 cm </t>
  </si>
  <si>
    <t>C-176-6306</t>
  </si>
  <si>
    <t xml:space="preserve">Plastic round Bottom Ø 41 cm </t>
  </si>
  <si>
    <t>C-176-6310</t>
  </si>
  <si>
    <t>Plastic bottom 66 x 52 x 8 cm</t>
  </si>
  <si>
    <t>C-176-6309</t>
  </si>
  <si>
    <t xml:space="preserve">Plastic bottom 115 x 75 x 8 cm </t>
  </si>
  <si>
    <t>Shoe bag 
size: 34(L)x20(W)x15(H) cm</t>
  </si>
  <si>
    <t>Grey with black zipper</t>
  </si>
  <si>
    <t>Grey with orange zipper</t>
  </si>
  <si>
    <t xml:space="preserve">Transit rope bag 30(L) </t>
  </si>
  <si>
    <t>… MURER ...</t>
  </si>
  <si>
    <t>BLACK with black strap</t>
  </si>
  <si>
    <t>Tarpulin</t>
  </si>
  <si>
    <t>"BLACK with black strap
And decor with orange strap"</t>
  </si>
  <si>
    <t>C-324-10186</t>
  </si>
  <si>
    <t>SNOWTECH (PRINT)</t>
  </si>
  <si>
    <t>SNOWTECH (EMB)</t>
  </si>
  <si>
    <t>C-267-NICKI-001</t>
  </si>
  <si>
    <t xml:space="preserve"> Nicki Pedersen - Speedway Cap</t>
  </si>
  <si>
    <t xml:space="preserve">Cotton </t>
  </si>
  <si>
    <t>Blue + White</t>
  </si>
  <si>
    <t>C-Jan-10200-001</t>
  </si>
  <si>
    <t>Shoulder Bag
SIZE : 50L X 27H X 20W CM</t>
  </si>
  <si>
    <t>BLAST &amp; RECCO</t>
  </si>
  <si>
    <t>1. Black 
2. Green pantone color 348C
3. Red Pantone color 186C
4. Yellow pantone color 7548C</t>
  </si>
  <si>
    <t>Tarplin 0.35MM with YKK ZIPPER</t>
  </si>
  <si>
    <t>C-KENDAR-Filterteknik-001</t>
  </si>
  <si>
    <t>Filterteknik Cap (logo - Bomerang)</t>
  </si>
  <si>
    <t>C-MAP-10201-001</t>
  </si>
  <si>
    <t>Trolley Bag
SIZE : 41L X 22W X 35H CM</t>
  </si>
  <si>
    <t>Navy 289C</t>
  </si>
  <si>
    <t>#10050-003</t>
  </si>
  <si>
    <t>BALUT BAG (Saigon Branch)</t>
  </si>
  <si>
    <t>BALUT BAG (Name)</t>
  </si>
  <si>
    <t>BALUT BAG</t>
  </si>
  <si>
    <t> C-300-482-006</t>
  </si>
  <si>
    <t xml:space="preserve"> Cooler bag </t>
  </si>
  <si>
    <t xml:space="preserve">Middelfart Sparekasse </t>
  </si>
  <si>
    <t>Black/Red webbing</t>
  </si>
  <si>
    <t>C-300-5831</t>
  </si>
  <si>
    <t>CJA.S (Digital logo)</t>
  </si>
  <si>
    <t>C-300-10219</t>
  </si>
  <si>
    <t>COOLER BAG 
34L X 28H X 24W CM</t>
  </si>
  <si>
    <t xml:space="preserve">Black with Red webbing ( same style cooler bag with Middelfart Sparekasse)  </t>
  </si>
  <si>
    <t>C-300-10220</t>
  </si>
  <si>
    <t>COOLER BAG 
33L X 27H X 19.5W CM</t>
  </si>
  <si>
    <t>Middelfart Sparekasse</t>
  </si>
  <si>
    <t>&lt; 500</t>
  </si>
  <si>
    <t>&gt; 500</t>
  </si>
  <si>
    <t>C-300-3960</t>
  </si>
  <si>
    <t>RMG INSPEKTION (logo on both sides)</t>
  </si>
  <si>
    <t>C-300-10000</t>
  </si>
  <si>
    <t xml:space="preserve">VARIANT Cap </t>
  </si>
  <si>
    <t>Variant (both sides) / the lines on peak and beside caps</t>
  </si>
  <si>
    <t xml:space="preserve">Cotton / Mesh </t>
  </si>
  <si>
    <t>500-700-1000</t>
  </si>
  <si>
    <t>2.84/pc</t>
  </si>
  <si>
    <t>C-MONCHOIX-10192</t>
  </si>
  <si>
    <t>BACKPACK</t>
  </si>
  <si>
    <t>Black,Blue, Orange ,…</t>
  </si>
  <si>
    <t>D600x300 PVC/ linning D210 PU</t>
  </si>
  <si>
    <t>C-MONCHOIX-10193</t>
  </si>
  <si>
    <t>D600x300PVC/ linning silver tinfoil</t>
  </si>
  <si>
    <t xml:space="preserve">600*300D recycled polyester with logo alots on fabric </t>
  </si>
  <si>
    <t xml:space="preserve">600*300D recycled polyester </t>
  </si>
  <si>
    <t>C-252-HANKOOK</t>
  </si>
  <si>
    <t>CAP (SIZE 60)</t>
  </si>
  <si>
    <t xml:space="preserve">COTTON </t>
  </si>
  <si>
    <t xml:space="preserve">BLACK/ORANGE piping </t>
  </si>
  <si>
    <t xml:space="preserve">HANKOOK </t>
  </si>
  <si>
    <t>C-252-TOYO</t>
  </si>
  <si>
    <t xml:space="preserve">COTTON in stock </t>
  </si>
  <si>
    <t xml:space="preserve">BLUE/WHTIE piping </t>
  </si>
  <si>
    <t xml:space="preserve">TOYO </t>
  </si>
  <si>
    <t>Cotton in Local</t>
  </si>
  <si>
    <t>C-252-ALLIANCE</t>
  </si>
  <si>
    <t>BLACK/Red Piping</t>
  </si>
  <si>
    <t>ALLIANCE</t>
  </si>
  <si>
    <t>C-252-Standard Cap</t>
  </si>
  <si>
    <t>Black 
(Cap only 1 color)</t>
  </si>
  <si>
    <t>EMB logo 1 color on front and rear</t>
  </si>
  <si>
    <t>C-PGP-10171-001</t>
  </si>
  <si>
    <t xml:space="preserve">Cooler Bag </t>
  </si>
  <si>
    <t>3F ..</t>
  </si>
  <si>
    <t>SIZE   : 20 (L) X 13 (W) X 16 (H) CM</t>
  </si>
  <si>
    <t>#10187-001</t>
  </si>
  <si>
    <t>Shopping bag with pouch</t>
  </si>
  <si>
    <t>#10187-002</t>
  </si>
  <si>
    <t>#10188-001</t>
  </si>
  <si>
    <t>Shopping bag with mini zip bag</t>
  </si>
  <si>
    <t>#10188-002</t>
  </si>
  <si>
    <t>Canvas     (Cotton, recycle 50%)</t>
  </si>
  <si>
    <t>Canvas      (Cotton, recycle, 100%)</t>
  </si>
  <si>
    <t>C-PGP-10222-001</t>
  </si>
  <si>
    <t>MONEY BAG</t>
  </si>
  <si>
    <t>N/A (1 Color)</t>
  </si>
  <si>
    <t>RED in stock</t>
  </si>
  <si>
    <t>C-PGP-10225-001</t>
  </si>
  <si>
    <t>1. Black
2. Navy 7699C
3. Navy 289C
4. Marine Blue 286C
5. Medium Blue 300C
6. Lime Green 337C
7. Red 200C
8. Orange 151C
9. Dark grey 431C
10. Army green 5753C</t>
  </si>
  <si>
    <t>34(H) x 24(W) x 11(D) CM</t>
  </si>
  <si>
    <t>C-PGP-10229-001</t>
  </si>
  <si>
    <t>TOILET BAG (A)</t>
  </si>
  <si>
    <t>D’Angleterre
size: 5(H) x 11.5(L) cm (EMB)</t>
  </si>
  <si>
    <t>Silver</t>
  </si>
  <si>
    <t>SIMILI 0.7MM</t>
  </si>
  <si>
    <t>TOILET BAG (B)</t>
  </si>
  <si>
    <t>D’Angleterre
size: 5(H) x 11.5(L) cm (PRINT)</t>
  </si>
  <si>
    <t>C-PAN-10184-001</t>
  </si>
  <si>
    <t>Shopping bag 
SIZE : 32L X 39H X 8W CM</t>
  </si>
  <si>
    <t>SYNLAB</t>
  </si>
  <si>
    <t xml:space="preserve">White </t>
  </si>
  <si>
    <t>Non Woven 120gsm</t>
  </si>
  <si>
    <t>C-PAG-10198-001</t>
  </si>
  <si>
    <t xml:space="preserve"> Backpack</t>
  </si>
  <si>
    <t>&gt; 5000</t>
  </si>
  <si>
    <t>#10189-001</t>
  </si>
  <si>
    <t>12 Pocket insert</t>
  </si>
  <si>
    <t>RACKET  BAG</t>
  </si>
  <si>
    <t>#6610 
C-314-3573</t>
  </si>
  <si>
    <t>1 col - length less than 20cm</t>
  </si>
  <si>
    <t>D600x300 PVC (RPET)</t>
  </si>
  <si>
    <t>1 color print on 1 side. (length less than 20cm)</t>
  </si>
  <si>
    <t>1 color print on 2 sides. (length less than 20cm)</t>
  </si>
  <si>
    <t>300-500-1000</t>
  </si>
  <si>
    <t>D600X300 PVC</t>
  </si>
  <si>
    <t>Navy Blue 7699C</t>
  </si>
  <si>
    <t>C-314-3978-002</t>
  </si>
  <si>
    <t>SPORT BAG</t>
  </si>
  <si>
    <t>DNV</t>
  </si>
  <si>
    <t>Navy 289C 
(Ocean blue)</t>
  </si>
  <si>
    <t>C-314-10047</t>
  </si>
  <si>
    <t xml:space="preserve">Computer Bag </t>
  </si>
  <si>
    <t>Same style 6526-2 and  all bag is padded with foam on outsides sides</t>
  </si>
  <si>
    <t>printed 2 colors on 1 side</t>
  </si>
  <si>
    <t>C-314-10190</t>
  </si>
  <si>
    <t xml:space="preserve">Trolley Sport Bag </t>
  </si>
  <si>
    <t xml:space="preserve">upper part 600D and lower part 1680D with SBS zipper  </t>
  </si>
  <si>
    <t>C-314-10191-001</t>
  </si>
  <si>
    <t>Size:25 (L) X 23 (W) X 19 (H) CM</t>
  </si>
  <si>
    <t xml:space="preserve">Same size </t>
  </si>
  <si>
    <t>C-314-10194-001</t>
  </si>
  <si>
    <t>Sport Bag  (S)</t>
  </si>
  <si>
    <t>SIZE : 47L X 23W X 23H CM</t>
  </si>
  <si>
    <t>1 color max 28 cm.</t>
  </si>
  <si>
    <t>Embroidery, 1 color max 15 cm.</t>
  </si>
  <si>
    <t>C-314-10195-001</t>
  </si>
  <si>
    <t>Sport Bag  (M)</t>
  </si>
  <si>
    <t>SIZE : 55L X 25W X 25H CM</t>
  </si>
  <si>
    <t>C-314-10196-001</t>
  </si>
  <si>
    <t>Sport Bag  (L)</t>
  </si>
  <si>
    <t>SIZE : 62L X 30W X 30H CM</t>
  </si>
  <si>
    <t>C-314-10202</t>
  </si>
  <si>
    <t>Document bag 
SIZE:40(L)x30(H)x10(W) CM</t>
  </si>
  <si>
    <t>"EMB logo"</t>
  </si>
  <si>
    <t>C-314-10203</t>
  </si>
  <si>
    <t>Rain cover
SIZE : 74H X 34L X 26W CM</t>
  </si>
  <si>
    <t>FASTER OIKOS</t>
  </si>
  <si>
    <t>Reflex green (waterproof)</t>
  </si>
  <si>
    <t>190T</t>
  </si>
  <si>
    <t>C-314-CAP</t>
  </si>
  <si>
    <t>EMB logo on front and back side</t>
  </si>
  <si>
    <t>Warm Grey 1 U
Navy 295 U
Red 199 U</t>
  </si>
  <si>
    <t>C-314-HAT</t>
  </si>
  <si>
    <t>Adult hat</t>
  </si>
  <si>
    <t>EMB logo on front</t>
  </si>
  <si>
    <t>C-314-Soren-001</t>
  </si>
  <si>
    <t>SOREN KNUDSEN AS</t>
  </si>
  <si>
    <t>C-314-THISTED-0001</t>
  </si>
  <si>
    <t>"look like on the picture"</t>
  </si>
  <si>
    <t>BLACK or NAVY</t>
  </si>
  <si>
    <t>C-314-TMG-0001</t>
  </si>
  <si>
    <t>TMG (TOMMERGAARDEN)</t>
  </si>
  <si>
    <t>C-314-VA-0001</t>
  </si>
  <si>
    <t>for 6 panel Cap with velcro closure</t>
  </si>
  <si>
    <t>VA + www.vja.dk</t>
  </si>
  <si>
    <t>Navy blue</t>
  </si>
  <si>
    <t xml:space="preserve">heavy cotton </t>
  </si>
  <si>
    <t>FG264200YEL; 1867533
(C-214-1368)</t>
  </si>
  <si>
    <t>639T76U1BLA   
(C-214-1591-002)</t>
  </si>
  <si>
    <t xml:space="preserve">BAG BLACK                </t>
  </si>
  <si>
    <t>1966882 ; 1966883 ; 1966884 
(C-214-4620)</t>
  </si>
  <si>
    <t>34-Gal. Janitorial Cleaning Cart Vinyl Bag - High Capacity, Red / Blue / Green</t>
  </si>
  <si>
    <t>1966889
(C-214-4621-001)</t>
  </si>
  <si>
    <t>C-SAAKA-001</t>
  </si>
  <si>
    <t>Visor - SAAKA</t>
  </si>
  <si>
    <t>Pink (3 layers)</t>
  </si>
  <si>
    <t>80% bamboo</t>
  </si>
  <si>
    <t>C-279-H.HOFFMANN-001</t>
  </si>
  <si>
    <t>H.HOFFMANN Cap</t>
  </si>
  <si>
    <t>Black or white</t>
  </si>
  <si>
    <t>C-279-H.HOFFMANN-002</t>
  </si>
  <si>
    <t>H.HOFFMANN Knitted hat</t>
  </si>
  <si>
    <t>Knitted fabric</t>
  </si>
  <si>
    <t>C-279-Thyborøn  Port-0001</t>
  </si>
  <si>
    <t>Thyborøn Port Cap</t>
  </si>
  <si>
    <t xml:space="preserve">Thyborøn Port and 
www.thyboronport.dk </t>
  </si>
  <si>
    <t>C-279-Thyborøn  Port-0002</t>
  </si>
  <si>
    <t>Knitted hat</t>
  </si>
  <si>
    <t>Thyborøn Port</t>
  </si>
  <si>
    <t>C-279-SKOV</t>
  </si>
  <si>
    <t>Cap
(Size 62)</t>
  </si>
  <si>
    <t>Navy</t>
  </si>
  <si>
    <t>C - GSG - 10207 - 001</t>
  </si>
  <si>
    <t>TOOL BAG</t>
  </si>
  <si>
    <t>STIHL</t>
  </si>
  <si>
    <t>D600x300 PE</t>
  </si>
  <si>
    <r>
      <rPr>
        <sz val="12"/>
        <color rgb="FFFF0000"/>
        <rFont val="Calibri"/>
        <family val="2"/>
        <scheme val="minor"/>
      </rPr>
      <t>MOLDOW</t>
    </r>
    <r>
      <rPr>
        <sz val="12"/>
        <color theme="1"/>
        <rFont val="Calibri"/>
        <family val="2"/>
        <scheme val="minor"/>
      </rPr>
      <t xml:space="preserve"> on front and </t>
    </r>
    <r>
      <rPr>
        <sz val="12"/>
        <color rgb="FFFF0000"/>
        <rFont val="Calibri"/>
        <family val="2"/>
        <scheme val="minor"/>
      </rPr>
      <t>Nicki Pedersen</t>
    </r>
    <r>
      <rPr>
        <sz val="12"/>
        <color theme="1"/>
        <rFont val="Calibri"/>
        <family val="2"/>
        <scheme val="minor"/>
      </rPr>
      <t xml:space="preserve"> .. on rear</t>
    </r>
  </si>
  <si>
    <t>C-PGP-10229</t>
  </si>
  <si>
    <t xml:space="preserve">Toilet bag </t>
  </si>
  <si>
    <t>D'ANGLETERRE (Thêu)</t>
  </si>
  <si>
    <t>SILVER</t>
  </si>
  <si>
    <t>D'ANGLETERRE (IN)</t>
  </si>
  <si>
    <t xml:space="preserve">Order date </t>
  </si>
  <si>
    <t>COMPUTER BAG</t>
  </si>
  <si>
    <t>#10230</t>
  </si>
  <si>
    <t>Smalll Game Bag new design (Size : 40L x 33H x 6D)</t>
  </si>
  <si>
    <t>dập simili</t>
  </si>
  <si>
    <t>Olive</t>
  </si>
  <si>
    <t>#10231</t>
  </si>
  <si>
    <t>Medium Game Bag new design (Size : 48L x 33H x 8D)</t>
  </si>
  <si>
    <t>#10232</t>
  </si>
  <si>
    <t>Maxxi Game Bag new design (Size : 55L x 44H x 8D)</t>
  </si>
  <si>
    <t>Vải D600 olive của Phipp</t>
  </si>
  <si>
    <t>C-176-2651-2-001</t>
  </si>
  <si>
    <t>Mini tool bag (USA)</t>
  </si>
  <si>
    <t>C-176-7021-001</t>
  </si>
  <si>
    <t>Dark pink</t>
  </si>
  <si>
    <t>C-176-7017-001</t>
  </si>
  <si>
    <t>C-176-7018-001</t>
  </si>
  <si>
    <t>C-176-7036-001</t>
  </si>
  <si>
    <t xml:space="preserve">Lifting backpack with hard bottom cover </t>
  </si>
  <si>
    <t xml:space="preserve">SnowTech Sport Støvlebag - 1 par </t>
  </si>
  <si>
    <t>SnowTech Baker Skibag 165 cm - 1 pair</t>
  </si>
  <si>
    <t>SNOWTECH WHISTLER BOOT BAG 1PAIR</t>
  </si>
  <si>
    <t>SnowTech ConCourse Støvlebag - 1 par</t>
  </si>
  <si>
    <t>C.176.4467.2.001</t>
  </si>
  <si>
    <t>without O ring
EMG's request on 08.08.2023</t>
  </si>
  <si>
    <t>#10244</t>
  </si>
  <si>
    <t>Mega Front Bulkhead</t>
  </si>
  <si>
    <t>#10245</t>
  </si>
  <si>
    <t>Wheel Arch Pathrought</t>
  </si>
  <si>
    <t>#10246</t>
  </si>
  <si>
    <t xml:space="preserve">OHC </t>
  </si>
  <si>
    <t>#10247</t>
  </si>
  <si>
    <t>Mega Harness Underfloor</t>
  </si>
  <si>
    <t>180 L x 40 Dia</t>
  </si>
  <si>
    <t>300PU</t>
  </si>
  <si>
    <t>50 L x 7 Dia</t>
  </si>
  <si>
    <t>40 L x 10 Dia</t>
  </si>
  <si>
    <t>140 L x 16 Dia</t>
  </si>
  <si>
    <t>"orla hansen"</t>
  </si>
  <si>
    <t xml:space="preserve">Brandworkz </t>
  </si>
  <si>
    <t>C-307-10235</t>
  </si>
  <si>
    <t xml:space="preserve">RUCKSACK </t>
  </si>
  <si>
    <t>Alpstone</t>
  </si>
  <si>
    <t xml:space="preserve">Black/black </t>
  </si>
  <si>
    <t>D420 PU/D210 PU</t>
  </si>
  <si>
    <t>&lt;1000</t>
  </si>
  <si>
    <t xml:space="preserve">Black/Grey </t>
  </si>
  <si>
    <t>Twill/D210 PU</t>
  </si>
  <si>
    <t>MOQ 2500pcs</t>
  </si>
  <si>
    <t>C-269-3439-001</t>
  </si>
  <si>
    <t>PAK BAG JUM D1269</t>
  </si>
  <si>
    <t>100L x 64W x 24H</t>
  </si>
  <si>
    <t>600D
recycled yarn</t>
  </si>
  <si>
    <t>C-269-3425-001</t>
  </si>
  <si>
    <t>EVEQUE SETS BAG</t>
  </si>
  <si>
    <t>57L x 57W x 15H</t>
  </si>
  <si>
    <t>Eveque</t>
  </si>
  <si>
    <t>C-269-3357-001</t>
  </si>
  <si>
    <t>TARGET THROW BAG</t>
  </si>
  <si>
    <t>66L x 67W</t>
  </si>
  <si>
    <t>C-269-3240-001</t>
  </si>
  <si>
    <t>SHOT BAG ROYAL D1260</t>
  </si>
  <si>
    <t>36L x 10W x 10H</t>
  </si>
  <si>
    <t>C-269-3351-001</t>
  </si>
  <si>
    <t>TRIPLE JUMP BAG D1265</t>
  </si>
  <si>
    <t>100L x 66.5W x 33H</t>
  </si>
  <si>
    <t>C-269-3352-001</t>
  </si>
  <si>
    <t>TRIPLE JUMP BAG D1264</t>
  </si>
  <si>
    <t>101L x 41W x 62H</t>
  </si>
  <si>
    <t>C-269-3356-001</t>
  </si>
  <si>
    <t>HI - STEPPER BAG D1262</t>
  </si>
  <si>
    <t xml:space="preserve">75L x 21.5W x 30.5H </t>
  </si>
  <si>
    <t>C-269-3238-001</t>
  </si>
  <si>
    <t>PACK BAG THROW LONG D1267</t>
  </si>
  <si>
    <t>90L x 23W x 20H</t>
  </si>
  <si>
    <t>C-269-3353-001</t>
  </si>
  <si>
    <t>JAVELIN BAG D1270</t>
  </si>
  <si>
    <t>82L x 36W x 39H</t>
  </si>
  <si>
    <t>C-269-3882-001</t>
  </si>
  <si>
    <t>HURDLE BAG (D1283)</t>
  </si>
  <si>
    <t>52L x 29W x 52H</t>
  </si>
  <si>
    <t>C-269-3241-001</t>
  </si>
  <si>
    <t>DISCUS PAK ROUND D1259</t>
  </si>
  <si>
    <t>12L x 16W x 16H</t>
  </si>
  <si>
    <t>C-269-4463-001</t>
  </si>
  <si>
    <t>MINI JAVELIN BAG</t>
  </si>
  <si>
    <t>50L x 35W x 35H</t>
  </si>
  <si>
    <t>C-269-4462-001</t>
  </si>
  <si>
    <t>126L x 20W x 38H</t>
  </si>
  <si>
    <t>C-269-3358-001</t>
  </si>
  <si>
    <t>INDOOR SHOT BAG</t>
  </si>
  <si>
    <t>35L x 12W x 14.5H</t>
  </si>
  <si>
    <t>C-269-3598-001</t>
  </si>
  <si>
    <t>PRIMARY HAMMER 102282 (D1282)</t>
  </si>
  <si>
    <t>56L x 15W x 14H</t>
  </si>
  <si>
    <t>C-269-3359-001</t>
  </si>
  <si>
    <t>184L x 14W x 54H</t>
  </si>
  <si>
    <t>C-269-3354-002</t>
  </si>
  <si>
    <t xml:space="preserve">Mr. Kenneth </t>
  </si>
  <si>
    <t>C-176-5498-006</t>
  </si>
  <si>
    <t>HeliPPE</t>
  </si>
  <si>
    <t>#10253</t>
  </si>
  <si>
    <t xml:space="preserve">Tool Bag </t>
  </si>
  <si>
    <t>22L x 40H x 21W</t>
  </si>
  <si>
    <t>D600 PVC</t>
  </si>
  <si>
    <t>#10254</t>
  </si>
  <si>
    <t>Cooler bag (Black)</t>
  </si>
  <si>
    <t>36L x 18H x 16W</t>
  </si>
  <si>
    <t>#10255</t>
  </si>
  <si>
    <t>Square Cooler bag</t>
  </si>
  <si>
    <t>30L x 42H x 30W</t>
  </si>
  <si>
    <t>#10256</t>
  </si>
  <si>
    <t>Cooler bag new style(Blue)</t>
  </si>
  <si>
    <t>23L x 18H x 16W</t>
  </si>
  <si>
    <t>C-307-FEHR</t>
  </si>
  <si>
    <t>5 panels cap</t>
  </si>
  <si>
    <t>FEHR (Print)</t>
  </si>
  <si>
    <t>Navy/white</t>
  </si>
  <si>
    <t xml:space="preserve">Cotton/mesh </t>
  </si>
  <si>
    <t>FEHR (EMB)</t>
  </si>
  <si>
    <t xml:space="preserve">Baseball cap with plastic closure
(6 panel) </t>
  </si>
  <si>
    <t>JUMBO &amp; HEMA
"Note that one embroidery on both side are 3D embroidery, all other are normal."</t>
  </si>
  <si>
    <t xml:space="preserve">Heavy unbrush cotton </t>
  </si>
  <si>
    <t>C.176.5683.003</t>
  </si>
  <si>
    <t>BLAST</t>
  </si>
  <si>
    <t>Mr. Jan Kuzan</t>
  </si>
  <si>
    <t>Urgent sample</t>
  </si>
  <si>
    <t>C-176-7037-001</t>
  </si>
  <si>
    <t>C-176-5937-002</t>
  </si>
  <si>
    <t>Foldable lifting bag for WTC3-GE</t>
  </si>
  <si>
    <t>Big Tool Bag (with upright, no a5 pocket) (USA)</t>
  </si>
  <si>
    <t>C-176-4897-2-002</t>
  </si>
  <si>
    <t>Square Tool bag USA</t>
  </si>
  <si>
    <t>C-176-3982-2-001</t>
  </si>
  <si>
    <t xml:space="preserve">ORANGE </t>
  </si>
  <si>
    <t>Small bucket tool bag 150 (USA)</t>
  </si>
  <si>
    <t>C-176-3585 B-2-002</t>
  </si>
  <si>
    <t>Small Tool Bag</t>
  </si>
  <si>
    <t>C-176-7039-001</t>
  </si>
  <si>
    <t>C-176-4453-001</t>
  </si>
  <si>
    <t>Cooler bag (change from #2619)</t>
  </si>
  <si>
    <t>CNC</t>
  </si>
  <si>
    <t>C-THADDEA-10262</t>
  </si>
  <si>
    <t>Volleyball BackPack</t>
  </si>
  <si>
    <t>RAPTORS &amp; THADDEA</t>
  </si>
  <si>
    <t xml:space="preserve">Mr. Scott </t>
  </si>
  <si>
    <t>Seal
(ép nhiệt túi)</t>
  </si>
  <si>
    <t>C-176-7016-002</t>
  </si>
  <si>
    <t>Survitec/SURVIVAL TECHNOLOGY + HELIPPE</t>
  </si>
  <si>
    <t>C-176-7041-001</t>
  </si>
  <si>
    <t xml:space="preserve">Tote bags </t>
  </si>
  <si>
    <t>EMG + bag icons</t>
  </si>
  <si>
    <t xml:space="preserve">KENDAR </t>
  </si>
  <si>
    <t>Backpack for kid</t>
  </si>
  <si>
    <t>C-349-10225-001</t>
  </si>
  <si>
    <t>C-349-10225-002</t>
  </si>
  <si>
    <t>Big Survival Suit Bag</t>
  </si>
  <si>
    <t>C-176-4140-001</t>
  </si>
  <si>
    <t>C-176-7042-001</t>
  </si>
  <si>
    <t>IM cradle bag</t>
  </si>
  <si>
    <t>Date of completion</t>
  </si>
  <si>
    <t>C-176-5593-B-004</t>
  </si>
  <si>
    <t>Multi purpose backpack with tool pouch (new bottom feet)</t>
  </si>
  <si>
    <t>Re-make</t>
  </si>
  <si>
    <t>C-349-10225-006</t>
  </si>
  <si>
    <t>C-349-10225-007</t>
  </si>
  <si>
    <t>Pink 701C</t>
  </si>
  <si>
    <t>Purple 2583C</t>
  </si>
  <si>
    <t>O-04130-06</t>
  </si>
  <si>
    <t>O-04130-07</t>
  </si>
  <si>
    <t>O-04145-02</t>
  </si>
  <si>
    <t>C-349-10277-001</t>
  </si>
  <si>
    <t>C-349-10277-002</t>
  </si>
  <si>
    <t>Trolley cover bag for baby</t>
  </si>
  <si>
    <t>FRAGILE 
"small pram" (graphic)
 this side up</t>
  </si>
  <si>
    <t>Washable Mary</t>
  </si>
  <si>
    <t>Xanh Navy 289C</t>
  </si>
  <si>
    <t>Tím 
(mới mua chợ)</t>
  </si>
  <si>
    <t>FRAGILE + “small pram” + this side up</t>
  </si>
  <si>
    <t>C-349-2828</t>
  </si>
  <si>
    <t xml:space="preserve">Sport Bag </t>
  </si>
  <si>
    <t>C-176-3579-1-005</t>
  </si>
  <si>
    <t xml:space="preserve">NO LOGO </t>
  </si>
  <si>
    <t>Order no. 593</t>
  </si>
  <si>
    <t>Fennotex</t>
  </si>
  <si>
    <t>C-307-3317-004</t>
  </si>
  <si>
    <t>4504185851</t>
  </si>
  <si>
    <t>O-04180-01</t>
  </si>
  <si>
    <t>O-04181-01</t>
  </si>
  <si>
    <t>20'DC</t>
  </si>
  <si>
    <t>Ship on 23 January - by 20'DC</t>
  </si>
  <si>
    <t>Đợi in logo từ 2/11</t>
  </si>
  <si>
    <t>C-324-4157</t>
  </si>
  <si>
    <t>C-324-4153</t>
  </si>
  <si>
    <t>C-324-4660</t>
  </si>
  <si>
    <t>C-324-3847</t>
  </si>
  <si>
    <t>C-324-3848</t>
  </si>
  <si>
    <t>C-324-3849</t>
  </si>
  <si>
    <t xml:space="preserve">Working Bag </t>
  </si>
  <si>
    <t>Strag 
work on progress</t>
  </si>
  <si>
    <t>ĐEN/Đỏ</t>
  </si>
  <si>
    <t xml:space="preserve">May mẫu logo mới </t>
  </si>
  <si>
    <t>Showagent</t>
  </si>
  <si>
    <t>Long Thin Bag</t>
  </si>
  <si>
    <t>C-176-5551-001</t>
  </si>
  <si>
    <t xml:space="preserve">Region Syddanmark </t>
  </si>
  <si>
    <t>Coleman Hutchins cancelled this order on 14.11.2023</t>
  </si>
  <si>
    <t>C.176.2601.022</t>
  </si>
  <si>
    <t>Veltec</t>
  </si>
  <si>
    <t>C.176.2823.005</t>
  </si>
  <si>
    <t>Hand bag</t>
  </si>
  <si>
    <t>C-307-10276</t>
  </si>
  <si>
    <t>FARO BOARD BAGs</t>
  </si>
  <si>
    <t>FARO</t>
  </si>
  <si>
    <t xml:space="preserve">MILITARY GREEN </t>
  </si>
  <si>
    <t>C-314-10289</t>
  </si>
  <si>
    <t>Xám đậm Melenge</t>
  </si>
  <si>
    <t>Surfboard Bags
(Mr. Jack)</t>
  </si>
  <si>
    <t>Mẫu gấp</t>
  </si>
  <si>
    <t>Mẫu duyệt cho sản xuất</t>
  </si>
  <si>
    <t>C-176-4467-004</t>
  </si>
  <si>
    <t>C-176-5571-003</t>
  </si>
  <si>
    <t>KN Helicopters</t>
  </si>
  <si>
    <t>LCL</t>
  </si>
  <si>
    <t>White</t>
  </si>
  <si>
    <t xml:space="preserve">Long Sơn </t>
  </si>
  <si>
    <t>C-176-16135-004</t>
  </si>
  <si>
    <t>Tall Mini tool bag</t>
  </si>
  <si>
    <t>C-176-7045-001</t>
  </si>
  <si>
    <t>Torch Bag</t>
  </si>
  <si>
    <t>C-176-2652-2-001</t>
  </si>
  <si>
    <t>Mini tool bag US</t>
  </si>
  <si>
    <t>C-176-7046-001</t>
  </si>
  <si>
    <t>C-176-4864-2-001</t>
  </si>
  <si>
    <t>Waterproof drum bag Ø48 USA</t>
  </si>
  <si>
    <t>C-307-10290-001</t>
  </si>
  <si>
    <t>WASH BAG</t>
  </si>
  <si>
    <t>C-YKRA-10279-001</t>
  </si>
  <si>
    <t>FANNY PACK</t>
  </si>
  <si>
    <t>XANH 
(VẢI KH GỬI)</t>
  </si>
  <si>
    <t>CAM
(VẢI KH GỬI)</t>
  </si>
  <si>
    <t>ĐEN
(VẢI KH GỬI)</t>
  </si>
  <si>
    <t>KEM
(VẢI KH GỬI)</t>
  </si>
  <si>
    <t>Vải kho (Xanh lá) 003.305.13.03</t>
  </si>
  <si>
    <t>YKRA</t>
  </si>
  <si>
    <t xml:space="preserve">KH gửi </t>
  </si>
  <si>
    <t>C-176-7040-001</t>
  </si>
  <si>
    <t xml:space="preserve">Waiting confirmation </t>
  </si>
  <si>
    <t>Cancel on 15.12.2023</t>
  </si>
  <si>
    <t xml:space="preserve"> #6619
(C-314-3573-070)</t>
  </si>
  <si>
    <t>aage maagensen &amp; Din
lokale revisor …</t>
  </si>
  <si>
    <t>Done</t>
  </si>
  <si>
    <t>Selling Price</t>
  </si>
  <si>
    <t>C-307-10292-001</t>
  </si>
  <si>
    <t xml:space="preserve">SPORT BAG </t>
  </si>
  <si>
    <t>FARO BOARD BAG</t>
  </si>
  <si>
    <t>Xám 431C</t>
  </si>
  <si>
    <t>Cần duyệt logo sản xuất - đã có đơn hàng</t>
  </si>
  <si>
    <t>Green</t>
  </si>
  <si>
    <t>C-176-7035-001</t>
  </si>
  <si>
    <t>C-176-6250-001</t>
  </si>
  <si>
    <t>Velcro pocket #5618</t>
  </si>
  <si>
    <t>C-176-6253-003</t>
  </si>
  <si>
    <t>Weight indication triangles 10x10cm with green carabiner</t>
  </si>
  <si>
    <t>HEAVY LIFT + 40KGS</t>
  </si>
  <si>
    <t>Ship on 30 March (Waiting confirmation) - by ?</t>
  </si>
  <si>
    <t>C-314-10293-001</t>
  </si>
  <si>
    <t xml:space="preserve">H&amp;L Hansen </t>
  </si>
  <si>
    <t>C-176-7047-001</t>
  </si>
  <si>
    <t>Small square tool bag with tool pockets</t>
  </si>
  <si>
    <t>C-176-7048-001</t>
  </si>
  <si>
    <t>Cradle bag for peli case</t>
  </si>
  <si>
    <t>C-176-5867-002</t>
  </si>
  <si>
    <t>Tall drum bag for rescue equipment (included cover)</t>
  </si>
  <si>
    <t>C-176-6253-001</t>
  </si>
  <si>
    <t>HEAVY LIFT + 20KGS</t>
  </si>
  <si>
    <t>C-176-6253-002</t>
  </si>
  <si>
    <t>C-314-4266-002</t>
  </si>
  <si>
    <t>...Viborg Ingeniørerne</t>
  </si>
  <si>
    <t>C-350-10274-001</t>
  </si>
  <si>
    <t>C-350-10275-001</t>
  </si>
  <si>
    <t>C-350-10276-001</t>
  </si>
  <si>
    <t>FARO BOARD BAG - 6 inch</t>
  </si>
  <si>
    <t>FARO BOARD BAG - 8 inch</t>
  </si>
  <si>
    <t>FARO BOARD BAG - 10 inch</t>
  </si>
  <si>
    <t>FARO  (x4)</t>
  </si>
  <si>
    <t xml:space="preserve">AB240155 Hutter </t>
  </si>
  <si>
    <t>TOILET BAG</t>
  </si>
  <si>
    <t xml:space="preserve">HUTTER </t>
  </si>
  <si>
    <t>H&amp;B …</t>
  </si>
  <si>
    <t>C-314-5522-002</t>
  </si>
  <si>
    <t>C-176-7026-001</t>
  </si>
  <si>
    <t>Tall bag for RTM pipes</t>
  </si>
  <si>
    <t>C-337-10295-001</t>
  </si>
  <si>
    <t>Padded bag (single)</t>
  </si>
  <si>
    <t xml:space="preserve">MERLIN </t>
  </si>
  <si>
    <t>C-337-10296-001</t>
  </si>
  <si>
    <t>Padded bag (Double)</t>
  </si>
  <si>
    <t xml:space="preserve">MERLIN GEAR </t>
  </si>
  <si>
    <t>C-314-3672-002</t>
  </si>
  <si>
    <t>Brønderslev Caravan + Caravelair + LMC + Hobby + Tabbert + T@B
KEBE + GIOTTiLINE …</t>
  </si>
  <si>
    <t>C-176-7044-001</t>
  </si>
  <si>
    <t>Vestas large scaffold bag WLL 300kgs</t>
  </si>
  <si>
    <t>FARO BOARD BAG - 7 inch</t>
  </si>
  <si>
    <t>FARO BOARD BAG - 9 inch</t>
  </si>
  <si>
    <t>C-350-10321-001</t>
  </si>
  <si>
    <t>C-350-10322-001</t>
  </si>
  <si>
    <t>GREEN</t>
  </si>
  <si>
    <t>#10318-001</t>
  </si>
  <si>
    <t>BACKPACK S.A.K</t>
  </si>
  <si>
    <t>logo in sau</t>
  </si>
  <si>
    <t>BYDA</t>
  </si>
  <si>
    <t>Khách hàng cần hoàn thành trước ngày 22/03</t>
  </si>
  <si>
    <t>C-176-4390-001</t>
  </si>
  <si>
    <t>Rain cover 5618</t>
  </si>
  <si>
    <t>C-176-5124-001</t>
  </si>
  <si>
    <t>C-176-7049-001</t>
  </si>
  <si>
    <t>Large buckle tool bag</t>
  </si>
  <si>
    <t>C-176-7051-001</t>
  </si>
  <si>
    <t>Round bottle bag - Dual option with hard bottom #6305</t>
  </si>
  <si>
    <t xml:space="preserve">Mẫu cần gửi cho KH </t>
  </si>
  <si>
    <t>WASH BAG
(Option 1)</t>
  </si>
  <si>
    <t>WASH BAG
(Option 2)</t>
  </si>
  <si>
    <t>WASH BAG
(Option 3)</t>
  </si>
  <si>
    <t xml:space="preserve">FENNOTEX </t>
  </si>
  <si>
    <t>BACKPACK FOR BOTTLES</t>
  </si>
  <si>
    <t>BIMEDA</t>
  </si>
  <si>
    <t>Approved 04.03.2024</t>
  </si>
  <si>
    <t>C-307-10290-002</t>
  </si>
  <si>
    <t>C-314-10314</t>
  </si>
  <si>
    <t>C-176-7052-001</t>
  </si>
  <si>
    <t>Shoe bag for #4389 and #4390</t>
  </si>
  <si>
    <t>C-176-5329-001</t>
  </si>
  <si>
    <t>C-176-5912-001</t>
  </si>
  <si>
    <t>First Aid Multi Bag</t>
  </si>
  <si>
    <t>C-176-5913-001</t>
  </si>
  <si>
    <t>MAIN - Tarpaulin 0.75 MM</t>
  </si>
  <si>
    <t>Dark grey 431C</t>
  </si>
  <si>
    <t>SCANPAL</t>
  </si>
  <si>
    <t xml:space="preserve">HEM
hemdanmark.dk </t>
  </si>
  <si>
    <t xml:space="preserve"> #6619 without pocket 
C-314-3714-010</t>
  </si>
  <si>
    <t xml:space="preserve"> #6619 without pocket 
C-314-3714-011</t>
  </si>
  <si>
    <t>CS Liên</t>
  </si>
  <si>
    <t>C-176-7022-002</t>
  </si>
  <si>
    <t>Trolley bag with hard cover</t>
  </si>
  <si>
    <t>C-176-7050-001</t>
  </si>
  <si>
    <t>The belt with rubber logo size S, M, L</t>
  </si>
  <si>
    <t>C-314-5731</t>
  </si>
  <si>
    <t>TÍM</t>
  </si>
  <si>
    <t>MR OWEN</t>
  </si>
  <si>
    <t>C-OWEN-SHOPPING BAG</t>
  </si>
  <si>
    <t>C-OWEN-BACKPACK</t>
  </si>
  <si>
    <t>BAG</t>
  </si>
  <si>
    <t>Cần hoàn thành trước ngày 12/04</t>
  </si>
  <si>
    <t xml:space="preserve">SnowTech Sport Skibag 200 cm - 1 par </t>
  </si>
  <si>
    <t>cần trước ngày 10/04</t>
  </si>
  <si>
    <t>just make pockets</t>
  </si>
  <si>
    <t>C-176-2940-2-001</t>
  </si>
  <si>
    <t>Small drum bag D29 USA</t>
  </si>
  <si>
    <t>C-176-4772-1-001</t>
  </si>
  <si>
    <t>Trolley bag with hard bottom 6313</t>
  </si>
  <si>
    <t>C-176-7034-001</t>
  </si>
  <si>
    <t>Square bag for water container</t>
  </si>
  <si>
    <t>Cần duyệt logo gấp có thể may mẫu sau</t>
  </si>
  <si>
    <t>Đã duyệt logo, mẫu có thể may sau (đang sx)</t>
  </si>
  <si>
    <t>O-04178-23</t>
  </si>
  <si>
    <t>O-04178-24</t>
  </si>
  <si>
    <t>O-04178-25</t>
  </si>
  <si>
    <t>O-04178-26</t>
  </si>
  <si>
    <t>O-04178-27</t>
  </si>
  <si>
    <t>O-04178-28</t>
  </si>
  <si>
    <t xml:space="preserve">REPLY FOR SAMPLE </t>
  </si>
  <si>
    <t>Remake / No order</t>
  </si>
  <si>
    <t>C-314-3623-001</t>
  </si>
  <si>
    <t>Simple sport bag</t>
  </si>
  <si>
    <t>420D PVC</t>
  </si>
  <si>
    <t xml:space="preserve"> SIKKERHEDSMATERIEL </t>
  </si>
  <si>
    <t>C-269-5908-001</t>
  </si>
  <si>
    <t>Nunchuck Tubular</t>
  </si>
  <si>
    <t>Nologo</t>
  </si>
  <si>
    <t>#6610
C-314-3573-001</t>
  </si>
  <si>
    <t>Front: ERIK Arkitekter
Back: ERIK</t>
  </si>
  <si>
    <t>D600x300 RPET</t>
  </si>
  <si>
    <t>C-176-7058-001</t>
  </si>
  <si>
    <t>Blade bag for disruption of aerodynamics for V172</t>
  </si>
  <si>
    <t>Ưu tiên</t>
  </si>
  <si>
    <t>0040 Ski Bag 185cm</t>
  </si>
  <si>
    <t>remake to revise</t>
  </si>
  <si>
    <t>CS Phương</t>
  </si>
  <si>
    <t>D600 Corudra / PE Tarpauline in white 90gam</t>
  </si>
  <si>
    <t>C-176-5511-006</t>
  </si>
  <si>
    <t>Rain cover #4467</t>
  </si>
  <si>
    <t>C-176-5913-002</t>
  </si>
  <si>
    <t>Enhance First Aid Kit</t>
  </si>
  <si>
    <t>Natural Power</t>
  </si>
  <si>
    <t>C-176-7059-001</t>
  </si>
  <si>
    <t>Ưu Tiên</t>
  </si>
  <si>
    <t>C-176-7037-002</t>
  </si>
  <si>
    <t>C-176-5911-002</t>
  </si>
  <si>
    <t>TRAVEL BOARD BAG - 6 inch</t>
  </si>
  <si>
    <t>TRAVEL BOARD BAG - 8 inch</t>
  </si>
  <si>
    <t>TRAVEL BOARD BAG - 10 inch</t>
  </si>
  <si>
    <t>TRAVEL BOARD BAG - 7 inch</t>
  </si>
  <si>
    <t>TRAVEL BOARD BAG - 9 inch</t>
  </si>
  <si>
    <t>BAETTR (only text)
Logo size: 3.5(H) x 12(L) CM</t>
  </si>
  <si>
    <t>Heavy brush cotton</t>
  </si>
  <si>
    <t>SBA …</t>
  </si>
  <si>
    <t>Navy/green/red piping</t>
  </si>
  <si>
    <t>C-324-3866</t>
  </si>
  <si>
    <t>C-177-1266</t>
  </si>
  <si>
    <t>C-314-5012</t>
  </si>
  <si>
    <t>Cooler Bag</t>
  </si>
  <si>
    <t>600D PVC</t>
  </si>
  <si>
    <t>SOLINA</t>
  </si>
  <si>
    <t>Hawaii Green</t>
  </si>
  <si>
    <t>C-314-10346</t>
  </si>
  <si>
    <t>HENIKEN</t>
  </si>
  <si>
    <t>C-MI-10348-001</t>
  </si>
  <si>
    <t>Chili - 2024 Asian Games</t>
  </si>
  <si>
    <t>Balut bag - Chili Asian Game 2024</t>
  </si>
  <si>
    <t>MICHAEL</t>
  </si>
  <si>
    <t xml:space="preserve">YKK zipper </t>
  </si>
  <si>
    <t>HUTTER</t>
  </si>
  <si>
    <t>D600x300 PVC/D210 PU lining</t>
  </si>
  <si>
    <t>C-307-10290-003</t>
  </si>
  <si>
    <t>Charge for small print qty USD 50</t>
  </si>
  <si>
    <t xml:space="preserve">FENNOTEX with Fortimo (white) </t>
  </si>
  <si>
    <t>O-04306-03</t>
  </si>
  <si>
    <t>#6610
C-314-3573</t>
  </si>
  <si>
    <r>
      <t xml:space="preserve">with 2 colors print 
( </t>
    </r>
    <r>
      <rPr>
        <b/>
        <sz val="11"/>
        <color theme="4" tint="-0.249977111117893"/>
        <rFont val="Calibri"/>
        <family val="2"/>
        <scheme val="minor"/>
      </rPr>
      <t>on 1 side</t>
    </r>
    <r>
      <rPr>
        <sz val="11"/>
        <color theme="1"/>
        <rFont val="Calibri"/>
        <family val="2"/>
        <scheme val="minor"/>
      </rPr>
      <t>)</t>
    </r>
  </si>
  <si>
    <t>RPET D600x300</t>
  </si>
  <si>
    <t>FENNOTEX with Fortimo</t>
  </si>
  <si>
    <t>C-350-10340</t>
  </si>
  <si>
    <t>Surfboard Bag With Slit Placket - size 6 inch</t>
  </si>
  <si>
    <t>196(L) x 56(W) CM</t>
  </si>
  <si>
    <t>P/T 600D 82T RPET C0 W/R PU</t>
  </si>
  <si>
    <t>C-350-10341</t>
  </si>
  <si>
    <t>Surfboard Bag With Slit Placket - size 7 inch</t>
  </si>
  <si>
    <t>226(L) x 58(W) CM</t>
  </si>
  <si>
    <t>C-350-10342</t>
  </si>
  <si>
    <t>Surfboard Bag With Slit Placket - size 8 inch</t>
  </si>
  <si>
    <t>257(L) x 58(W) CM</t>
  </si>
  <si>
    <t>C-350-10343</t>
  </si>
  <si>
    <t>Surfboard Bag With Slit Placket - size 9 inch</t>
  </si>
  <si>
    <t>287(L) x 62.5(W) CM</t>
  </si>
  <si>
    <t>C-350-10344</t>
  </si>
  <si>
    <t>Surfboard Bag With Slit Placket - size 10 inch</t>
  </si>
  <si>
    <t>317.5(L) x 63.5(W) CM</t>
  </si>
  <si>
    <t>OLIVE</t>
  </si>
  <si>
    <t>C-314-4212-002</t>
  </si>
  <si>
    <t>JOHN OLE HANSEN…</t>
  </si>
  <si>
    <t>Cool Grey C4</t>
  </si>
  <si>
    <t>C-314-VEOLIA</t>
  </si>
  <si>
    <t xml:space="preserve">KRUGER VEOLIA
Resourcing the world </t>
  </si>
  <si>
    <t>HEAVY COTTON</t>
  </si>
  <si>
    <t>1</t>
  </si>
  <si>
    <t>Approved =&gt; Order</t>
  </si>
  <si>
    <t>order</t>
  </si>
  <si>
    <t>waiting reply</t>
  </si>
  <si>
    <t>waitng reply</t>
  </si>
  <si>
    <t>C-176-4595-004</t>
  </si>
  <si>
    <t>SIEMENS Gamesa RENEWABLE ENERGY A9B10203899</t>
  </si>
  <si>
    <t xml:space="preserve">C-131-KK Partner </t>
  </si>
  <si>
    <t>KK Partner Cap</t>
  </si>
  <si>
    <t>Embossed metal buckle "KK"</t>
  </si>
  <si>
    <t>KK Partner</t>
  </si>
  <si>
    <t>C-HHV-10349-001</t>
  </si>
  <si>
    <t>COMBAT HELMET BAG HHV</t>
  </si>
  <si>
    <t xml:space="preserve">D1000 PU CORDURA </t>
  </si>
  <si>
    <t xml:space="preserve">ARMY GREEN </t>
  </si>
  <si>
    <t>HHV
(EMB LOGO ON FRONT)</t>
  </si>
  <si>
    <t>C-HHV-10350-001</t>
  </si>
  <si>
    <t xml:space="preserve">HHV HELMET COVER </t>
  </si>
  <si>
    <t>D500 PU CORDURA</t>
  </si>
  <si>
    <t xml:space="preserve">CAMOUFLAGE </t>
  </si>
  <si>
    <t>C-HHV-10350-002</t>
  </si>
  <si>
    <t>HHV HELMET MESH COVER</t>
  </si>
  <si>
    <t xml:space="preserve">CAMOUFLAGE WITH MESH </t>
  </si>
  <si>
    <t xml:space="preserve">C-314- VP SKJERN </t>
  </si>
  <si>
    <t xml:space="preserve">Cap (size 60) </t>
  </si>
  <si>
    <t>VP Skjern …
(3D embroidery on front
Embroidery on back
Logo piping)</t>
  </si>
  <si>
    <t>BEIGE/ SAND</t>
  </si>
  <si>
    <t>Cotton with elastic sweatband</t>
  </si>
  <si>
    <t>Ưu Tiên gửi khách</t>
  </si>
  <si>
    <t>VD-CSP 24-06-241</t>
  </si>
  <si>
    <t>CS Lien</t>
  </si>
  <si>
    <t>Vestas VT20012591 WLL MAX 500 KG</t>
  </si>
  <si>
    <t xml:space="preserve">Velcro patch for #4272 </t>
  </si>
  <si>
    <t>C-176-6272-001</t>
  </si>
  <si>
    <t>O-04621-01</t>
  </si>
  <si>
    <t>Order no. 1119</t>
  </si>
  <si>
    <t>Eva foam 30mm ( Detail 5 )</t>
  </si>
  <si>
    <t>512 30 114.5 74.5</t>
  </si>
  <si>
    <t>O-04630-01</t>
  </si>
  <si>
    <t>Order No.1127</t>
  </si>
  <si>
    <t>C-314- VP SKJERN</t>
  </si>
  <si>
    <t>Standard Cap (size 60) standard 6 panel heavy cotton cap, with metal buckle and metal eyelet.</t>
  </si>
  <si>
    <t>Heavy cotton</t>
  </si>
  <si>
    <t>C-314-10347-001</t>
  </si>
  <si>
    <t>C-314-10339-001</t>
  </si>
  <si>
    <t>COOLER BAG
SIZE: 23(L) x 19 (W) x 30(H) CM</t>
  </si>
  <si>
    <t>ESMARK 
(PRINT on front)</t>
  </si>
  <si>
    <t xml:space="preserve">D600X300 PVC and PE foam 5MM inside </t>
  </si>
  <si>
    <t>less than 1000</t>
  </si>
  <si>
    <t>C-314-10339-002</t>
  </si>
  <si>
    <t>ESMARK 
(EMB on front)</t>
  </si>
  <si>
    <t>over 1000</t>
  </si>
  <si>
    <t>Order</t>
  </si>
  <si>
    <t>Approved</t>
  </si>
  <si>
    <t>Charge for small print qty $30</t>
  </si>
  <si>
    <t>C-176-7050-002</t>
  </si>
  <si>
    <t>Rain cover #5618</t>
  </si>
  <si>
    <t>C-314-5012-007</t>
  </si>
  <si>
    <t>Solina + Butchery</t>
  </si>
  <si>
    <t>Cooler bag 
SIZE   : 23 (L) X 18(W) X 16 (H) CM</t>
  </si>
  <si>
    <t xml:space="preserve">Butchery and Solina </t>
  </si>
  <si>
    <t>C-314-10347</t>
  </si>
  <si>
    <t>Cooler bag 
SIZE : 37L X 27H X 20W CM</t>
  </si>
  <si>
    <t>C - 176 - 7060-001</t>
  </si>
  <si>
    <t>#5535
C-347-10114-001</t>
  </si>
  <si>
    <t>SKI CLIPS
(set 2pcs - no hangtag)</t>
  </si>
  <si>
    <t>LIMA SPORT/PIKKORI SPORT - 1 side</t>
  </si>
  <si>
    <t xml:space="preserve">EVA foam </t>
  </si>
  <si>
    <t>#5565
C-347-10131-001</t>
  </si>
  <si>
    <t>KIDS SAFETY BELT BAG
(1 hangtag)</t>
  </si>
  <si>
    <t>EXP - 1 side</t>
  </si>
  <si>
    <t>Cross Country Ski Easy Handle 
( 1 hangtag)</t>
  </si>
  <si>
    <t xml:space="preserve">Explore performance gear - 1 side </t>
  </si>
  <si>
    <t>#5780
C-347-5264-001</t>
  </si>
  <si>
    <t>VARIO SKIBAG 2 PAIRS (160-180CM)
1 hangtag</t>
  </si>
  <si>
    <t xml:space="preserve">Explore performance gear - 2 sides </t>
  </si>
  <si>
    <t>#5785
C-347-10352-001
(160L x 16W x 16H CM)</t>
  </si>
  <si>
    <t xml:space="preserve">ALPIN SKIBAG 2 PAIRS (SAME 5780 NO PADDING/LINNING)
1 hangtag </t>
  </si>
  <si>
    <t>#5790
C-347-10353-001
(185L x 16W x 16H CM)</t>
  </si>
  <si>
    <t>#5775 
C-347-10337-001</t>
  </si>
  <si>
    <t>EXP SKI BOOT - SKI HELMET BACKPACK
(1 hangtag)</t>
  </si>
  <si>
    <t>EXPLORE PERFORMANCE SNOWGEAR on both big side 
1 x EXP small logo at front + 1 x SNOWGEAR small logo at backside</t>
  </si>
  <si>
    <t>#5500
C-347-10304</t>
  </si>
  <si>
    <t>SKI BAG 155-165 CM (SINGLE)</t>
  </si>
  <si>
    <t>logo (1color) on both sides</t>
  </si>
  <si>
    <t>(160L x 16W x 16H CM)</t>
  </si>
  <si>
    <t>(185L x 16W x 16H CM)</t>
  </si>
  <si>
    <t xml:space="preserve">COOLER BAG </t>
  </si>
  <si>
    <t>C-DFLY-10354</t>
  </si>
  <si>
    <t>DFLY</t>
  </si>
  <si>
    <t>C-314-5570 (new)</t>
  </si>
  <si>
    <t>CAMPING COVER BAG</t>
  </si>
  <si>
    <t>Black/white piping out 3.5MM</t>
  </si>
  <si>
    <t>Brønderslev Caravan … 
(NEW-without LMC)</t>
  </si>
  <si>
    <t>SIMILI 0.8MM</t>
  </si>
  <si>
    <t>C-176-5559-001</t>
  </si>
  <si>
    <t>Tube bag for SG5X accumumlator</t>
  </si>
  <si>
    <t>C-176-5916-001</t>
  </si>
  <si>
    <t>Tube bag for pitch cylinder SG5X</t>
  </si>
  <si>
    <t>Black/Orange</t>
  </si>
  <si>
    <t xml:space="preserve">Round tool bag Ø64 WITH HARD COVER </t>
  </si>
  <si>
    <t>C-176-64140-006</t>
  </si>
  <si>
    <t>C-176-64115-003</t>
  </si>
  <si>
    <t>C-350-10340-001</t>
  </si>
  <si>
    <t>C-350-10341-001</t>
  </si>
  <si>
    <t>C-350-10342-001</t>
  </si>
  <si>
    <t>C-350-10343-001</t>
  </si>
  <si>
    <t>C-350-10344-001</t>
  </si>
  <si>
    <t>Tall cylinder bag ( based on #64140) with hard cover</t>
  </si>
  <si>
    <t>#5500
C-347-10304-001</t>
  </si>
  <si>
    <t>EXPLORE PERFORMANCE SNOWGEAR</t>
  </si>
  <si>
    <t>#5790
C-347-10353-001</t>
  </si>
  <si>
    <t>#5485
C-347-10305-001</t>
  </si>
  <si>
    <t>#5490
C-347-10120-001</t>
  </si>
  <si>
    <t>#5775
C-347-10337-001</t>
  </si>
  <si>
    <t>SNOWBOARD BAG - 165 CM.</t>
  </si>
  <si>
    <t xml:space="preserve"> SKI BAG - 2 X PAIRS SKI - 185 CM.</t>
  </si>
  <si>
    <t>SKI BAG - 1 X PAIR SKI - 165 CM.</t>
  </si>
  <si>
    <t>SKI BAG - 1 X PAIR SKI - 185 CM.</t>
  </si>
  <si>
    <t>SKI BOOT &amp; HELMET BAG</t>
  </si>
  <si>
    <t>C-176-3956-003</t>
  </si>
  <si>
    <t>DOC-100795</t>
  </si>
  <si>
    <t>NKT</t>
  </si>
  <si>
    <t>C-NKT-10357-001</t>
  </si>
  <si>
    <t>#5815
C-347-10362-001</t>
  </si>
  <si>
    <t>EXP - BIG BACK PACK</t>
  </si>
  <si>
    <t>C-176-7062-001</t>
  </si>
  <si>
    <t>Mail bag</t>
  </si>
  <si>
    <t>C-VEK-10358</t>
  </si>
  <si>
    <t>BLTD1</t>
  </si>
  <si>
    <t>Versapak</t>
  </si>
  <si>
    <t>C-VEK-10359</t>
  </si>
  <si>
    <t>AS1 T2</t>
  </si>
  <si>
    <t>C-VEK-10365</t>
  </si>
  <si>
    <t>CCB0 T2</t>
  </si>
  <si>
    <t>VERSAPAK</t>
  </si>
  <si>
    <t>C-314-1159</t>
  </si>
  <si>
    <t xml:space="preserve">TENT BAG </t>
  </si>
  <si>
    <t>C-314-1338</t>
  </si>
  <si>
    <t xml:space="preserve">POLE BAG </t>
  </si>
  <si>
    <t>Sørens Camping</t>
  </si>
  <si>
    <t>C-VEK-10360</t>
  </si>
  <si>
    <t>KF2T2</t>
  </si>
  <si>
    <t>C-VEK-10366</t>
  </si>
  <si>
    <t>ZG2</t>
  </si>
  <si>
    <t>C-VEK-10364</t>
  </si>
  <si>
    <t>CCB1 T2</t>
  </si>
  <si>
    <t>C-VEK-10363</t>
  </si>
  <si>
    <t>PYTB2</t>
  </si>
  <si>
    <t xml:space="preserve">SIRACE BOOT BAG </t>
  </si>
  <si>
    <t>C-177-10369-001</t>
  </si>
  <si>
    <t xml:space="preserve">TECHNICA BOOT BAG </t>
  </si>
  <si>
    <t>C-VEK-10367</t>
  </si>
  <si>
    <t>KF2W T2</t>
  </si>
  <si>
    <t>C-VEK-10361</t>
  </si>
  <si>
    <t>BLG2</t>
  </si>
  <si>
    <t>Yêu cầu hoàn thành mẫu trước 26-09</t>
  </si>
  <si>
    <t>Yêu cầu hoàn thành mẫu trước 17-08</t>
  </si>
  <si>
    <t>Yêu cầu hoàn thành mẫu trước 26-08</t>
  </si>
  <si>
    <t>C-177-10338-001</t>
  </si>
  <si>
    <t>D600x300 PVC with Trim Simili</t>
  </si>
  <si>
    <t>Tarpauline</t>
  </si>
  <si>
    <t>38L x 43H x 28.5W</t>
  </si>
  <si>
    <t>53L x 40H x 24.5ƯW</t>
  </si>
  <si>
    <t>VD-MA 24-08-357</t>
  </si>
  <si>
    <t>Round bottle bag - Dual option</t>
  </si>
  <si>
    <t>C-176-3209-002</t>
  </si>
  <si>
    <t>O-04701-01</t>
  </si>
  <si>
    <t>Order No.1177</t>
  </si>
  <si>
    <t>EMB</t>
  </si>
  <si>
    <t>C-314-1338-003</t>
  </si>
  <si>
    <t>C-314-1159-003</t>
  </si>
  <si>
    <t>Washable</t>
  </si>
  <si>
    <t>BUY</t>
  </si>
  <si>
    <t>C-176-4897-3-021</t>
  </si>
  <si>
    <t>SKOMO</t>
  </si>
  <si>
    <t>C-205-3041-001</t>
  </si>
  <si>
    <t>VB 20 COTTON
Car seat</t>
  </si>
  <si>
    <t xml:space="preserve">PED BAG </t>
  </si>
  <si>
    <t>C-314-10373-001</t>
  </si>
  <si>
    <t>C-176-7030-001</t>
  </si>
  <si>
    <t>Rain cover for #7030</t>
  </si>
  <si>
    <t>C-176-5221-1-001</t>
  </si>
  <si>
    <t>Trolley bag with hard bottom</t>
  </si>
  <si>
    <t>OPTICS</t>
  </si>
  <si>
    <t>C-OPICS-10370-001</t>
  </si>
  <si>
    <t>DRAG BAG (Rifle bag)</t>
  </si>
  <si>
    <t>C-176-4390-2-001</t>
  </si>
  <si>
    <t>Lifting backpack with hard bottom cover ( USA )</t>
  </si>
  <si>
    <t>cần gấp trước 25-09</t>
  </si>
  <si>
    <t>C-314-10374-001</t>
  </si>
  <si>
    <t>SPORT BAG WITH SHOULDER STRAP</t>
  </si>
  <si>
    <t>Same 1 color print on 5 sides, as pictures.</t>
  </si>
  <si>
    <t>TARPULINE 0.5MM</t>
  </si>
  <si>
    <t>C-314-10375-001</t>
  </si>
  <si>
    <t>Same 4 color print on 5 sides.
1 Color print on 1 side.</t>
  </si>
  <si>
    <t>D600 RPET</t>
  </si>
  <si>
    <t>D600 Corudra / PE Tarpauline 120gsm</t>
  </si>
  <si>
    <t>waiting confirm for adjustment</t>
  </si>
  <si>
    <t>O-04721-01</t>
  </si>
  <si>
    <t>O-04722-01</t>
  </si>
  <si>
    <t>Ship on 30 October by LCL</t>
  </si>
  <si>
    <t>C-176-7063-001</t>
  </si>
  <si>
    <t>Bag with connection to lift</t>
  </si>
  <si>
    <t>Tarpauline 0.5mm</t>
  </si>
  <si>
    <t>Tarpaulin 0.35 MM</t>
  </si>
  <si>
    <t>C-176-6253</t>
  </si>
  <si>
    <t>BELOW 20KGS / BELOW 40KGS / HEAVY LIFT + 40KGS</t>
  </si>
  <si>
    <t>C-314-SOLEA</t>
  </si>
  <si>
    <t>for 6 panel Cap</t>
  </si>
  <si>
    <t>On front: MS Solea, flag, Hvide sandeOn peak: FishOn both sides: KOTT + worm (In blue)On back: www.kottfritid.dk (in Blue)</t>
  </si>
  <si>
    <t>Cap</t>
  </si>
  <si>
    <t xml:space="preserve"> D600x300 PVC</t>
  </si>
  <si>
    <t>C-314-1059</t>
  </si>
  <si>
    <t xml:space="preserve"> D600x300 PVC (available)</t>
  </si>
  <si>
    <t>D70 PVC (available)</t>
  </si>
  <si>
    <t>#6649 
C-314-1059</t>
  </si>
  <si>
    <t>C-131-ifm-001</t>
  </si>
  <si>
    <t>ifm</t>
  </si>
  <si>
    <t>ifm cap ( size 60 )</t>
  </si>
  <si>
    <t>100% cotton</t>
  </si>
  <si>
    <t>C-279-H.Hoffmann-001</t>
  </si>
  <si>
    <t>Hoffmann cap (size 60)</t>
  </si>
  <si>
    <t>H.Hoffmann</t>
  </si>
  <si>
    <t>Transfer</t>
  </si>
  <si>
    <t>cần hoàn thành trước 01-10</t>
  </si>
  <si>
    <t>điều chỉnh mẫu theo yêu cầu khách hàng</t>
  </si>
  <si>
    <t>Red
Orange
green</t>
  </si>
  <si>
    <t>C-VEK-10379</t>
  </si>
  <si>
    <t>Speedglas</t>
  </si>
  <si>
    <t>C-VEK-10380</t>
  </si>
  <si>
    <t>Thermal Bag</t>
  </si>
  <si>
    <t>C-VEK-10381</t>
  </si>
  <si>
    <t>Ice Bag</t>
  </si>
  <si>
    <t>C-VEK-10382</t>
  </si>
  <si>
    <t>Grocery Bag</t>
  </si>
  <si>
    <t xml:space="preserve"> #6619
(C-314-3573-071)</t>
  </si>
  <si>
    <t>HP BYG</t>
  </si>
  <si>
    <t>Date of completion
(Estimate)</t>
  </si>
  <si>
    <t>FIN WALLETS</t>
  </si>
  <si>
    <t>C-350-10378</t>
  </si>
  <si>
    <t>OLIVE GREEN</t>
  </si>
  <si>
    <t>Tan</t>
  </si>
  <si>
    <t xml:space="preserve">SIZE : 11H x 12W In
28 x 31 (cm)
</t>
  </si>
  <si>
    <t>P/T 900D HD RPET
or PET C6 W/R
PU*2</t>
  </si>
  <si>
    <t>C-BOOYA-10384-001</t>
  </si>
  <si>
    <t>BOOYAA</t>
  </si>
  <si>
    <t>BLACK, WHITE</t>
  </si>
  <si>
    <t>C-307-10383-001</t>
  </si>
  <si>
    <t>standard zipper in our stock</t>
  </si>
  <si>
    <t>YKK zipper</t>
  </si>
  <si>
    <t>No Logo &amp; No Woven</t>
  </si>
  <si>
    <t xml:space="preserve"> #6619
(C-314-3573-072)</t>
  </si>
  <si>
    <t>HUSMER</t>
  </si>
  <si>
    <t>1 color print on 2 sides</t>
  </si>
  <si>
    <t>update logo when get order</t>
  </si>
  <si>
    <t>#6623
C-314-3682</t>
  </si>
  <si>
    <t>3 color print on 2 sides</t>
  </si>
  <si>
    <t>C-314-10386-001</t>
  </si>
  <si>
    <t>BACKPACK 30L with rain cover</t>
  </si>
  <si>
    <t>SIZE : 48(L) x 33(H) x 18(W) CM</t>
  </si>
  <si>
    <t>REJSPY</t>
  </si>
  <si>
    <t xml:space="preserve"> #6619 without pocket 
C-314-3714-012</t>
  </si>
  <si>
    <t>SAFEGUARDING TOMORROW
ROHDE NIELSEN</t>
  </si>
  <si>
    <t>Dark Grey (431C)</t>
  </si>
  <si>
    <t>cần hoàn thành trước 05-11</t>
  </si>
  <si>
    <t>C-350-10378-001</t>
  </si>
  <si>
    <t>FIN WALLET</t>
  </si>
  <si>
    <t>TAN</t>
  </si>
  <si>
    <t>Heat Seal Square Tool bag</t>
  </si>
  <si>
    <t>C-314-10394-001</t>
  </si>
  <si>
    <t>SIZE : 34(L) x 32(H) x 16(W) CM</t>
  </si>
  <si>
    <t>Embroidered logo on front, 1 side only(Logo similar to photos)</t>
  </si>
  <si>
    <t xml:space="preserve"> D600x300 PVC/ lining D210 PU</t>
  </si>
  <si>
    <t>SKIBOOT BAG &amp; HELMET</t>
  </si>
  <si>
    <t>EXPLORE 
PERFORMANCE 
SNOWGEAR</t>
  </si>
  <si>
    <t>#5820
C-347-10368-001</t>
  </si>
  <si>
    <t>Size : 40L x 25W x 43H</t>
  </si>
  <si>
    <t>C-304-3091-001</t>
  </si>
  <si>
    <t>Shoulder Rice Equipment bag</t>
  </si>
  <si>
    <t>1000-1500</t>
  </si>
  <si>
    <t xml:space="preserve">New Logo </t>
  </si>
  <si>
    <t>cần mẫu trước ngày  08-11</t>
  </si>
  <si>
    <t>Đợi KH confirm mẫu</t>
  </si>
  <si>
    <t>cần mẫu trước ngày  24-10</t>
  </si>
  <si>
    <t>cần mẫu trước ngày  09-11</t>
  </si>
  <si>
    <t>DFY-IT</t>
  </si>
  <si>
    <t>C-DFY-10354</t>
  </si>
  <si>
    <t>C - WIPAC - 10390 - 001</t>
  </si>
  <si>
    <t>C - WIPAC - 10393 - 001</t>
  </si>
  <si>
    <t>Tote Pocket (55 cells)</t>
  </si>
  <si>
    <t>Tote Pocket (24 cells)</t>
  </si>
  <si>
    <t>WIPAC</t>
  </si>
  <si>
    <t>CROZZ</t>
  </si>
  <si>
    <t>mẫu sửa theo yêu cầu khách</t>
  </si>
  <si>
    <t>Finish in April -2024</t>
  </si>
  <si>
    <t xml:space="preserve">Total </t>
  </si>
  <si>
    <t>Finish in May -2024</t>
  </si>
  <si>
    <t>Finish in Jun -2024</t>
  </si>
  <si>
    <t>Finish in July  -2024</t>
  </si>
  <si>
    <t>Finish in August  -2024</t>
  </si>
  <si>
    <t>Finish in September  -2024</t>
  </si>
  <si>
    <t>Finish in October -2024</t>
  </si>
  <si>
    <t>C-176-2604-1-001</t>
  </si>
  <si>
    <t>Cylinder tool bag for filter with hard bottom</t>
  </si>
  <si>
    <t>C-267-5943-001</t>
  </si>
  <si>
    <t>Semco maritime</t>
  </si>
  <si>
    <t>update price from 2024</t>
  </si>
  <si>
    <t>C-176-5498-007</t>
  </si>
  <si>
    <t>Foldable lifting bag for POWER
module</t>
  </si>
  <si>
    <t>only cutting</t>
  </si>
  <si>
    <t>cần hoàn thành trước 16-11</t>
  </si>
  <si>
    <t>FARO BOARD BAG - 9 Feet</t>
  </si>
  <si>
    <t>FARO BOARD BAG - 6 Feet</t>
  </si>
  <si>
    <t>FARO BOARD BAG - 7 Feet</t>
  </si>
  <si>
    <t>FARO BOARD BAG - 8 Feet</t>
  </si>
  <si>
    <t>FARO BOARD BAG - 10 Feet</t>
  </si>
  <si>
    <t>Tarpaulin</t>
  </si>
  <si>
    <t>all Zippers (YKK) in green as close as possible to pantone 347C</t>
  </si>
  <si>
    <t>C-307-10290</t>
  </si>
  <si>
    <t>JAK</t>
  </si>
  <si>
    <t>C-176-4952-002</t>
  </si>
  <si>
    <t>Tower strap protectors</t>
  </si>
  <si>
    <t>White/ Grey</t>
  </si>
  <si>
    <t>JAN</t>
  </si>
  <si>
    <t>C-JAN-10200</t>
  </si>
  <si>
    <t>HIKING BAG</t>
  </si>
  <si>
    <t>Tarpaulin 0.5mm</t>
  </si>
  <si>
    <t>RUGBY BAG
60L</t>
  </si>
  <si>
    <t>C-BOOYA-10395</t>
  </si>
  <si>
    <t>RUGBY BAG
47L</t>
  </si>
  <si>
    <t>Điều chỉnh lại mẫu theo yêu cầu khách</t>
  </si>
  <si>
    <t>may lại thông số mới</t>
  </si>
  <si>
    <t>C-176-5499-001</t>
  </si>
  <si>
    <t>Lifting strap for #5498</t>
  </si>
  <si>
    <t>Orange/ Yellow</t>
  </si>
  <si>
    <t>C-176-4389-004</t>
  </si>
  <si>
    <t>Mẫu cần gửi KH ngày 29-11</t>
  </si>
  <si>
    <t>mẫu cần gửi KH ngày 12-12</t>
  </si>
  <si>
    <t>upadte mẫu</t>
  </si>
  <si>
    <t>may lại mẫu gốc</t>
  </si>
  <si>
    <t>C-BOOYA-10397</t>
  </si>
  <si>
    <t>C-VEK-10399</t>
  </si>
  <si>
    <t>United Thermal bag</t>
  </si>
  <si>
    <t>Updated on 20.06</t>
  </si>
  <si>
    <t>mẫu cần gửi KH ngày 08-12</t>
  </si>
  <si>
    <t>D210 PU 4Oz</t>
  </si>
  <si>
    <t>&gt;1000</t>
  </si>
  <si>
    <t>Gym bag</t>
  </si>
  <si>
    <t>1 COLOR ON 1 SIDE</t>
  </si>
  <si>
    <t>D210 PU 4OZ and Inserting similar fabric in the corner</t>
  </si>
  <si>
    <t>C-314-10414</t>
  </si>
  <si>
    <t>1 COLOR ON 2 SIDE</t>
  </si>
  <si>
    <t>RUBBERMAID</t>
  </si>
  <si>
    <t>P/T 600D 72T RPET UV C0 W/R PU*2 58"</t>
  </si>
  <si>
    <t>O-04849-01</t>
  </si>
  <si>
    <t>O-04850-01</t>
  </si>
  <si>
    <t>O-04851-01</t>
  </si>
  <si>
    <t>O-04852-01</t>
  </si>
  <si>
    <t>O-04853-01</t>
  </si>
  <si>
    <t>5 panels</t>
  </si>
  <si>
    <t>2 color print on front (same logo as embroidery)1 color print on only 1 side (same as text)</t>
  </si>
  <si>
    <t>C-314-10419</t>
  </si>
  <si>
    <t>All over print - 1color</t>
  </si>
  <si>
    <t>D210 PU</t>
  </si>
  <si>
    <t>1,89</t>
  </si>
  <si>
    <t>Start 29-11</t>
  </si>
  <si>
    <t>Finish in November-2024</t>
  </si>
  <si>
    <t xml:space="preserve">Transfer </t>
  </si>
  <si>
    <t>P/T 600D 72T RPET UV C0 W/R PU*2</t>
  </si>
  <si>
    <t>TRAVEL BOARD BAG - size 10</t>
  </si>
  <si>
    <t xml:space="preserve">Forecast based on Jack's plan </t>
  </si>
  <si>
    <t>Waiting PO</t>
  </si>
  <si>
    <t>P/T 900D HD RPET UV C6 W/R PU</t>
  </si>
  <si>
    <t>C-350-10344-002</t>
  </si>
  <si>
    <t>O-04870-01</t>
  </si>
  <si>
    <t>O-04871-01</t>
  </si>
  <si>
    <t>O-04872-01</t>
  </si>
  <si>
    <t>C-350-10276-002</t>
  </si>
  <si>
    <t>Bags used to transport Delta instruments</t>
  </si>
  <si>
    <t>C-332-10401-001</t>
  </si>
  <si>
    <t>HELMET BAG</t>
  </si>
  <si>
    <t>DEEP SEA</t>
  </si>
  <si>
    <t>MARINE BLUE - PANTONE 3945C/ LINNING MARINE BLUE (PANTONE 286C)</t>
  </si>
  <si>
    <t>TARPULIN 0.5MMLINNING D210 PU</t>
  </si>
  <si>
    <t>C-176-5555-001</t>
  </si>
  <si>
    <t>Bag for gear oil cooler</t>
  </si>
  <si>
    <t>C-176-7061-2-001</t>
  </si>
  <si>
    <t>Square bag with US webbing</t>
  </si>
  <si>
    <t>C-176-4498-002</t>
  </si>
  <si>
    <r>
      <t xml:space="preserve">Waiiting for approve new sample </t>
    </r>
    <r>
      <rPr>
        <sz val="10"/>
        <rFont val="Arial"/>
        <family val="2"/>
      </rPr>
      <t xml:space="preserve">
Without rails untill it's approved (mail 08.09). Take note of a transferred clear pocket.</t>
    </r>
    <r>
      <rPr>
        <sz val="10"/>
        <color rgb="FFFF0000"/>
        <rFont val="Arial"/>
        <family val="2"/>
      </rPr>
      <t xml:space="preserve"> </t>
    </r>
    <r>
      <rPr>
        <b/>
        <sz val="10"/>
        <color theme="1"/>
        <rFont val="Arial"/>
        <family val="2"/>
      </rPr>
      <t xml:space="preserve">Ship 1 full containers each month (start Oct)
</t>
    </r>
    <r>
      <rPr>
        <sz val="10"/>
        <color rgb="FFFF0000"/>
        <rFont val="Arial"/>
        <family val="2"/>
      </rPr>
      <t>Update new cutting technique on plastic bottom"</t>
    </r>
  </si>
  <si>
    <t>C-BOOYA-10384</t>
  </si>
  <si>
    <t>C-BOOYA-10385</t>
  </si>
  <si>
    <t>BACK PACK</t>
  </si>
  <si>
    <t>Start 03-12</t>
  </si>
  <si>
    <t>Start 05-12</t>
  </si>
  <si>
    <t>C-314-10386</t>
  </si>
  <si>
    <t>C-314-10374</t>
  </si>
  <si>
    <t>C-314-10375</t>
  </si>
  <si>
    <t>Same 4 color print on 5 sides.1 Color print on 1 side.</t>
  </si>
  <si>
    <t>C-JASON-10396</t>
  </si>
  <si>
    <t>62.5(L) X 31 (W) X29</t>
  </si>
  <si>
    <t xml:space="preserve">D600 PVC </t>
  </si>
  <si>
    <t>UNDER ARMOUR 100 $12.36</t>
  </si>
  <si>
    <t>C-JASON-10398</t>
  </si>
  <si>
    <t>Classic Badge of Sport Backpack</t>
  </si>
  <si>
    <t>44H X 33L X 15W</t>
  </si>
  <si>
    <t>JASON</t>
  </si>
  <si>
    <t>C-JASON-10396-001</t>
  </si>
  <si>
    <t>DUFFLE BAG (poly)</t>
  </si>
  <si>
    <t>C-JASON-10396-002</t>
  </si>
  <si>
    <t>DUFFLE BAG (cordura)</t>
  </si>
  <si>
    <t>C-JASON-10398-001</t>
  </si>
  <si>
    <t>SPORT BACKPACK (poly)</t>
  </si>
  <si>
    <t>C-JASON-10398-002</t>
  </si>
  <si>
    <t>SPORT BACKPACK (cordura)</t>
  </si>
  <si>
    <r>
      <rPr>
        <sz val="10"/>
        <color rgb="FF0070C0"/>
        <rFont val="Arial"/>
        <family val="2"/>
      </rPr>
      <t>Box has barcode sticker outside (per box)</t>
    </r>
    <r>
      <rPr>
        <sz val="10"/>
        <color rgb="FFFF0000"/>
        <rFont val="Arial"/>
        <family val="2"/>
      </rPr>
      <t xml:space="preserve">
</t>
    </r>
  </si>
  <si>
    <t>Waiting for official PO</t>
  </si>
  <si>
    <t>C-350-10343-002</t>
  </si>
  <si>
    <t>C-350-10342-002</t>
  </si>
  <si>
    <t>C-350-10341-002</t>
  </si>
  <si>
    <t>C-350-10340-002</t>
  </si>
  <si>
    <t>O-04878-01</t>
  </si>
  <si>
    <t>O-04879-01</t>
  </si>
  <si>
    <t>O-04880-01</t>
  </si>
  <si>
    <t>O-04881-01</t>
  </si>
  <si>
    <t>O-04882-01</t>
  </si>
  <si>
    <t>O-04883-01</t>
  </si>
  <si>
    <t>O-04884-01</t>
  </si>
  <si>
    <t>O-04885-01</t>
  </si>
  <si>
    <t>C-350-10274-002</t>
  </si>
  <si>
    <t>C-350-10321-002</t>
  </si>
  <si>
    <t>C-350-10275-002</t>
  </si>
  <si>
    <t>C-350-10322-002</t>
  </si>
  <si>
    <t xml:space="preserve"> BROBY</t>
  </si>
  <si>
    <t>REJSBY</t>
  </si>
  <si>
    <t>Mẫu phải gửi cho KH ngày 20-12</t>
  </si>
  <si>
    <t>C-WIPAC-10421</t>
  </si>
  <si>
    <t>Textile Divider 
4 pockets 2 layers (size B)</t>
  </si>
  <si>
    <t>C-WIPAC-10422</t>
  </si>
  <si>
    <t>Textile Divider
 18 pockets 1 layer (size B)</t>
  </si>
  <si>
    <t>C-WIPAC-10423</t>
  </si>
  <si>
    <t>Textile Divider 
30 pockets 1 layer (size B)</t>
  </si>
  <si>
    <t>AIRTEAM</t>
  </si>
  <si>
    <t>#6649
(C-314-1059-038)</t>
  </si>
  <si>
    <t>C-176-4390-2-002</t>
  </si>
  <si>
    <t>waiting confirm</t>
  </si>
  <si>
    <t xml:space="preserve">D600 Cordura </t>
  </si>
  <si>
    <t>SpeedGlass</t>
  </si>
  <si>
    <t>Forecast based on VERSAPAK' plan in 2025</t>
  </si>
  <si>
    <t>C-VER-10379</t>
  </si>
  <si>
    <t>C-176-7058-002</t>
  </si>
  <si>
    <t>C-176-7064-001</t>
  </si>
  <si>
    <t>Strap for Blade Cradle</t>
  </si>
  <si>
    <t>Back Pack</t>
  </si>
  <si>
    <t>COMPOSITE</t>
  </si>
  <si>
    <t>Grey</t>
  </si>
  <si>
    <t>Mẫu sẽ gửi khách hàng trước TẾT</t>
  </si>
  <si>
    <t>Same 1 color print on 6 sides, as pictures.</t>
  </si>
  <si>
    <t>C-BOOYA-10385-001</t>
  </si>
  <si>
    <t>Finish in January - 2025</t>
  </si>
  <si>
    <t>Finish in December - 2024</t>
  </si>
  <si>
    <t xml:space="preserve">
Gửi trước khách hàng (1) mẫu mỗi mã nếu ko kịp</t>
  </si>
  <si>
    <t>Đã trao đổi feedback ngày 3-1.
Điều chỉnh mẫu theo yêu cầu khách hàng</t>
  </si>
  <si>
    <t>Embroidery: 3M, www.speedglas.com
Rubber logo: Speedglas™</t>
  </si>
  <si>
    <t>Gấp !</t>
  </si>
  <si>
    <t>Mẫu cần sản xuất gửi trước TẾT</t>
  </si>
  <si>
    <t>ARB</t>
  </si>
  <si>
    <t>C - ARB - 10432</t>
  </si>
  <si>
    <t>CARGO GEAR</t>
  </si>
  <si>
    <t>ARB CARGO GEAR</t>
  </si>
  <si>
    <t>Light Beige</t>
  </si>
  <si>
    <t>C - ARB - 10431</t>
  </si>
  <si>
    <t>RECOVERY</t>
  </si>
  <si>
    <t>ARB RECOVERY</t>
  </si>
  <si>
    <t>Mẫu gửi khách hàng ngày 20-01</t>
  </si>
  <si>
    <t>C-176-44165-001</t>
  </si>
  <si>
    <t>Lifting bag for elevator platform based on 4467</t>
  </si>
  <si>
    <t>C-176-7065-001</t>
  </si>
  <si>
    <t>Tube bag for pitch cylinder US</t>
  </si>
  <si>
    <t>C-176-4952-003</t>
  </si>
  <si>
    <t>C-BOOYAA-10397</t>
  </si>
  <si>
    <t>60L 60L X 30W X 30H</t>
  </si>
  <si>
    <t>47L X 23W X 23H CM</t>
  </si>
  <si>
    <t>Rugby Bag 47L</t>
  </si>
  <si>
    <t xml:space="preserve">C-BOOYAA-10395 </t>
  </si>
  <si>
    <t>Rugby Bag 60L</t>
  </si>
  <si>
    <t>Vestas</t>
  </si>
  <si>
    <t>Vestas VT732744 WLL MAX 80 KG</t>
  </si>
  <si>
    <t>FARO BOARD BAG - 11 Feet</t>
  </si>
  <si>
    <t>Hàng sản xuất may mẫu gấp</t>
  </si>
  <si>
    <t>Mẫu cần sản xuất trước 10-3</t>
  </si>
  <si>
    <t>Còn 1 mẫu</t>
  </si>
  <si>
    <t>Aprroval</t>
  </si>
  <si>
    <t>Lifting bag for BMOT238/239 WLL MAX 300 KG</t>
  </si>
  <si>
    <t>C-176-5557-001</t>
  </si>
  <si>
    <t>O-04968-01</t>
  </si>
  <si>
    <t>thay đổi mẫu chi tiết nhỏ</t>
  </si>
  <si>
    <t>C-350-10345-001</t>
  </si>
  <si>
    <t>Surfboard Bag With Slit Placket - size 11 inch</t>
  </si>
  <si>
    <t>O-04969-01</t>
  </si>
  <si>
    <t>O-04970-01</t>
  </si>
  <si>
    <t>C-350-10345-002</t>
  </si>
  <si>
    <t>Est 12-02</t>
  </si>
  <si>
    <t>Grocery bag</t>
  </si>
  <si>
    <t>C-176-4390-002</t>
  </si>
  <si>
    <t>Lifting backpack with hard bottom cover</t>
  </si>
  <si>
    <t>Mẫu cần gấp 20-02</t>
  </si>
  <si>
    <t xml:space="preserve">SNOW BAG </t>
  </si>
  <si>
    <t>Brugte Ski</t>
  </si>
  <si>
    <t>C-350-10442-001</t>
  </si>
  <si>
    <t>FARO (x4)</t>
  </si>
  <si>
    <t xml:space="preserve">Olive </t>
  </si>
  <si>
    <t>BP chuyền may
17-02</t>
  </si>
  <si>
    <t>Finish in February - 2025</t>
  </si>
  <si>
    <t>C-177-10440-001</t>
  </si>
  <si>
    <t>2-3 Board Bag - size 7'</t>
  </si>
  <si>
    <t>C-VEK-10382-002</t>
  </si>
  <si>
    <t>other linning material</t>
  </si>
  <si>
    <t>Ship to customer in Jun - LCL (USA)</t>
  </si>
  <si>
    <t>Ship to customer in August - LCL (USA)</t>
  </si>
  <si>
    <t>Ship to customer in November - LCL (USA)</t>
  </si>
  <si>
    <t>2-3 Board Bag - size 7' - 8' - 9' = 10 '</t>
  </si>
  <si>
    <t>November</t>
  </si>
  <si>
    <t>August</t>
  </si>
  <si>
    <t>C-350-10438-001</t>
  </si>
  <si>
    <t>Backpack for rope - 250m</t>
  </si>
  <si>
    <t>Ship on 04 July By LCL (to USA)</t>
  </si>
  <si>
    <t>repeat order</t>
  </si>
  <si>
    <t>O-04992-01</t>
  </si>
  <si>
    <t>O-04993-01</t>
  </si>
  <si>
    <t>O-04994-01</t>
  </si>
  <si>
    <t>O-04995-01</t>
  </si>
  <si>
    <t>O-04996-01</t>
  </si>
  <si>
    <t>O-04997-01</t>
  </si>
  <si>
    <t>SkatePro</t>
  </si>
  <si>
    <t>DeLuxe Støvlebag - 1 par (Lækker model med lomme og skulderrem) - size "L=41-48"</t>
  </si>
  <si>
    <t>Finish in March - 2025</t>
  </si>
  <si>
    <t>C-176-7066-001</t>
  </si>
  <si>
    <t>Small Bag</t>
  </si>
  <si>
    <t>C-176-7067-001</t>
  </si>
  <si>
    <t>C-176-5571-006</t>
  </si>
  <si>
    <t>Udruga Sapa</t>
  </si>
  <si>
    <t>C-VEK-10382-003</t>
  </si>
  <si>
    <t>cần xong trước 25-03</t>
  </si>
  <si>
    <t>Total PO : 320pcs</t>
  </si>
  <si>
    <t>C-307-10444-001</t>
  </si>
  <si>
    <t>Rainproof Essential Case</t>
  </si>
  <si>
    <t>C-307-10443-001</t>
  </si>
  <si>
    <t>SWISS CYCLING</t>
  </si>
  <si>
    <t>FENOTEX</t>
  </si>
  <si>
    <t>SnowTech ROLLER SPLIT TRAVEL 85L - Heavy Duty Travelbag w/wheels</t>
  </si>
  <si>
    <t xml:space="preserve"> Large trouble shooting bag.</t>
  </si>
  <si>
    <t>C-176- 5616-005</t>
  </si>
  <si>
    <t>C-176-4270-001</t>
  </si>
  <si>
    <t>OK</t>
  </si>
  <si>
    <t>C-324-10458</t>
  </si>
  <si>
    <t>C-324-10459</t>
  </si>
  <si>
    <t>SKATEPRO</t>
  </si>
  <si>
    <t>Hàng sản xuất cần gấp</t>
  </si>
  <si>
    <t>DeLuxe Støvlebag - 1 par (Lækker model med lomme og skulderrem) - size "S=35-41"</t>
  </si>
  <si>
    <t>C-324-4700</t>
  </si>
  <si>
    <t>Xong 1 mẫu</t>
  </si>
  <si>
    <t>may lại 1</t>
  </si>
  <si>
    <t>BooYaa Living Golf</t>
  </si>
  <si>
    <t>C-351-10385-001</t>
  </si>
  <si>
    <t>Duffle bag</t>
  </si>
  <si>
    <t>C-351-10384-001</t>
  </si>
  <si>
    <t>O-05054-01</t>
  </si>
  <si>
    <t>O-05055-01</t>
  </si>
  <si>
    <t>done</t>
  </si>
  <si>
    <t>Hồng Hạnh</t>
  </si>
  <si>
    <t>NO LOGO ( Siemens label )</t>
  </si>
  <si>
    <t>new version without lifting strap</t>
  </si>
  <si>
    <t>Order no. 1432</t>
  </si>
  <si>
    <t>Customer cancle this PO and replace new PO 1432 (in there order more 580pcs)</t>
  </si>
  <si>
    <t>O-05074-06</t>
  </si>
  <si>
    <t>O-05074-07</t>
  </si>
  <si>
    <t>O-05074-08</t>
  </si>
  <si>
    <t>O-05074-09</t>
  </si>
  <si>
    <t>C - YKRA - 10434</t>
  </si>
  <si>
    <t>C - YKRA - 10435</t>
  </si>
  <si>
    <t>TRAVEL CASE</t>
  </si>
  <si>
    <t>C - YKRA - 10436</t>
  </si>
  <si>
    <t>SIDE POUCH</t>
  </si>
  <si>
    <t>BLACK VINYL BAG</t>
  </si>
  <si>
    <t>EXEC ACCESSORY KIT</t>
  </si>
  <si>
    <t>JAN CLEAN CART VINYL BAG 24 GAL YEL</t>
  </si>
  <si>
    <t>ES JAN CLEAN CART VINYL BAG 24 GAL BLA</t>
  </si>
  <si>
    <t>JAN CLEAN CART VINYL BAG 34 GAL YEL</t>
  </si>
  <si>
    <t>JAN CLEAN CART VINYL BAG 34 GAL BRN</t>
  </si>
  <si>
    <t>Nâu</t>
  </si>
  <si>
    <t>ES JAN CLEAN CART VINYL BAG 34 GAL BLA</t>
  </si>
  <si>
    <t>ES HK CART CANVAS BAG 30 GAL BRN</t>
  </si>
  <si>
    <t>ULINE JANITOR CART VINYL BAG</t>
  </si>
  <si>
    <t>ULINE</t>
  </si>
  <si>
    <t>VINYL BAG YELLOW</t>
  </si>
  <si>
    <t>C-214-10446</t>
  </si>
  <si>
    <t>C-214-10447</t>
  </si>
  <si>
    <t>C-214-10448</t>
  </si>
  <si>
    <t>C-214-10449</t>
  </si>
  <si>
    <t>C-214-10450</t>
  </si>
  <si>
    <t>C-214-10451</t>
  </si>
  <si>
    <t>C-214-10452</t>
  </si>
  <si>
    <t>C-214-10453</t>
  </si>
  <si>
    <t>C-214-10454</t>
  </si>
  <si>
    <t>C-214-10455</t>
  </si>
  <si>
    <t>COMPRESSX</t>
  </si>
  <si>
    <t>C - COMPRESSX - 10439</t>
  </si>
  <si>
    <t>TOP ASSEMBLY</t>
  </si>
  <si>
    <t>TEXT " COMPRESSX…</t>
  </si>
  <si>
    <t>XÁM VÀNG</t>
  </si>
  <si>
    <t>Ship on Pending  By LCL (to USA)</t>
  </si>
  <si>
    <t>Only produce 55pcs</t>
  </si>
  <si>
    <t>Textile Divider
4 pockets 2 layer (size B)</t>
  </si>
  <si>
    <t>C-WIPAC-10404</t>
  </si>
  <si>
    <t>Textile Divider 
24 pockets 2 layer (size A)</t>
  </si>
  <si>
    <t>Industrial shipping bags with large plastic bottom WLL 500KG</t>
  </si>
  <si>
    <t>C-176-4272-001</t>
  </si>
  <si>
    <t>C-176-7069-001</t>
  </si>
  <si>
    <t>Stackable bag</t>
  </si>
  <si>
    <t>C-176-7070-001</t>
  </si>
  <si>
    <t>Blade belt for Senvion Blade</t>
  </si>
  <si>
    <t>aprroved</t>
  </si>
  <si>
    <t>chỉnh rập ko may mẫu</t>
  </si>
  <si>
    <t>ưu tiên mẫu gửi 12-4</t>
  </si>
  <si>
    <t>Gửi khách hàng trước 15-4</t>
  </si>
  <si>
    <t>Please stick the warning label on the polybag (on the packaging)</t>
  </si>
  <si>
    <t>PO-0027</t>
  </si>
  <si>
    <t>Finish in April - 2025</t>
  </si>
  <si>
    <t>C-176-2026-003</t>
  </si>
  <si>
    <t>Material bag</t>
  </si>
  <si>
    <t>Samso</t>
  </si>
  <si>
    <t>chờ gắn bánh xe</t>
  </si>
  <si>
    <t>Ms Truyền may</t>
  </si>
  <si>
    <t>Gấp</t>
  </si>
  <si>
    <t>Bag for gear oil cooler 3,6MW - WLL 400 KG</t>
  </si>
  <si>
    <t>O-05195-05</t>
  </si>
  <si>
    <t>Order no.KO050007</t>
  </si>
  <si>
    <t>O-05195-04</t>
  </si>
  <si>
    <t>Chỉnh sửa mẫu cũ</t>
  </si>
  <si>
    <t>Điều chỉnh lại mẫu</t>
  </si>
  <si>
    <t>Print (HĐ)</t>
  </si>
  <si>
    <t>SP4157 Boot Bag</t>
  </si>
  <si>
    <t>O-05201-01</t>
  </si>
  <si>
    <t>O-05209-01</t>
  </si>
  <si>
    <t>Vestas 
FIRST AID KIT ENHANCED
(White cross)
First Aid</t>
  </si>
  <si>
    <t xml:space="preserve">new version. PRIORITY PRODUCTION </t>
  </si>
  <si>
    <t>Order no.KO050015</t>
  </si>
  <si>
    <t>C-176-2619-1-003</t>
  </si>
  <si>
    <t>Order no.KO050023</t>
  </si>
  <si>
    <t>O-05195-06</t>
  </si>
  <si>
    <t>C.177.4157</t>
  </si>
  <si>
    <t>C-176-7012-1-001</t>
  </si>
  <si>
    <t>Blade bag for disruption of aerodynamics for V162</t>
  </si>
  <si>
    <t>Finish in May - 2025</t>
  </si>
  <si>
    <t>ko có vải</t>
  </si>
  <si>
    <t>D1000 PU</t>
  </si>
  <si>
    <t>C-176-7071-001</t>
  </si>
  <si>
    <t>Book cover</t>
  </si>
  <si>
    <t>Thái Châu HM</t>
  </si>
  <si>
    <t>C-176-3610-012</t>
  </si>
  <si>
    <t xml:space="preserve">Red </t>
  </si>
  <si>
    <t>C-FITFLYR-10468</t>
  </si>
  <si>
    <t>ATC</t>
  </si>
  <si>
    <t>C-ATC-10475</t>
  </si>
  <si>
    <t>SCM20 Blue Felt Bag</t>
  </si>
  <si>
    <t>Hydraulic Cylinder bag</t>
  </si>
  <si>
    <t>C-314-5012-009</t>
  </si>
  <si>
    <t>AKD</t>
  </si>
  <si>
    <t>Dark Navy C289</t>
  </si>
  <si>
    <t xml:space="preserve">hàng sx gấp - ưu tiên </t>
  </si>
  <si>
    <t>Ms Diệu</t>
  </si>
  <si>
    <t>Finish in June - 2025</t>
  </si>
  <si>
    <t>C-176-4057-011</t>
  </si>
  <si>
    <t>Standard Equipment Bag</t>
  </si>
  <si>
    <t>C-176-5572-013</t>
  </si>
  <si>
    <t>Ship on          by 40'HC</t>
  </si>
  <si>
    <t>C-COMPRESSX-10439</t>
  </si>
  <si>
    <t>Text " COMPRESSX…:"</t>
  </si>
  <si>
    <t>Blue + Yellow</t>
  </si>
  <si>
    <t>Huỳnh Minh Hùng-VD</t>
  </si>
  <si>
    <t>N/F 200D Dia Ripstop W/R PU*2 58</t>
  </si>
  <si>
    <t>C-176-44165-2-001</t>
  </si>
  <si>
    <t>Lifting bag for elevator platform based on 4467 ( USA )</t>
  </si>
  <si>
    <t>C-176-5561-001</t>
  </si>
  <si>
    <t>Liftingbag for bearing ring</t>
  </si>
  <si>
    <t>C-ZOE CURD-10464</t>
  </si>
  <si>
    <t>CHANGE YA DAKS</t>
  </si>
  <si>
    <t>C-ZOE CURD-10465</t>
  </si>
  <si>
    <t>C-ZOE CURD-10466</t>
  </si>
  <si>
    <t>MEDICAL KIT</t>
  </si>
  <si>
    <t>ZOE CURD</t>
  </si>
  <si>
    <t>C-176-7072-001</t>
  </si>
  <si>
    <t>Battle board</t>
  </si>
  <si>
    <t>VD-TCHM 25-06-254</t>
  </si>
  <si>
    <t>C-176-7073-001</t>
  </si>
  <si>
    <t>Signal flat for Heliport</t>
  </si>
  <si>
    <t>Ms Trang take one</t>
  </si>
  <si>
    <t>VD-HMH 25-06-247</t>
  </si>
  <si>
    <t>NEW DUDS</t>
  </si>
  <si>
    <t>Mẫu cần trước 19-7</t>
  </si>
  <si>
    <t>Performer
Người may</t>
  </si>
  <si>
    <t>Finish 
Hoàn thành</t>
  </si>
  <si>
    <t>Time for pattern
Dự kiến rập</t>
  </si>
  <si>
    <t>Finish in July - 2025</t>
  </si>
  <si>
    <t>adjustment pattern</t>
  </si>
  <si>
    <t>C-176-7074-001</t>
  </si>
  <si>
    <t>Forstørret 3209</t>
  </si>
  <si>
    <t>khách cần gấp</t>
  </si>
  <si>
    <t>Remake products for mistake</t>
  </si>
  <si>
    <t>C-176-7075-001</t>
  </si>
  <si>
    <t>Rain cover of #5498</t>
  </si>
  <si>
    <t>#10446</t>
  </si>
  <si>
    <t>#10447</t>
  </si>
  <si>
    <t>#10448</t>
  </si>
  <si>
    <t>#10449</t>
  </si>
  <si>
    <t>#10450</t>
  </si>
  <si>
    <t>#10452</t>
  </si>
  <si>
    <t>#10453</t>
  </si>
  <si>
    <t>#10454</t>
  </si>
  <si>
    <t>#10455</t>
  </si>
  <si>
    <t>khách yêu cầu gấp</t>
  </si>
  <si>
    <t>BELOW 20 KGS logo</t>
  </si>
  <si>
    <t>Weight indication triangles without carabiner</t>
  </si>
  <si>
    <t>Finish in August - 2025</t>
  </si>
  <si>
    <t>Brown</t>
  </si>
  <si>
    <t>Half pallet bag WLL 400 KG</t>
  </si>
  <si>
    <t>Industrial pallet lifting bag</t>
  </si>
  <si>
    <t>C -214 - 10501</t>
  </si>
  <si>
    <t>New Brute Caddy bag</t>
  </si>
  <si>
    <t>C - MELALEUCA - 10502 - 001</t>
  </si>
  <si>
    <t>CLEANING TOTE BAG</t>
  </si>
  <si>
    <t>MELALEUCA</t>
  </si>
  <si>
    <t>GẤP</t>
  </si>
  <si>
    <t>#6252</t>
  </si>
  <si>
    <t>Enhanced First Aid Kit</t>
  </si>
  <si>
    <t>mẫu cũ</t>
  </si>
  <si>
    <t>Ms Truyền may số mẫu còn lại</t>
  </si>
  <si>
    <t>F235001.</t>
  </si>
  <si>
    <t>Portable seat cushion</t>
  </si>
  <si>
    <t>C-Enerco-10497</t>
  </si>
  <si>
    <t>F274889.</t>
  </si>
  <si>
    <t>Big buddy carry case</t>
  </si>
  <si>
    <t>C-Enerco-10498</t>
  </si>
  <si>
    <t>F232078</t>
  </si>
  <si>
    <t xml:space="preserve"> Portable buddy carry bag</t>
  </si>
  <si>
    <t>C-Enerco-10494</t>
  </si>
  <si>
    <t>F232145.</t>
  </si>
  <si>
    <t xml:space="preserve">Little buddy heater bag - baby </t>
  </si>
  <si>
    <t>C-Enerco-10496</t>
  </si>
  <si>
    <t xml:space="preserve"> F232147.</t>
  </si>
  <si>
    <t>Big buddy carry bag</t>
  </si>
  <si>
    <t>C-Enerco-10499</t>
  </si>
  <si>
    <t>F232149</t>
  </si>
  <si>
    <t>Portable buddy carry bag 9BX</t>
  </si>
  <si>
    <t>C-Enerco-10500</t>
  </si>
  <si>
    <t>F600050</t>
  </si>
  <si>
    <t>Buddy flex gear bag</t>
  </si>
  <si>
    <t>Grey
Red</t>
  </si>
  <si>
    <t>ENERCO</t>
  </si>
  <si>
    <t xml:space="preserve">waiting for repair </t>
  </si>
  <si>
    <t>Finish in Septemper - 2025</t>
  </si>
  <si>
    <t>C-314-10506-001</t>
  </si>
  <si>
    <t>C-176-4390-003</t>
  </si>
  <si>
    <t>điều chỉnh mẫu</t>
  </si>
  <si>
    <t>tạm ngưng</t>
  </si>
  <si>
    <t>C-176-7077-001</t>
  </si>
  <si>
    <t>Sports bag</t>
  </si>
  <si>
    <t>C-ZOE CURD-10507</t>
  </si>
  <si>
    <t>DRAWSTRING BAG</t>
  </si>
  <si>
    <t>LOGO IN CHUYỂN NHIỆT</t>
  </si>
  <si>
    <t>C-176-7076-001</t>
  </si>
  <si>
    <t>Skagen Blade</t>
  </si>
  <si>
    <t>C-176-5840-001</t>
  </si>
  <si>
    <t>Protection for cooler front nr.3</t>
  </si>
  <si>
    <t>ordered</t>
  </si>
  <si>
    <t>ko tính</t>
  </si>
  <si>
    <t>C-Enerco-10495-001</t>
  </si>
  <si>
    <t>C-Enerco-10495-002</t>
  </si>
  <si>
    <t>Finish in October - 2025</t>
  </si>
  <si>
    <t>thanh</t>
  </si>
  <si>
    <t>diệu</t>
  </si>
  <si>
    <t>C-176-7079-001</t>
  </si>
  <si>
    <t>IPad bag</t>
  </si>
  <si>
    <t xml:space="preserve">Gear and Helmet L </t>
  </si>
  <si>
    <t>C.177.10369</t>
  </si>
  <si>
    <t>0035 Ski Bag 175cm</t>
  </si>
  <si>
    <t>C.177.1265</t>
  </si>
  <si>
    <t xml:space="preserve">Ski Bag 165cm </t>
  </si>
  <si>
    <t>C.177.1264</t>
  </si>
  <si>
    <t>Black/ grey</t>
  </si>
  <si>
    <t>SNOWTECH JUNIOR SKISELEN HEMATIS™</t>
  </si>
  <si>
    <t>C  -324-3852</t>
  </si>
  <si>
    <t>SNOWTECH WHISTLER STØVLE/HJELMBAG</t>
  </si>
  <si>
    <t>Navy/ Black</t>
  </si>
  <si>
    <t>SnowTech Covert Vario Skibag 2 pair Adj. 175-195cm</t>
  </si>
  <si>
    <t>C  -324 - 5250 - 008</t>
  </si>
  <si>
    <t>SnowTech Sport BOX Støvlebag - 1 par</t>
  </si>
  <si>
    <t>C-324-5773</t>
  </si>
  <si>
    <t xml:space="preserve">Logo </t>
  </si>
  <si>
    <t>May lại mẫu gốc cũ hư mất</t>
  </si>
  <si>
    <t>Tote bags with icons</t>
  </si>
  <si>
    <t>O-05474-01</t>
  </si>
  <si>
    <t>Order no.KO050182</t>
  </si>
  <si>
    <t>May A</t>
  </si>
  <si>
    <t>Thick waste tarpaulin from #4321</t>
  </si>
  <si>
    <t>C-176-4389-003</t>
  </si>
  <si>
    <t>O-05498-01</t>
  </si>
  <si>
    <t>Order no.KO050205</t>
  </si>
  <si>
    <t>C-176-4578-001</t>
  </si>
  <si>
    <t>Vestas VT70000950 WLL MAX 400 KG</t>
  </si>
  <si>
    <t>C-176-4321-006</t>
  </si>
  <si>
    <t>Tall cylinder bag with hard cover ( based on #64140)</t>
  </si>
  <si>
    <t>DERBIGUM</t>
  </si>
  <si>
    <t>Xuân Cảnh - VD</t>
  </si>
  <si>
    <t>Cs Thành</t>
  </si>
  <si>
    <t>C-176-4389-001</t>
  </si>
  <si>
    <t>C.314.10512.001</t>
  </si>
  <si>
    <t>RT</t>
  </si>
  <si>
    <t>Gấp để sản xuất</t>
  </si>
  <si>
    <t>Box in stock</t>
  </si>
  <si>
    <t>Victoria</t>
  </si>
  <si>
    <t>C-176-4140-004</t>
  </si>
  <si>
    <t>C-176-2787-4-004</t>
  </si>
  <si>
    <t>CCB Safety</t>
  </si>
  <si>
    <t>Backpack for rope - 250m USA</t>
  </si>
  <si>
    <t>Cbm = 1.19</t>
  </si>
  <si>
    <t>Pvc film</t>
  </si>
  <si>
    <t>pending</t>
  </si>
  <si>
    <t>O-05554-01</t>
  </si>
  <si>
    <t>Order no.KO050254</t>
  </si>
  <si>
    <t>Finish in December - 2025</t>
  </si>
  <si>
    <t>C-307-10520-001</t>
  </si>
  <si>
    <t>WORKING BAG</t>
  </si>
  <si>
    <t xml:space="preserve"> Murer</t>
  </si>
  <si>
    <t>Fenotex</t>
  </si>
  <si>
    <t>C-176-4165-4-001</t>
  </si>
  <si>
    <t>Lifting bag for elevator platform based on 4467 (USA)</t>
  </si>
  <si>
    <t>cancle 13-12-2025</t>
  </si>
  <si>
    <t>Godtbergsen</t>
  </si>
  <si>
    <t>Phong Hao</t>
  </si>
  <si>
    <t>HS Highstep</t>
  </si>
  <si>
    <t>gấp sản xuất</t>
  </si>
  <si>
    <t xml:space="preserve">C-176-2787-3-008     </t>
  </si>
  <si>
    <t>pvc film</t>
  </si>
  <si>
    <t>Ship on by 40'HC (Pre)</t>
  </si>
  <si>
    <t xml:space="preserve">D600*300 PVC </t>
  </si>
  <si>
    <t>Pre-PO</t>
  </si>
  <si>
    <t>C-176-2601-005</t>
  </si>
  <si>
    <t xml:space="preserve">Small service tote bag - Long straps </t>
  </si>
  <si>
    <t>C-176-3610-001</t>
  </si>
  <si>
    <t>Tarpaulin 0.5MM</t>
  </si>
  <si>
    <t>C-176-3610-011</t>
  </si>
  <si>
    <t>SIEMENS Gamesa RENEWABLE ENERGY A9B10101770</t>
  </si>
  <si>
    <t>MAIN BODY - TARPAULIN 0.5MM</t>
  </si>
  <si>
    <t>C-176-2619-1-013</t>
  </si>
  <si>
    <t>SIEMENS Gamesa RENEWABLE ENERGY A9B10022126</t>
  </si>
  <si>
    <t>C-176-4897-3-020</t>
  </si>
  <si>
    <t>C-176-3585 A-001</t>
  </si>
  <si>
    <t>Small bucket tool bag 50</t>
  </si>
  <si>
    <t>Vestas VT 208 346 WLL MAX 50 KG</t>
  </si>
  <si>
    <t>O-05571-01</t>
  </si>
  <si>
    <t>O-05572-01</t>
  </si>
  <si>
    <t>O-05573-01</t>
  </si>
  <si>
    <t>O-05574-01</t>
  </si>
  <si>
    <t>O-05575-01</t>
  </si>
  <si>
    <t>O-05576-01</t>
  </si>
  <si>
    <t>O-05577-01</t>
  </si>
  <si>
    <t>O-05580-01</t>
  </si>
  <si>
    <t>PO - Jun</t>
  </si>
  <si>
    <t>VD-TTR 25-12-509</t>
  </si>
  <si>
    <t>Cap (size 60)</t>
  </si>
  <si>
    <t>C -214-10519-001</t>
  </si>
  <si>
    <t>QUICK CART LARGE (1902465)</t>
  </si>
  <si>
    <t>NO</t>
  </si>
  <si>
    <t>Finish in January - 2026</t>
  </si>
  <si>
    <t>20</t>
  </si>
  <si>
    <t>Siemens Gamesa A9B10097696</t>
  </si>
  <si>
    <t xml:space="preserve">Cs Việt </t>
  </si>
  <si>
    <t>Print</t>
  </si>
  <si>
    <t>O-05585-01</t>
  </si>
  <si>
    <t xml:space="preserve">Print </t>
  </si>
  <si>
    <t>C-176-5555-002</t>
  </si>
  <si>
    <t>C-176-5557-002</t>
  </si>
  <si>
    <t>Long Sơn</t>
  </si>
  <si>
    <t>C-176-4321-001</t>
  </si>
  <si>
    <t>Favrskov Kommune</t>
  </si>
  <si>
    <t>Diệu</t>
  </si>
  <si>
    <t>Thanh</t>
  </si>
  <si>
    <t>May lại mất mẫu</t>
  </si>
  <si>
    <t>just send 20pcs every 6 months</t>
  </si>
  <si>
    <t>VD-TH 26-01-007</t>
  </si>
  <si>
    <t>VD-TH 26-01-006</t>
  </si>
  <si>
    <t>VD-STD 26-01-005</t>
  </si>
  <si>
    <t>VD-STD 26-01-004</t>
  </si>
  <si>
    <t>VD- CSVI 26-01-030</t>
  </si>
  <si>
    <t>Lifting bag for BMOT238/239 WLL MAX 650 KG</t>
  </si>
  <si>
    <t>C-176-7058-003</t>
  </si>
  <si>
    <t>Order no.KO050294</t>
  </si>
  <si>
    <t xml:space="preserve">                  </t>
  </si>
  <si>
    <t>Navy Blue</t>
  </si>
  <si>
    <t>O-05606-02</t>
  </si>
  <si>
    <t>Cs Liên</t>
  </si>
  <si>
    <t>C-176-2651-009</t>
  </si>
  <si>
    <t>O-05614-03</t>
  </si>
  <si>
    <t>Order no.KO050304</t>
  </si>
  <si>
    <t>#6623
(C-314-3682-015)</t>
  </si>
  <si>
    <t>C-176-5572-011</t>
  </si>
  <si>
    <t>C-176-2651-2-002</t>
  </si>
  <si>
    <t>Marine blue</t>
  </si>
  <si>
    <t>D1800x900PVC</t>
  </si>
  <si>
    <t xml:space="preserve">Marine Blue </t>
  </si>
  <si>
    <t>C-176-4321-005</t>
  </si>
  <si>
    <t>O-05627-01</t>
  </si>
  <si>
    <t>Order no.KO050308</t>
  </si>
  <si>
    <t>C-176-2559-006</t>
  </si>
  <si>
    <t>O-05628-01</t>
  </si>
  <si>
    <t>Order no.KO050309</t>
  </si>
  <si>
    <t>GLOBAL WIND SERVICE WLL MAX 25KG</t>
  </si>
  <si>
    <t>C-176-2651-016</t>
  </si>
  <si>
    <t>Order no.KO050310</t>
  </si>
  <si>
    <t xml:space="preserve">Sơn Thành Đạt - VD </t>
  </si>
  <si>
    <t>D600*300 PVC Dark Grey</t>
  </si>
  <si>
    <t xml:space="preserve">Hand Bag </t>
  </si>
  <si>
    <t>C-176-3154-007</t>
  </si>
  <si>
    <t>PRINT (HĐ)</t>
  </si>
  <si>
    <t>Vestas VT20001760 WLL MAX 150 KG</t>
  </si>
  <si>
    <t>C-176-4897-3-001</t>
  </si>
  <si>
    <t>O-05634-01</t>
  </si>
  <si>
    <t>Order no.KO050315</t>
  </si>
  <si>
    <t>Vestas VT70002743 WLL MAX 400 KG</t>
  </si>
  <si>
    <t>C-176-4487-005</t>
  </si>
  <si>
    <t>O-05637-01</t>
  </si>
  <si>
    <t>Order no.KO050318</t>
  </si>
  <si>
    <t>Large service tote bag - Dual option</t>
  </si>
  <si>
    <t>C-176-2535-005</t>
  </si>
  <si>
    <t>O-05640-01</t>
  </si>
  <si>
    <t>Order no.KO050321</t>
  </si>
  <si>
    <t>O-05641-01</t>
  </si>
  <si>
    <t>Order no.KO050322</t>
  </si>
  <si>
    <t>O-05646-01</t>
  </si>
  <si>
    <t>MOQ charge 138 USD</t>
  </si>
  <si>
    <t>O-05648-01</t>
  </si>
  <si>
    <t>Order no.KO050329</t>
  </si>
  <si>
    <t>C-176-3459-001</t>
  </si>
  <si>
    <t>O-05649-01</t>
  </si>
  <si>
    <t>Order no.KO050330</t>
  </si>
  <si>
    <t>C-176-3459-002</t>
  </si>
  <si>
    <t>O-05650-01</t>
  </si>
  <si>
    <t>Order no.KO050331</t>
  </si>
  <si>
    <t>O-05652-01</t>
  </si>
  <si>
    <t>Print (TA)</t>
  </si>
  <si>
    <t>C-176-5572-007</t>
  </si>
  <si>
    <t>O-05653-01</t>
  </si>
  <si>
    <t>Order no.KO050335</t>
  </si>
  <si>
    <t>Tarpaulin Trolley 80L with bottom #6313</t>
  </si>
  <si>
    <t>O-05654-01</t>
  </si>
  <si>
    <t>Order no.KO050336</t>
  </si>
  <si>
    <t>Lifting backpack with hard bottom cover #6303</t>
  </si>
  <si>
    <t>O-05659-01</t>
  </si>
  <si>
    <t>Order no.KO050341</t>
  </si>
  <si>
    <t>D1000 PU/ Silicone Fiber Glass</t>
  </si>
  <si>
    <t>MOQ charge 544 USD</t>
  </si>
  <si>
    <t>O-05660-01</t>
  </si>
  <si>
    <t>Order no.KO050342</t>
  </si>
  <si>
    <t>50</t>
  </si>
  <si>
    <t>36</t>
  </si>
  <si>
    <t>D1800*900 PVC MARY 13.05</t>
  </si>
  <si>
    <t>C-176-2559-004</t>
  </si>
  <si>
    <t>O-05661-01</t>
  </si>
  <si>
    <t>Order no.KO050344</t>
  </si>
  <si>
    <t>O-05578-02</t>
  </si>
  <si>
    <t>Tarpaulin Trolley 120L with bottom #6313</t>
  </si>
  <si>
    <t>O-05655-01</t>
  </si>
  <si>
    <t>Order no.KO050337</t>
  </si>
  <si>
    <t>TARPAULIN 0.5MM</t>
  </si>
  <si>
    <t>Sport Bag with backpack strap</t>
  </si>
  <si>
    <t>C-176-4524-001</t>
  </si>
  <si>
    <t>C-205-1157-003</t>
  </si>
  <si>
    <t>White/Black piping</t>
  </si>
  <si>
    <t xml:space="preserve">Simili </t>
  </si>
  <si>
    <t>109928</t>
  </si>
  <si>
    <t>O-05652-02</t>
  </si>
  <si>
    <t>Cover bag 
(Camping cover-TR10H)</t>
  </si>
  <si>
    <t>Diễm Hoàng - VD</t>
  </si>
  <si>
    <t>Kallallit Forsikring</t>
  </si>
  <si>
    <t>C-176-4487-004</t>
  </si>
  <si>
    <t>O-05645-01</t>
  </si>
  <si>
    <t>Order no.KO050326</t>
  </si>
  <si>
    <t>Thái Châu</t>
  </si>
  <si>
    <t>Xuân Cảnh</t>
  </si>
  <si>
    <t>MINI TOOL BAG</t>
  </si>
  <si>
    <t>C-314-10374-002</t>
  </si>
  <si>
    <t>C.314.10521.001</t>
  </si>
  <si>
    <t>Finish in Febuary - 2026</t>
  </si>
  <si>
    <t>Finish in March - 2026</t>
  </si>
  <si>
    <t>CS Thành</t>
  </si>
  <si>
    <t>Cs Việt</t>
  </si>
  <si>
    <t>Huỳnh Minh Hùng</t>
  </si>
  <si>
    <t>VD 26-03-083</t>
  </si>
  <si>
    <t>VD-MA 26-01-032</t>
  </si>
  <si>
    <t>VD-CSVI 26-03-069</t>
  </si>
  <si>
    <t>VD-TTR 26-03-072</t>
  </si>
  <si>
    <t>VD-CST 26-03-071</t>
  </si>
  <si>
    <t>VD-TTR 26-03-056</t>
  </si>
  <si>
    <t>VD-LS 26-03-045</t>
  </si>
  <si>
    <t>VD-VH 26-03-049</t>
  </si>
  <si>
    <t>VD-TCH 26-03-060</t>
  </si>
  <si>
    <t>VD-TCH 26-03-048</t>
  </si>
  <si>
    <t>VD-CSLI 26-03-065</t>
  </si>
  <si>
    <t>VD-DHO 26-03-052</t>
  </si>
  <si>
    <t>VD-MA 26-03-080</t>
  </si>
  <si>
    <t>VD-MA 26-03-081</t>
  </si>
  <si>
    <t>VD-MA 26-03-082</t>
  </si>
  <si>
    <t>Cs Phương</t>
  </si>
  <si>
    <t xml:space="preserve">SIEMENS GAMESA Renewable Energy
Evacution Kit
1xMilan A029
2x Survival Suit </t>
  </si>
  <si>
    <t>C-176-4487-3-002</t>
  </si>
  <si>
    <t>O-05668-01</t>
  </si>
  <si>
    <t>Order no.KO050347</t>
  </si>
  <si>
    <t>in stock</t>
  </si>
  <si>
    <t>Note for new packing by palllet 
Every month pre 300pcs ( Mr.Henrik)</t>
  </si>
  <si>
    <t>Ship on 20 July 2026 by 40'HC</t>
  </si>
  <si>
    <t>Ship on 19 August 2026 by 40'HC</t>
  </si>
  <si>
    <t>Ship on 21 September 2026 by 40'HC</t>
  </si>
  <si>
    <t>Ship on 20 October 2026 by 40'HC</t>
  </si>
  <si>
    <t>Ship on 20 November 2026 by 40'HC</t>
  </si>
  <si>
    <t>O-05671-01</t>
  </si>
  <si>
    <t>O-05670-02</t>
  </si>
  <si>
    <t>O-05670-03</t>
  </si>
  <si>
    <t>O-05672-02</t>
  </si>
  <si>
    <t>O-05673-03</t>
  </si>
  <si>
    <t>O-05671-02</t>
  </si>
  <si>
    <t>O-05671-03</t>
  </si>
  <si>
    <t>O-05672-03</t>
  </si>
  <si>
    <t>O-05672-01</t>
  </si>
  <si>
    <t>O-05673-01</t>
  </si>
  <si>
    <t>O-05673-02</t>
  </si>
  <si>
    <t>O-05674-01</t>
  </si>
  <si>
    <t>O-05675-02</t>
  </si>
  <si>
    <t>O-05676-03</t>
  </si>
  <si>
    <t>O-05674-02</t>
  </si>
  <si>
    <t>O-05674-03</t>
  </si>
  <si>
    <t>O-05675-01</t>
  </si>
  <si>
    <t>O-05675-03</t>
  </si>
  <si>
    <t>O-05676-01</t>
  </si>
  <si>
    <t>O-05676-02</t>
  </si>
  <si>
    <t>O-05677-01</t>
  </si>
  <si>
    <t>O-05677-02</t>
  </si>
  <si>
    <t>O-05677-03</t>
  </si>
  <si>
    <t>4504517653</t>
  </si>
  <si>
    <t>O-05678-01</t>
  </si>
  <si>
    <t xml:space="preserve"> #6649
(C-314-1059-049)</t>
  </si>
  <si>
    <t>C-176-7080-001</t>
  </si>
  <si>
    <t>Bag belt</t>
  </si>
  <si>
    <t>Phong Hào</t>
  </si>
  <si>
    <t>O-05679-01</t>
  </si>
  <si>
    <t>Order no.KO050350</t>
  </si>
  <si>
    <t>O-05682-01</t>
  </si>
  <si>
    <t>Order no.KO050353</t>
  </si>
  <si>
    <t>O-05680-01</t>
  </si>
  <si>
    <t>Order no.KO050351</t>
  </si>
  <si>
    <t xml:space="preserve">D1800*900 PVC </t>
  </si>
  <si>
    <t>GLOBAL WIND SERVICE
WLL MAX 150KG</t>
  </si>
  <si>
    <t>Small bucket tool bag 150</t>
  </si>
  <si>
    <t>C-176-3585 B-003</t>
  </si>
  <si>
    <t>O-05683-01</t>
  </si>
  <si>
    <t>Order no.KO050354</t>
  </si>
  <si>
    <t>O-05688-02</t>
  </si>
  <si>
    <t>Order no.KO050360</t>
  </si>
  <si>
    <t>O-05688-01</t>
  </si>
  <si>
    <t>O-05686-01</t>
  </si>
  <si>
    <t>Order no.KO050358</t>
  </si>
  <si>
    <t>O-05687-01</t>
  </si>
  <si>
    <t>Order no.KO050359</t>
  </si>
  <si>
    <t xml:space="preserve">Shoulder bag for rope access </t>
  </si>
  <si>
    <t>C-176- 4626-001</t>
  </si>
  <si>
    <t>O-05685-02</t>
  </si>
  <si>
    <t>Order no.KO050357</t>
  </si>
  <si>
    <t>O-05685-01</t>
  </si>
  <si>
    <t>Order no.KO050361</t>
  </si>
  <si>
    <t>O-05689-01</t>
  </si>
  <si>
    <t>VD-TTR 26-03-078</t>
  </si>
  <si>
    <t>VD-MA 26-03-074</t>
  </si>
  <si>
    <t>STD - VD</t>
  </si>
  <si>
    <t>C-324-5773-001</t>
  </si>
  <si>
    <t>Friends in Powder</t>
  </si>
  <si>
    <t>Print (ĐC)</t>
  </si>
  <si>
    <t>50260350</t>
  </si>
  <si>
    <t>C-324-3848-012</t>
  </si>
  <si>
    <t>SnowTech Baker Skibag 165 cm - 1 par</t>
  </si>
  <si>
    <t>C-324-3857-015</t>
  </si>
  <si>
    <t>SnowTech Baker Skibag 181 cm - 1 par</t>
  </si>
  <si>
    <t>New logo</t>
  </si>
  <si>
    <t>SnowTech Carving Ski fix - 40mm/45cm m/mellemlæg (pr. stk)</t>
  </si>
  <si>
    <t>Friluftslageret.dk</t>
  </si>
  <si>
    <t>SnowTech Baker Skibag 181 cm - 2 par</t>
  </si>
  <si>
    <t>S&amp;S Ålborg</t>
  </si>
  <si>
    <t>SnowTech Baker Skibag 195 cm - 2 par</t>
  </si>
  <si>
    <t>C-324-3853-037</t>
  </si>
  <si>
    <t>Gumpel.dk</t>
  </si>
  <si>
    <t>SnowTech Sport JH Bootcase Støvlebag - 1 par (Firkantet kompakt støvle taske med rem og håndtag)</t>
  </si>
  <si>
    <t>C-324-10185-010</t>
  </si>
  <si>
    <t>C-324-4155-030</t>
  </si>
  <si>
    <t>C-324-4156-016</t>
  </si>
  <si>
    <t>SnowTech ROLLER SPLIT TRAVEL 110L - Heavy Duty Travelbag w/wheels (C324-10186)</t>
  </si>
  <si>
    <t>C-324-10186-005</t>
  </si>
  <si>
    <t>C-324-3852-008</t>
  </si>
  <si>
    <t>SnowTech Junior Skiselen HEMATIS™ Bag</t>
  </si>
  <si>
    <t xml:space="preserve">One Open Sky </t>
  </si>
  <si>
    <t>Black/Black</t>
  </si>
  <si>
    <t>C-324-3853-028</t>
  </si>
  <si>
    <t>C-324-4407-013</t>
  </si>
  <si>
    <t>SnowTech Carving Ski fix - 40mm/55cm WIDE SKIS m/mellemlæg (pr. stk)</t>
  </si>
  <si>
    <t>C-324-10185-002</t>
  </si>
  <si>
    <t>One Open Sky</t>
  </si>
  <si>
    <t>C-324-3848-010</t>
  </si>
  <si>
    <t>C-324-3857-013</t>
  </si>
  <si>
    <t>C-324-3858-008</t>
  </si>
  <si>
    <t>SnowTech Baker Skibag 195 cm - 1 par</t>
  </si>
  <si>
    <t>C-324-3849-024</t>
  </si>
  <si>
    <t>C-324-4155-024</t>
  </si>
  <si>
    <t>Shopbag Carrybag 45 x 55 x 15 cm med eget logo</t>
  </si>
  <si>
    <t>NON WOVEN</t>
  </si>
  <si>
    <t>C-324-5934-002</t>
  </si>
  <si>
    <t>SnowTech Snowfall skibag 175 cm - Heavy Duty Roller travel skibag</t>
  </si>
  <si>
    <t>wheels set</t>
  </si>
  <si>
    <t>C-324-5935-005</t>
  </si>
  <si>
    <t>SnowTech Snowfall skibag 190 cm - Heavy Duty Roller travel skibag</t>
  </si>
  <si>
    <t>C-324-4153-006</t>
  </si>
  <si>
    <t>C-324-3852-017</t>
  </si>
  <si>
    <t>Outdoor Explorer</t>
  </si>
  <si>
    <t>C-324-3853-041</t>
  </si>
  <si>
    <t>SnowTech Cross Country Touring Ski fix - max. 50mm wide m/mellemlæg (pr. stk)</t>
  </si>
  <si>
    <t xml:space="preserve">Blue Water </t>
  </si>
  <si>
    <t>C-324-4650-011</t>
  </si>
  <si>
    <t>SnowTech Baker Skibag Crosscontry 213x5x14 cm - 1-2 par</t>
  </si>
  <si>
    <t>C-324-4153-005</t>
  </si>
  <si>
    <t>C-324-3853-012</t>
  </si>
  <si>
    <t>S&amp;S Greve</t>
  </si>
  <si>
    <t>C-324-3853-027</t>
  </si>
  <si>
    <t>D600x300 PVC - Waste fabric</t>
  </si>
  <si>
    <t>C-324-3853-025</t>
  </si>
  <si>
    <t>SnowTech Carving Ski fix - 40 mm m/mellemlæg (pr. stk)</t>
  </si>
  <si>
    <t>C-324-3853-031</t>
  </si>
  <si>
    <t>C-324-10185-003</t>
  </si>
  <si>
    <t>C-324-3848-005</t>
  </si>
  <si>
    <t>C-324-3849-005</t>
  </si>
  <si>
    <t>C-324-4155-006</t>
  </si>
  <si>
    <t>C-324-4155-031</t>
  </si>
  <si>
    <t xml:space="preserve">Grey </t>
  </si>
  <si>
    <t>C-324-4157-008</t>
  </si>
  <si>
    <t>C-324-3854-002</t>
  </si>
  <si>
    <t>C-324-3852-007</t>
  </si>
  <si>
    <t>D600*300 PVC Mary 28.06.16</t>
  </si>
  <si>
    <t>C-324-4650-012</t>
  </si>
  <si>
    <t>C-324-3849-006</t>
  </si>
  <si>
    <t>C-324-4156-017</t>
  </si>
  <si>
    <t>C-324-3854-006</t>
  </si>
  <si>
    <t>C-324-3853-032</t>
  </si>
  <si>
    <t>C-324-3852-009</t>
  </si>
  <si>
    <t>C-324-4407-016</t>
  </si>
  <si>
    <t>C-324-4650-009</t>
  </si>
  <si>
    <t>SnowTech Cross Country Touring Ski fix - max. 60mm wide m/mellemlæg (pr. stk)</t>
  </si>
  <si>
    <t>C-324-5934-003</t>
  </si>
  <si>
    <t>C-324-5935-007</t>
  </si>
  <si>
    <t>C-324-3854-018</t>
  </si>
  <si>
    <t>C-324-3853-021</t>
  </si>
  <si>
    <t>Steep &amp; Deep</t>
  </si>
  <si>
    <t>C-324-3853-023</t>
  </si>
  <si>
    <t>C-324-3853-024</t>
  </si>
  <si>
    <t>C-324-10185-007</t>
  </si>
  <si>
    <t>C-324-3849-028</t>
  </si>
  <si>
    <t xml:space="preserve">Steep &amp; Deep </t>
  </si>
  <si>
    <t>C-324-4155-029</t>
  </si>
  <si>
    <t>C-324-3850-023</t>
  </si>
  <si>
    <t>C-324-4156-014</t>
  </si>
  <si>
    <t>C-324-5250-008</t>
  </si>
  <si>
    <t>Surfline.dk</t>
  </si>
  <si>
    <t>C-324-4650-006</t>
  </si>
  <si>
    <t>C-324-3852-005</t>
  </si>
  <si>
    <t xml:space="preserve">SnowTech </t>
  </si>
  <si>
    <t>C-324-3853-011</t>
  </si>
  <si>
    <t>C-324-4652-001</t>
  </si>
  <si>
    <t>O-05690-01</t>
  </si>
  <si>
    <t>O-05691-01</t>
  </si>
  <si>
    <t>O-05693-01</t>
  </si>
  <si>
    <t>O-05692-01</t>
  </si>
  <si>
    <t>O-05694-01</t>
  </si>
  <si>
    <t>O-05695-01</t>
  </si>
  <si>
    <t>O-05696-01</t>
  </si>
  <si>
    <t>O-05697-01</t>
  </si>
  <si>
    <t>O-05699-01</t>
  </si>
  <si>
    <t>O-05698-01</t>
  </si>
  <si>
    <t>O-05700-01</t>
  </si>
  <si>
    <t>O-05701-01</t>
  </si>
  <si>
    <t>O-05703-01</t>
  </si>
  <si>
    <t>O-05702-01</t>
  </si>
  <si>
    <t>O-05704-01</t>
  </si>
  <si>
    <t>O-05705-01</t>
  </si>
  <si>
    <t>O-05706-01</t>
  </si>
  <si>
    <t>O-05707-01</t>
  </si>
  <si>
    <t>O-05708-01</t>
  </si>
  <si>
    <t>O-05709-01</t>
  </si>
  <si>
    <t>O-05710-01</t>
  </si>
  <si>
    <t>O-05711-01</t>
  </si>
  <si>
    <t>O-05712-01</t>
  </si>
  <si>
    <t>O-05713-01</t>
  </si>
  <si>
    <t>O-05714-01</t>
  </si>
  <si>
    <t>O-05715-01</t>
  </si>
  <si>
    <t>O-05716-01</t>
  </si>
  <si>
    <t>O-05717-01</t>
  </si>
  <si>
    <t>O-05718-01</t>
  </si>
  <si>
    <t>O-05719-01</t>
  </si>
  <si>
    <t>O-05720-01</t>
  </si>
  <si>
    <t>O-05721-01</t>
  </si>
  <si>
    <t>O-05722-01</t>
  </si>
  <si>
    <t>O-05723-01</t>
  </si>
  <si>
    <t>O-05724-01</t>
  </si>
  <si>
    <t>O-05725-01</t>
  </si>
  <si>
    <t>O-05726-01</t>
  </si>
  <si>
    <t>O-05727-01</t>
  </si>
  <si>
    <t>O-05728-01</t>
  </si>
  <si>
    <t>O-05729-01</t>
  </si>
  <si>
    <t>O-05730-01</t>
  </si>
  <si>
    <t>O-05731-01</t>
  </si>
  <si>
    <t>O-05732-01</t>
  </si>
  <si>
    <t>O-05733-01</t>
  </si>
  <si>
    <t>O-05734-01</t>
  </si>
  <si>
    <t>O-05735-01</t>
  </si>
  <si>
    <t>O-05736-01</t>
  </si>
  <si>
    <t>O-05737-01</t>
  </si>
  <si>
    <t>O-05738-01</t>
  </si>
  <si>
    <t>O-05739-01</t>
  </si>
  <si>
    <t>O-05740-01</t>
  </si>
  <si>
    <t>O-05741-01</t>
  </si>
  <si>
    <t>O-05742-01</t>
  </si>
  <si>
    <t>O-05743-01</t>
  </si>
  <si>
    <t>O-05744-01</t>
  </si>
  <si>
    <t>O-05745-01</t>
  </si>
  <si>
    <t>O-05746-01</t>
  </si>
  <si>
    <t>O-05747-01</t>
  </si>
  <si>
    <t>O-05748-01</t>
  </si>
  <si>
    <t>O-05749-01</t>
  </si>
  <si>
    <t>O-05750-01</t>
  </si>
  <si>
    <t>O-05751-01</t>
  </si>
  <si>
    <t>O-05752-01</t>
  </si>
  <si>
    <t>O-05753-01</t>
  </si>
  <si>
    <t>O-05754-01</t>
  </si>
  <si>
    <t>O-05755-01</t>
  </si>
  <si>
    <t>O-05756-01</t>
  </si>
  <si>
    <t>O-05757-01</t>
  </si>
  <si>
    <t>O-05758-01</t>
  </si>
  <si>
    <t>O-05759-01</t>
  </si>
  <si>
    <t>O-05760-01</t>
  </si>
  <si>
    <t>O-05761-01</t>
  </si>
  <si>
    <t>O-05762-01</t>
  </si>
  <si>
    <t>O-05763-01</t>
  </si>
  <si>
    <t>O-05764-01</t>
  </si>
  <si>
    <t>O-05765-01</t>
  </si>
  <si>
    <t>O-05766-01</t>
  </si>
  <si>
    <t>O-05767-01</t>
  </si>
  <si>
    <t>PVC board #4321/ 4487/ 4786/ 5327</t>
  </si>
  <si>
    <t>C-176-6275-001</t>
  </si>
  <si>
    <t>O-05769-01</t>
  </si>
  <si>
    <t>Order no.KO050363</t>
  </si>
  <si>
    <t xml:space="preserve">New Logo
</t>
  </si>
  <si>
    <t>Medium Blue 
(003 209 13 03)</t>
  </si>
  <si>
    <t>C-324-3858-005</t>
  </si>
  <si>
    <t>C-324-3860-002</t>
  </si>
  <si>
    <t>C-324-10526-001</t>
  </si>
  <si>
    <t>SnowTech Cross Country Fjell &amp; Touring Ski fix - max. 60mm wide m/mellemlæg (pr. stk)</t>
  </si>
  <si>
    <t>C-324-10526-002</t>
  </si>
  <si>
    <t>C-324-5935-011</t>
  </si>
  <si>
    <t>C-324-10526-003</t>
  </si>
  <si>
    <t>C-324-3853-047</t>
  </si>
  <si>
    <t>C-324-3860-006</t>
  </si>
  <si>
    <t>C-324-3861-005</t>
  </si>
  <si>
    <t>C-324-10185-011</t>
  </si>
  <si>
    <t>C-324-4156-018</t>
  </si>
  <si>
    <t>C-324-5935-012</t>
  </si>
  <si>
    <t>C-324-5935-013</t>
  </si>
  <si>
    <t>C-324-5250-003</t>
  </si>
  <si>
    <t>C-324-4153-009</t>
  </si>
  <si>
    <t>C-324-3852-020</t>
  </si>
  <si>
    <t>Cutting Planning</t>
  </si>
  <si>
    <t>C-324-10526-004</t>
  </si>
  <si>
    <t>O-05770-01</t>
  </si>
  <si>
    <t>Black Eva foam + 420PU</t>
  </si>
  <si>
    <r>
      <t xml:space="preserve">TR10H
</t>
    </r>
    <r>
      <rPr>
        <sz val="10"/>
        <color rgb="FFFF0000"/>
        <rFont val="Arial"/>
        <family val="2"/>
      </rPr>
      <t>use all material in stock</t>
    </r>
  </si>
  <si>
    <t>O-05771-01</t>
  </si>
  <si>
    <t>C-176-3585 B-001</t>
  </si>
  <si>
    <t>O-05776-01</t>
  </si>
  <si>
    <t>Order no.KO050369</t>
  </si>
  <si>
    <t>O-05773-01</t>
  </si>
  <si>
    <t>Order no.KO050366</t>
  </si>
  <si>
    <t>C-176-3982-001</t>
  </si>
  <si>
    <t>O-05778-01</t>
  </si>
  <si>
    <t>Order no.KO050372</t>
  </si>
  <si>
    <t>O-05576-02</t>
  </si>
  <si>
    <t>Order no.KO050371</t>
  </si>
  <si>
    <t>O-05777-01</t>
  </si>
  <si>
    <t>Order no.KO050370</t>
  </si>
  <si>
    <t>CCB Safety - Rental &amp; Service Solutions</t>
  </si>
  <si>
    <t>Order no.KO050364 + Order no.KO050365 shipped together</t>
  </si>
  <si>
    <t>O-05772-01</t>
  </si>
  <si>
    <t>Order no.KO050365</t>
  </si>
  <si>
    <t>Shoulder bag for rope access D29 with hard cover #6305</t>
  </si>
  <si>
    <t>C-176-2940-001</t>
  </si>
  <si>
    <t>O-05774-01</t>
  </si>
  <si>
    <t>Order no.KO050367</t>
  </si>
  <si>
    <t>O-05775-02</t>
  </si>
  <si>
    <t>Order no.KO050368</t>
  </si>
  <si>
    <t>O-05775-01</t>
  </si>
  <si>
    <t>Backpack for rope - 250m (US version without upright)</t>
  </si>
  <si>
    <t>Order no.KO050364</t>
  </si>
  <si>
    <t>Diễm Hoàng</t>
  </si>
  <si>
    <t>Sơn Thành Đat</t>
  </si>
  <si>
    <t>SIEMENS Gamesa RENEWABLE ENERGY A9B10022125</t>
  </si>
  <si>
    <t>C-176-2601-016</t>
  </si>
  <si>
    <t>O-05780-04</t>
  </si>
  <si>
    <t>Order no.KO050374</t>
  </si>
  <si>
    <t>O-05780-03</t>
  </si>
  <si>
    <t>O-05780-02</t>
  </si>
  <si>
    <t>O-05780-01</t>
  </si>
  <si>
    <t>Black/Red/Light Grey</t>
  </si>
  <si>
    <t>Siemens Gamesa A9B10101771</t>
  </si>
  <si>
    <t>TOOL ORGANIZER BAG
(Tool insert for #3585)</t>
  </si>
  <si>
    <t>C-176-3965-003</t>
  </si>
  <si>
    <t>O-05786-01</t>
  </si>
  <si>
    <t>Order no.KO050380</t>
  </si>
  <si>
    <t>SIEMENS Gamesa RENEWABLE ENERGY A9B10101769</t>
  </si>
  <si>
    <t>C-176-3585 B-004</t>
  </si>
  <si>
    <t>O-05789-01</t>
  </si>
  <si>
    <t>Order no.KO050383</t>
  </si>
  <si>
    <t xml:space="preserve">SIEMENS GAMESA RENEWABLE ENERGY LIFE JACKET </t>
  </si>
  <si>
    <t>Life Jacket bag</t>
  </si>
  <si>
    <t xml:space="preserve">C-176-3203-003 </t>
  </si>
  <si>
    <t>O-05787-01</t>
  </si>
  <si>
    <t>Order no.KO050381</t>
  </si>
  <si>
    <t>Vestas 290146 WLL 50 KG</t>
  </si>
  <si>
    <t>C-176-2535-012</t>
  </si>
  <si>
    <t>O-05791-01</t>
  </si>
  <si>
    <t>Order no.KO050386</t>
  </si>
  <si>
    <t>SIEMENS Gamesa RENEWABLE ENERGY</t>
  </si>
  <si>
    <t>C-176-3154-006</t>
  </si>
  <si>
    <t>O-05785-01</t>
  </si>
  <si>
    <t>Order no.KO050379</t>
  </si>
  <si>
    <t>Large Tube bag</t>
  </si>
  <si>
    <t>C-176-4872-001</t>
  </si>
  <si>
    <t>O-05790-01</t>
  </si>
  <si>
    <t>Order no.KO050384</t>
  </si>
  <si>
    <t>SIEMENS Gamesa RENEWABLE ENERGY A9B10125954</t>
  </si>
  <si>
    <t>C-176-4272-009</t>
  </si>
  <si>
    <t>O-05784-01</t>
  </si>
  <si>
    <t>Order no.KO050378</t>
  </si>
  <si>
    <t>D1800x900 PVC PVC/ DOT PVC</t>
  </si>
  <si>
    <t>SIEMENS Gamesa RENEWABLE ENERGY A9B10299950</t>
  </si>
  <si>
    <t>C- 176-5398-001</t>
  </si>
  <si>
    <t>O-05782-01</t>
  </si>
  <si>
    <t>Order no.KO050376</t>
  </si>
  <si>
    <t>C-176-2651-015</t>
  </si>
  <si>
    <t>O-05783-01</t>
  </si>
  <si>
    <t>Order no.KO050377</t>
  </si>
  <si>
    <t>Double layer D1800x900</t>
  </si>
  <si>
    <t>No logo (Siemens label)</t>
  </si>
  <si>
    <t>Tube bag for SG10 pitch cylinder</t>
  </si>
  <si>
    <t>C-176-7005-001</t>
  </si>
  <si>
    <t>O-05788-01</t>
  </si>
  <si>
    <t>Order no.KO050382</t>
  </si>
  <si>
    <t>NEW PO EMG</t>
  </si>
  <si>
    <t>O-05629-02</t>
  </si>
  <si>
    <t xml:space="preserve">Thu Hằng  </t>
  </si>
  <si>
    <t>C-176-5617-001</t>
  </si>
  <si>
    <t>Large trouble shooting bag w. front gate</t>
  </si>
  <si>
    <t>O-Efterskolen  SPORTS ACADEMY DENMARK</t>
  </si>
  <si>
    <t>Soon</t>
  </si>
  <si>
    <t>by wood</t>
  </si>
  <si>
    <t>C-324-4652-014</t>
  </si>
  <si>
    <t>VD-TTR 26-03-098</t>
  </si>
  <si>
    <t>VD-TTR 26-01-010</t>
  </si>
  <si>
    <t>VD-TTR 26-03-094</t>
  </si>
  <si>
    <t>VD-TTR 26-03-095</t>
  </si>
  <si>
    <t>VD-TCH 26-03-090</t>
  </si>
  <si>
    <t>VD-TCH 26-03-091</t>
  </si>
  <si>
    <t>VD-TCH 26-03-092</t>
  </si>
  <si>
    <t>VD-HMH 26-03-088</t>
  </si>
  <si>
    <t>VD 26-04-109</t>
  </si>
  <si>
    <t>VD-NC 26-03-089</t>
  </si>
  <si>
    <t>VD-DHO 26-03-084</t>
  </si>
  <si>
    <t>VD-STD 26-03-087</t>
  </si>
  <si>
    <t>VD-NC 26-03-085</t>
  </si>
  <si>
    <t>VD-NC 26-03-086</t>
  </si>
  <si>
    <t>VD-TTR 26-03-096</t>
  </si>
  <si>
    <t>VD-TTR 26-03-097</t>
  </si>
  <si>
    <t>VD-TTR 26-03-066</t>
  </si>
  <si>
    <t>VD-TCH 26-04-102</t>
  </si>
  <si>
    <t>VD-TCH 26-04-103</t>
  </si>
  <si>
    <t>VD-TCH 26-04-104</t>
  </si>
  <si>
    <t>VD-TCH 26-04-101</t>
  </si>
  <si>
    <t xml:space="preserve">Box in stock </t>
  </si>
  <si>
    <t>Box ín stock</t>
  </si>
  <si>
    <t>sd thùng tận dụng</t>
  </si>
  <si>
    <t>C-177-5264-009</t>
  </si>
  <si>
    <t xml:space="preserve">SNOWFUN </t>
  </si>
  <si>
    <t>C-177-5264-012</t>
  </si>
  <si>
    <t>SNOWFUN</t>
  </si>
  <si>
    <t>CAMOUFLAGE</t>
  </si>
  <si>
    <t>name tag on pocket</t>
  </si>
  <si>
    <t>C-177-4157-005</t>
  </si>
  <si>
    <t>C-177-4615-008</t>
  </si>
  <si>
    <t>SP4615 Ski Strop</t>
  </si>
  <si>
    <t xml:space="preserve">Rubber fabric </t>
  </si>
  <si>
    <t>box in stock</t>
  </si>
  <si>
    <t>C-177-5264-016</t>
  </si>
  <si>
    <t>ONE OPEN SKY</t>
  </si>
  <si>
    <t>C-177-1871-015</t>
  </si>
  <si>
    <t>0030 Boot bag</t>
  </si>
  <si>
    <t>BRUGTE SKI</t>
  </si>
  <si>
    <t>C-177-1264-022</t>
  </si>
  <si>
    <t xml:space="preserve">0033 Ski Bag 165cm </t>
  </si>
  <si>
    <t>C-177-1266-012</t>
  </si>
  <si>
    <t>BRUGTE SKI.DK</t>
  </si>
  <si>
    <t>C-177-5263-011</t>
  </si>
  <si>
    <t>MACH 1</t>
  </si>
  <si>
    <t>C-177-5264-010</t>
  </si>
  <si>
    <t>MACH1</t>
  </si>
  <si>
    <t>C-177-1871-017</t>
  </si>
  <si>
    <t>C-177-1264-024</t>
  </si>
  <si>
    <t>C-177-1265-034</t>
  </si>
  <si>
    <t>C-177-1266-014</t>
  </si>
  <si>
    <t>C-177-5264-015</t>
  </si>
  <si>
    <t>SKIBUTIKKEN</t>
  </si>
  <si>
    <t>Velcro should be longer</t>
  </si>
  <si>
    <t>C-177-4615-007</t>
  </si>
  <si>
    <t>C-177-10338-002</t>
  </si>
  <si>
    <t xml:space="preserve">Gear and Helmet M </t>
  </si>
  <si>
    <t>Surf og ski aalborg</t>
  </si>
  <si>
    <t xml:space="preserve">Silver logo 
RIVET &amp; WASHER 8x8
</t>
  </si>
  <si>
    <t>C-177-1871-016</t>
  </si>
  <si>
    <t>ALPINA</t>
  </si>
  <si>
    <t>Silver logo</t>
  </si>
  <si>
    <t>C-177-1264-023</t>
  </si>
  <si>
    <t>C-177-1265-033</t>
  </si>
  <si>
    <t>C-177-5264-014</t>
  </si>
  <si>
    <t>GOLF OG SKI</t>
  </si>
  <si>
    <t>C-177-3014-014</t>
  </si>
  <si>
    <t>0036 Bootbag Helmet liner</t>
  </si>
  <si>
    <t>O-05796-01</t>
  </si>
  <si>
    <t>O-05797-01</t>
  </si>
  <si>
    <t>O-05798-01</t>
  </si>
  <si>
    <t>O-05799-01</t>
  </si>
  <si>
    <t>O-05800-01</t>
  </si>
  <si>
    <t>O-05801-01</t>
  </si>
  <si>
    <t>O-05803-01</t>
  </si>
  <si>
    <t>O-05804-01</t>
  </si>
  <si>
    <t>O-05805-01</t>
  </si>
  <si>
    <t>O-05806-01</t>
  </si>
  <si>
    <t>O-05807-01</t>
  </si>
  <si>
    <t>O-05808-01</t>
  </si>
  <si>
    <t>O-05809-01</t>
  </si>
  <si>
    <t>O-05810-01</t>
  </si>
  <si>
    <t>O-05811-01</t>
  </si>
  <si>
    <t>O-05812-01</t>
  </si>
  <si>
    <t>O-05813-01</t>
  </si>
  <si>
    <t>O-05814-01</t>
  </si>
  <si>
    <t>O-05815-01</t>
  </si>
  <si>
    <t>O-05816-01</t>
  </si>
  <si>
    <t>O-05817-01</t>
  </si>
  <si>
    <t>O-05818-01</t>
  </si>
  <si>
    <t>O-05819-01</t>
  </si>
  <si>
    <t>New logo: white
Velcro should be longer</t>
  </si>
  <si>
    <t>New logo: white
2 X LOGO IN CENTER
2 X LOGO IN FRONT</t>
  </si>
  <si>
    <t>O-05802-01</t>
  </si>
  <si>
    <t>code #10337 has been replaced to #10369
(24/4/2025)</t>
  </si>
  <si>
    <t>C-177-10369-003</t>
  </si>
  <si>
    <t>D600*300 PVC
trim silimi</t>
  </si>
  <si>
    <t>C-177-10369-004</t>
  </si>
  <si>
    <t>4504527119</t>
  </si>
  <si>
    <t>34-Gal. Janitorial Cleaning Cart Vinyl Bag - High Capacity, Blue</t>
  </si>
  <si>
    <t>1966883
(C-214-4620-002)</t>
  </si>
  <si>
    <t>O-05821-01</t>
  </si>
  <si>
    <t>O-05822-01</t>
  </si>
  <si>
    <t>O-05823-01</t>
  </si>
  <si>
    <t>C - 324 - 10526-004</t>
  </si>
  <si>
    <t>C - 324 - 4652-001</t>
  </si>
  <si>
    <t>C - 324 - 4407</t>
  </si>
  <si>
    <t>C - 324 - 3853 - 037</t>
  </si>
  <si>
    <t>GUMPEL&amp;CO</t>
  </si>
  <si>
    <t>dark Navy
018 211 13 03</t>
  </si>
  <si>
    <t>Sơn Thành Đạt</t>
  </si>
  <si>
    <t>Duy Phát - VD</t>
  </si>
  <si>
    <t>C-324-3852-021</t>
  </si>
  <si>
    <t>Explore Skiing</t>
  </si>
  <si>
    <t>O-05824-01</t>
  </si>
  <si>
    <t>O-05825-01</t>
  </si>
  <si>
    <r>
      <t xml:space="preserve">code #10337 has been replaced to #10369
(24/4/2025)
</t>
    </r>
    <r>
      <rPr>
        <b/>
        <sz val="10"/>
        <color rgb="FF002060"/>
        <rFont val="Arial"/>
        <family val="2"/>
      </rPr>
      <t>Missing PE tarpaulin + foam 5mm + square + Triglider 38mm</t>
    </r>
    <r>
      <rPr>
        <sz val="10"/>
        <color rgb="FF002060"/>
        <rFont val="Arial"/>
        <family val="2"/>
      </rPr>
      <t xml:space="preserve">
</t>
    </r>
  </si>
  <si>
    <t>Missing PP plain 23mm + triglider _ Sq ring 38mm</t>
  </si>
  <si>
    <t xml:space="preserve">Missing plain 23mm + reverse slider puller 7 + dog hook + triglider 38mm </t>
  </si>
  <si>
    <t>Missing zipper 5mm + reverse slider puller 8#</t>
  </si>
  <si>
    <t>C-176-5683-001</t>
  </si>
  <si>
    <t>O-05827-01</t>
  </si>
  <si>
    <t>Order no.KO050391</t>
  </si>
  <si>
    <t>O-05828-01</t>
  </si>
  <si>
    <t>Order no.KO050392</t>
  </si>
  <si>
    <t>Ngoc Hoa</t>
  </si>
  <si>
    <t>Small insert for #4626 high 15cm (cut from #6166)</t>
  </si>
  <si>
    <t>C-176-6180-001</t>
  </si>
  <si>
    <t>O-05829-01</t>
  </si>
  <si>
    <t>Order no.KO050393</t>
  </si>
  <si>
    <t>Missing Velcro 25mm orange+St foot white+feet bar+PE sheet 2,5mm</t>
  </si>
  <si>
    <t xml:space="preserve">SPORTSCENTRET </t>
  </si>
  <si>
    <t>C-177-10369-006</t>
  </si>
  <si>
    <r>
      <rPr>
        <sz val="10"/>
        <color rgb="FFFF0000"/>
        <rFont val="Arial"/>
        <family val="2"/>
      </rPr>
      <t>NEW LOGO</t>
    </r>
    <r>
      <rPr>
        <sz val="10"/>
        <color rgb="FF0070C0"/>
        <rFont val="Arial"/>
        <family val="2"/>
      </rPr>
      <t xml:space="preserve">
code #10337 has been replaced to #10369
(24/4/2025)</t>
    </r>
  </si>
  <si>
    <t>C-324-5935-014</t>
  </si>
  <si>
    <t>O-05830-01</t>
  </si>
  <si>
    <t>Missing handle tube + bottom feet + correx4mm - Est late of May</t>
  </si>
  <si>
    <t>Missing zipper 8# + sqare ring 38mm - Est late of May</t>
  </si>
  <si>
    <t>Cs Việt - VD</t>
  </si>
  <si>
    <t>Order no.KO050345</t>
  </si>
  <si>
    <t>O-05662-01</t>
  </si>
  <si>
    <t>appproved layout 15-04</t>
  </si>
  <si>
    <t>Shorten the shoulder strap by 20 cm.</t>
  </si>
  <si>
    <t>VD-TTR 26-04-137</t>
  </si>
  <si>
    <t>VD-TTR 26-04-127</t>
  </si>
  <si>
    <t>VD-TH 26-04-126</t>
  </si>
  <si>
    <t>VD-TCH 26-04-123</t>
  </si>
  <si>
    <t>VD-MA 26-04-110</t>
  </si>
  <si>
    <t>VD-TH 26-04-118</t>
  </si>
  <si>
    <t>VD-MA 26-04-113</t>
  </si>
  <si>
    <t>VD-MA 26-04-114</t>
  </si>
  <si>
    <t>VD-MA 26-04-115</t>
  </si>
  <si>
    <t>VD-TTR 26-04-125</t>
  </si>
  <si>
    <t>VD-VH 26-04-119</t>
  </si>
  <si>
    <t>VD-CST 26-04-105</t>
  </si>
  <si>
    <t>VD-XC 26-04-122</t>
  </si>
  <si>
    <t>VD-VH 26-04-121</t>
  </si>
  <si>
    <t>VD-VH 26-04-120</t>
  </si>
  <si>
    <t>VD-MA 26-04-112</t>
  </si>
  <si>
    <t>VD-CSP 26-04-124</t>
  </si>
  <si>
    <t>VD-CSVI 26-04-117</t>
  </si>
  <si>
    <t>Est 20-05</t>
  </si>
  <si>
    <t>Est 20-6</t>
  </si>
  <si>
    <t>Est 25-05</t>
  </si>
  <si>
    <t>Est 30-06</t>
  </si>
  <si>
    <t>Est 30-5</t>
  </si>
  <si>
    <t>Est 12-6</t>
  </si>
  <si>
    <t>Ship on 08 June 2026 by LCL</t>
  </si>
  <si>
    <t>Ship on 06 July 2026 by 40'HC</t>
  </si>
  <si>
    <t>Ship on 11 July 2026 by 40'HC</t>
  </si>
  <si>
    <t>ÆRØ+Green Island</t>
  </si>
  <si>
    <t>Hat (size 60)</t>
  </si>
  <si>
    <t>53-915
New</t>
  </si>
  <si>
    <t>24032</t>
  </si>
  <si>
    <t>ÆRØ+ flying flag + Map of the island (green)</t>
  </si>
  <si>
    <t xml:space="preserve">53-916
NO TEXT on the back </t>
  </si>
  <si>
    <t xml:space="preserve">Navy Blue/white piping </t>
  </si>
  <si>
    <t>ÆRØ + latitudes</t>
  </si>
  <si>
    <t>C-135-ÆRØ-0003</t>
  </si>
  <si>
    <t>C-9771-01</t>
  </si>
  <si>
    <t>C-9772-01</t>
  </si>
  <si>
    <t>C-9773-01</t>
  </si>
  <si>
    <t>#10528</t>
  </si>
  <si>
    <r>
      <t xml:space="preserve">GRILL COVER
</t>
    </r>
    <r>
      <rPr>
        <b/>
        <sz val="10"/>
        <color rgb="FFFF0000"/>
        <rFont val="Arial"/>
        <family val="2"/>
      </rPr>
      <t>Trùm bếp nướng</t>
    </r>
  </si>
  <si>
    <t>C-135-ÆRØ-0002</t>
  </si>
  <si>
    <t>C-135-ÆRØ -0004</t>
  </si>
  <si>
    <t>Logo type</t>
  </si>
  <si>
    <t>C-Enerco-10494
(F232145)</t>
  </si>
  <si>
    <t>30L X 18W X 23H CM</t>
  </si>
  <si>
    <t>Mr. Heater</t>
  </si>
  <si>
    <t>Grey 431C</t>
  </si>
  <si>
    <t>C-Enerco-10496
( F232147)</t>
  </si>
  <si>
    <t>45L X 28W X 42H CM</t>
  </si>
  <si>
    <t>C-Enerco-10499
(F232149)</t>
  </si>
  <si>
    <t>39L X 17W X 38H CM</t>
  </si>
  <si>
    <t>C-Enerco-10497
(F274889)</t>
  </si>
  <si>
    <t>44L X 28W X 44H CM</t>
  </si>
  <si>
    <t>Dark Grey</t>
  </si>
  <si>
    <t>C-Enerco-10498
(F232078)</t>
  </si>
  <si>
    <t>44L X 20W X 38H CM</t>
  </si>
  <si>
    <t>#10500
F600050</t>
  </si>
  <si>
    <t>Mr. Heater
Buddy Flex</t>
  </si>
  <si>
    <t>Red/ grey
(New material)</t>
  </si>
  <si>
    <t>C-Enerco-10495
F235001.</t>
  </si>
  <si>
    <t>35 (L) X 5 (W) X 35 (H) CM</t>
  </si>
  <si>
    <t>36 (L) X 26 (W) X 51 (H) CM</t>
  </si>
  <si>
    <t>15-04-2026 approve layout</t>
  </si>
  <si>
    <t>26_Dark Navy/White
(RPET)</t>
  </si>
  <si>
    <t>Dark navy 0182111303</t>
  </si>
  <si>
    <t>SnowTech ROLLER SPLIT TRAVEL 110L - Heavy Duty Travelbag w/wheels</t>
  </si>
  <si>
    <t>dark Navy
018 211 13 03/ WHITE</t>
  </si>
  <si>
    <t>GUMPEL&amp;CO
hình ảnh</t>
  </si>
  <si>
    <t>Ưu tiên sản xuất</t>
  </si>
  <si>
    <t>approved fabic 20-04</t>
  </si>
  <si>
    <t>Big tool bag</t>
  </si>
  <si>
    <t>Siemens</t>
  </si>
  <si>
    <t>PO - July</t>
  </si>
  <si>
    <t>Order no.KO050395</t>
  </si>
  <si>
    <t>VA</t>
  </si>
  <si>
    <t>O-05831-01</t>
  </si>
  <si>
    <t>Missing material red D1800 - Est 25-5</t>
  </si>
  <si>
    <t>out off stock = 400pcs. Est 25-5</t>
  </si>
  <si>
    <t>Missing fabric. Est 25-5</t>
  </si>
  <si>
    <t>4504536677</t>
  </si>
  <si>
    <t>O-05841-04</t>
  </si>
  <si>
    <t>Order no.KO050404</t>
  </si>
  <si>
    <t>O-05841-03</t>
  </si>
  <si>
    <t>O-05841-02</t>
  </si>
  <si>
    <t>O-05841-01</t>
  </si>
  <si>
    <t>Take from Pre PO</t>
  </si>
  <si>
    <t>Order no.KO050425</t>
  </si>
  <si>
    <t>Orange Tarpaulin</t>
  </si>
  <si>
    <t>Vestas VT20001761 WLL MAX 50 KG</t>
  </si>
  <si>
    <t>Hand Small tool bag</t>
  </si>
  <si>
    <t>C-176-3214-001</t>
  </si>
  <si>
    <t>O-05855-02</t>
  </si>
  <si>
    <t>Order no.KO050420</t>
  </si>
  <si>
    <t>O-05855-01</t>
  </si>
  <si>
    <t>49</t>
  </si>
  <si>
    <t>79</t>
  </si>
  <si>
    <t>Vestas 20041931 WLL MAX 200KG</t>
  </si>
  <si>
    <t>C-176-7014-003</t>
  </si>
  <si>
    <t>MOQ charge 173 USD</t>
  </si>
  <si>
    <t>O-05860-01</t>
  </si>
  <si>
    <t>Order no.KO050426</t>
  </si>
  <si>
    <t>Vestas VT732743 WLL MAX 80 KG</t>
  </si>
  <si>
    <t>C-176-3579-1-001</t>
  </si>
  <si>
    <t>O-05859-03</t>
  </si>
  <si>
    <t>Order no.KO050424</t>
  </si>
  <si>
    <t>O-05859-02</t>
  </si>
  <si>
    <t>O-05859-01</t>
  </si>
  <si>
    <t>O-05857-01</t>
  </si>
  <si>
    <t>Order no.KO050422</t>
  </si>
  <si>
    <t>O-05854-01</t>
  </si>
  <si>
    <t>Order no.KO050419</t>
  </si>
  <si>
    <t>O-05856-01</t>
  </si>
  <si>
    <t>Order no.KO050421</t>
  </si>
  <si>
    <t>Non woven</t>
  </si>
  <si>
    <t>Bolt bag</t>
  </si>
  <si>
    <t>C-176-337-001</t>
  </si>
  <si>
    <t>MOQ charge 2 USD</t>
  </si>
  <si>
    <t>O-05858-01</t>
  </si>
  <si>
    <t>Order no.KO050423</t>
  </si>
  <si>
    <t>C-176-5622-002</t>
  </si>
  <si>
    <t>O-05847-02</t>
  </si>
  <si>
    <t>Order no.KO050410</t>
  </si>
  <si>
    <t>O-05847-01</t>
  </si>
  <si>
    <t>Velcro patch for #4467</t>
  </si>
  <si>
    <t>C-176-6245-005</t>
  </si>
  <si>
    <t>O-05850-01</t>
  </si>
  <si>
    <t>Order no.KO050415</t>
  </si>
  <si>
    <t>White plastic bottom 4896/5616</t>
  </si>
  <si>
    <t>C-176-6255-001</t>
  </si>
  <si>
    <t>no custom declaration</t>
  </si>
  <si>
    <t>O-05851-01</t>
  </si>
  <si>
    <t>Order no.KO050416</t>
  </si>
  <si>
    <t>Multi</t>
  </si>
  <si>
    <t>Set of 5 colored bag tag</t>
  </si>
  <si>
    <t>C-176-7068-001</t>
  </si>
  <si>
    <t>MOQ charge 5 USD</t>
  </si>
  <si>
    <t>O-05853-01</t>
  </si>
  <si>
    <t>Order no.KO050418</t>
  </si>
  <si>
    <t>C-176-4896-006</t>
  </si>
  <si>
    <t>O-05843-01</t>
  </si>
  <si>
    <t>Order no.KO050406</t>
  </si>
  <si>
    <t>D600*300 PVC RPET</t>
  </si>
  <si>
    <t>C-176-5408-003</t>
  </si>
  <si>
    <t>O-05844-01</t>
  </si>
  <si>
    <t>Order no.KO050407</t>
  </si>
  <si>
    <t>Tube bag for pitch cylinder SG5X WLL 500KG</t>
  </si>
  <si>
    <t>Moq charge 145 USD</t>
  </si>
  <si>
    <t>O-05848-01</t>
  </si>
  <si>
    <t>Order no.KO050413</t>
  </si>
  <si>
    <t xml:space="preserve">Tall bag for RTM pipes </t>
  </si>
  <si>
    <t>O-05852-01</t>
  </si>
  <si>
    <t>Order no.KO050417</t>
  </si>
  <si>
    <t>Velcro for square tool bag</t>
  </si>
  <si>
    <t>C-176-6215-001</t>
  </si>
  <si>
    <t>Moq charge 2.5 USD</t>
  </si>
  <si>
    <t>O-05849-01</t>
  </si>
  <si>
    <t>Order no.KO050414</t>
  </si>
  <si>
    <t>Waiting information</t>
  </si>
  <si>
    <t>O-05845-01</t>
  </si>
  <si>
    <t>Order no.KO050408</t>
  </si>
  <si>
    <t>Multi purpose backpack with tool pouch</t>
  </si>
  <si>
    <t>C- 176- 5593 A-001</t>
  </si>
  <si>
    <t>O-05846-01</t>
  </si>
  <si>
    <t>Order no.KO050409</t>
  </si>
  <si>
    <t>O-05842-02</t>
  </si>
  <si>
    <t>Order no.KO050405</t>
  </si>
  <si>
    <t>O-05842-01</t>
  </si>
  <si>
    <t>D1800*900 PVC Mary</t>
  </si>
  <si>
    <t>Certex Spring Load + WLL 25 KG</t>
  </si>
  <si>
    <t>C-176-3963-001</t>
  </si>
  <si>
    <t>MOQ charge 65 USD</t>
  </si>
  <si>
    <t>O-05834-01</t>
  </si>
  <si>
    <t>Order no.KO050397</t>
  </si>
  <si>
    <t>NL</t>
  </si>
  <si>
    <t>Bottle bag</t>
  </si>
  <si>
    <t>C- 176-3815-001</t>
  </si>
  <si>
    <t>O-05838-01</t>
  </si>
  <si>
    <t>Order no.KO050401</t>
  </si>
  <si>
    <t>Order no.KO050398</t>
  </si>
  <si>
    <t>O-05835-01</t>
  </si>
  <si>
    <t>MOQ charge 826 USD</t>
  </si>
  <si>
    <t>C-176-5572-002</t>
  </si>
  <si>
    <t>O-05833-01</t>
  </si>
  <si>
    <t>Order no.KO050396</t>
  </si>
  <si>
    <t>Radio Bag</t>
  </si>
  <si>
    <t>C-176-4033-001</t>
  </si>
  <si>
    <t>O-05839-01</t>
  </si>
  <si>
    <t>Order no.KO050402</t>
  </si>
  <si>
    <t>O-05836-01</t>
  </si>
  <si>
    <t>Order no.KO050399</t>
  </si>
  <si>
    <t>Tall bottle bag - Dual lifting option with hard bottom #6305</t>
  </si>
  <si>
    <t>C-176-3209-004</t>
  </si>
  <si>
    <t>O-05837-01</t>
  </si>
  <si>
    <t>Order no.KO050400</t>
  </si>
  <si>
    <t>Big Tool Bag D41cm</t>
  </si>
  <si>
    <t>C-176-4197-001</t>
  </si>
  <si>
    <t>O-05840-01</t>
  </si>
  <si>
    <t>Order no.KO050403</t>
  </si>
  <si>
    <t>VD-CSVI 26-04-116</t>
  </si>
  <si>
    <t>Diễm Hoàng-VD</t>
  </si>
  <si>
    <t>Tấn Trường-VD</t>
  </si>
  <si>
    <t>Văn Hồng-VD</t>
  </si>
  <si>
    <t>Sơn Thành Đạt-VD</t>
  </si>
  <si>
    <t>O-05861-01</t>
  </si>
  <si>
    <t>O-05862-01</t>
  </si>
  <si>
    <t>200pcs</t>
  </si>
  <si>
    <t>C-176-2787-4-002</t>
  </si>
  <si>
    <r>
      <rPr>
        <sz val="10"/>
        <color rgb="FFFF0000"/>
        <rFont val="Arial"/>
        <family val="2"/>
      </rPr>
      <t>Missing fabric</t>
    </r>
    <r>
      <rPr>
        <sz val="10"/>
        <color rgb="FF0070C0"/>
        <rFont val="Arial"/>
        <family val="2"/>
      </rPr>
      <t xml:space="preserve">
MOQ charge 148 USD</t>
    </r>
  </si>
  <si>
    <t>Missing fabric + velcro</t>
  </si>
  <si>
    <t>Missing velcro 25mm + 38mm orange</t>
  </si>
  <si>
    <t>Missing velcro</t>
  </si>
  <si>
    <t>total 500pcs ( by air 100pcs)</t>
  </si>
  <si>
    <t>total 500pcs</t>
  </si>
  <si>
    <t>Air</t>
  </si>
  <si>
    <t>total 750pcs ( by air 450pcs)</t>
  </si>
  <si>
    <t>O-05832-01</t>
  </si>
  <si>
    <t>C-176-7077-002</t>
  </si>
  <si>
    <t xml:space="preserve">Ship on 03 August by 40'HC (Intersurf 2026) </t>
  </si>
  <si>
    <t>Ship on 17 July 2026 by 40'HC</t>
  </si>
  <si>
    <t>Ship on 24 July 2026 by 40'HC</t>
  </si>
  <si>
    <t>Ship on 29 July 2026 by 40'HC</t>
  </si>
  <si>
    <t>Change from #1718</t>
  </si>
  <si>
    <t>TR10H</t>
  </si>
  <si>
    <t xml:space="preserve">Carton box 60 x 30 x 20 cm </t>
  </si>
  <si>
    <t>C-176-6231-008</t>
  </si>
  <si>
    <t>O-05867-04</t>
  </si>
  <si>
    <t>Order no.KO050432</t>
  </si>
  <si>
    <t>Carton box 52x 52 x 20 cm</t>
  </si>
  <si>
    <t>C-176-6231-003</t>
  </si>
  <si>
    <t>O-05867-03</t>
  </si>
  <si>
    <t xml:space="preserve">Carton box 80 x 53 x 17cm </t>
  </si>
  <si>
    <t>C-176-6231-016</t>
  </si>
  <si>
    <t>O-05867-02</t>
  </si>
  <si>
    <t>Carton box 80x 53 x 25 cm</t>
  </si>
  <si>
    <t>C-176-6231-019</t>
  </si>
  <si>
    <t>O-05867-01</t>
  </si>
  <si>
    <t>Upright insert for #2073</t>
  </si>
  <si>
    <t>C-176-6179-001</t>
  </si>
  <si>
    <t>O-05865-01</t>
  </si>
  <si>
    <t>Order no.KO050430</t>
  </si>
  <si>
    <t>Ratchet - LC: 1000 daN</t>
  </si>
  <si>
    <t>C-176-6328-001</t>
  </si>
  <si>
    <t>O-05863-01</t>
  </si>
  <si>
    <t>Order no.KO050428</t>
  </si>
  <si>
    <t>O-05864-01</t>
  </si>
  <si>
    <t>Order no.KO050429</t>
  </si>
  <si>
    <r>
      <t xml:space="preserve">include separate plastic sheet. </t>
    </r>
    <r>
      <rPr>
        <sz val="10"/>
        <rFont val="Arial"/>
        <family val="2"/>
      </rPr>
      <t>MOQ charge 220 USD</t>
    </r>
  </si>
  <si>
    <t>O-05866-01</t>
  </si>
  <si>
    <t>Order no.KO050431</t>
  </si>
  <si>
    <t>TRIANGLE BOTTOM PLASTIC  -WHITE ( 15X25 )</t>
  </si>
  <si>
    <t>Insert bucket for 4626 - 25cm</t>
  </si>
  <si>
    <t>C-176-6166-001</t>
  </si>
  <si>
    <t>O-05868-01</t>
  </si>
  <si>
    <t>Order no.KO050434</t>
  </si>
  <si>
    <t>O-05869-01</t>
  </si>
  <si>
    <t>Order no.KO050435</t>
  </si>
  <si>
    <t>Missing Diamon feet + correx</t>
  </si>
  <si>
    <t>Finish in April - 2026</t>
  </si>
  <si>
    <t>Finish in May - 2026</t>
  </si>
  <si>
    <r>
      <rPr>
        <sz val="10"/>
        <color rgb="FFFF0000"/>
        <rFont val="Arial"/>
        <family val="2"/>
      </rPr>
      <t>Missing bottom + velcro</t>
    </r>
    <r>
      <rPr>
        <sz val="10"/>
        <color rgb="FF0070C0"/>
        <rFont val="Arial"/>
        <family val="2"/>
      </rPr>
      <t xml:space="preserve">
MOQ charge 292 USD</t>
    </r>
  </si>
  <si>
    <t>Ship on 19 May 2026 by 40'HC</t>
  </si>
  <si>
    <t>Khánh Phong</t>
  </si>
  <si>
    <t>BOOKED</t>
  </si>
  <si>
    <t>C-176-5497-001</t>
  </si>
  <si>
    <t>Harness for 5498</t>
  </si>
  <si>
    <t>Orange/ Black</t>
  </si>
  <si>
    <t>C-176-7081-001</t>
  </si>
  <si>
    <t>Comtec bag</t>
  </si>
  <si>
    <t>C-176-4789-3-001</t>
  </si>
  <si>
    <t>4897 with closure</t>
  </si>
  <si>
    <t>VD-PH 26-05-167</t>
  </si>
  <si>
    <t>VD 26-05-168</t>
  </si>
  <si>
    <t>VD-TTR 26-04-139</t>
  </si>
  <si>
    <t>VD-TTR 26-04-140</t>
  </si>
  <si>
    <t>VD-TCH 26-05-165</t>
  </si>
  <si>
    <t>VD-TTR 26-05-153</t>
  </si>
  <si>
    <t>VD-TTR 26-04-141</t>
  </si>
  <si>
    <t>VD-MA 26-04-138</t>
  </si>
  <si>
    <t>VD-TTR 26-04-142</t>
  </si>
  <si>
    <t>VD-MA 26-04-152</t>
  </si>
  <si>
    <t>VD-TH 26-05-154</t>
  </si>
  <si>
    <t>VD-TH 26-05-155</t>
  </si>
  <si>
    <t>VD-MA 26-05-158</t>
  </si>
  <si>
    <t>VD-MA 26-05-157</t>
  </si>
  <si>
    <t>VD-TCH 26-05-162</t>
  </si>
  <si>
    <t>VD=CST 26-04-130</t>
  </si>
  <si>
    <t>VD-CSP 26-04-144</t>
  </si>
  <si>
    <t>VD-DHO 26-04-147</t>
  </si>
  <si>
    <t>VD-CST 26-04-129</t>
  </si>
  <si>
    <t>VD-HH 26-04-145</t>
  </si>
  <si>
    <t>VD-LS 26-05-160</t>
  </si>
  <si>
    <t>VD-CSLI 26-04-149</t>
  </si>
  <si>
    <t>VD-STD 26-04-134</t>
  </si>
  <si>
    <t>VD-CST 26-04-130</t>
  </si>
  <si>
    <t>VD-CSP 26-04-146</t>
  </si>
  <si>
    <t>VD-LS 26-04-133</t>
  </si>
  <si>
    <t>VD-DP 26-04-131</t>
  </si>
  <si>
    <t>VD-DP 26-04-132</t>
  </si>
  <si>
    <t>VD-CSLI 26-04-150</t>
  </si>
  <si>
    <t>VD-CSLI 26-04-146</t>
  </si>
  <si>
    <t>26-04-133</t>
  </si>
  <si>
    <t>26-04-145</t>
  </si>
  <si>
    <t>VD-CST 26-04-148</t>
  </si>
  <si>
    <t>VD-CSLI 26-04-151</t>
  </si>
  <si>
    <t>VD-TCH 26-05-163</t>
  </si>
  <si>
    <t>VD-TCH 26-05-164</t>
  </si>
  <si>
    <t>Total 100pcs</t>
  </si>
  <si>
    <t>Take from Pre PO 100 pcs.
Priority ship 200pcs</t>
  </si>
  <si>
    <t>Ngọc hoa</t>
  </si>
  <si>
    <t>Ship on 25 May 2026 by Air</t>
  </si>
  <si>
    <t>O-05874-01</t>
  </si>
  <si>
    <t>Order no.KO050441</t>
  </si>
  <si>
    <t>TRANSFER</t>
  </si>
  <si>
    <t>SIEMENS GAMESA Renewable Energy</t>
  </si>
  <si>
    <t>Square Tool bag (USA Version)</t>
  </si>
  <si>
    <t>C-176-2619-4-001</t>
  </si>
  <si>
    <t>O-05870-01</t>
  </si>
  <si>
    <t>Order no.KO050437</t>
  </si>
  <si>
    <t>O-05878-01</t>
  </si>
  <si>
    <t>Order no.KO050445</t>
  </si>
  <si>
    <t xml:space="preserve">C-176-2787-3-002     </t>
  </si>
  <si>
    <t>O-05872-01</t>
  </si>
  <si>
    <t>Order no.KO050439</t>
  </si>
  <si>
    <t>Horizontal bottle bag - WLL 150 KG</t>
  </si>
  <si>
    <t>C-176-4139-002</t>
  </si>
  <si>
    <t>O-05876-01</t>
  </si>
  <si>
    <t>Order no.KO050443</t>
  </si>
  <si>
    <t>C-176-4140-002</t>
  </si>
  <si>
    <t>O-05877-01</t>
  </si>
  <si>
    <t>Order no.KO050444</t>
  </si>
  <si>
    <t>C-176-2651-4-017</t>
  </si>
  <si>
    <t>Update new code 09-11-2024. Add 2" into the code as EMG request, but still be normal version (9/1/2025). Change code "4" due to go to DK this time</t>
  </si>
  <si>
    <t>O-05871-01</t>
  </si>
  <si>
    <t>Order no.KO050438</t>
  </si>
  <si>
    <t>D1800*900 PVC Marine Blue</t>
  </si>
  <si>
    <t>O-05882-01</t>
  </si>
  <si>
    <t>Order no.KO050449</t>
  </si>
  <si>
    <t>Vestas Rope</t>
  </si>
  <si>
    <t>C-176-4498-001</t>
  </si>
  <si>
    <t>MOQ charge 87 USD</t>
  </si>
  <si>
    <t>O-05881-01</t>
  </si>
  <si>
    <t>Order no.KO050448</t>
  </si>
  <si>
    <t>O-05880-02</t>
  </si>
  <si>
    <t>Order no.KO050447</t>
  </si>
  <si>
    <t>O-05880-01</t>
  </si>
  <si>
    <t>Order no.KO050440</t>
  </si>
  <si>
    <t>O-05873-01</t>
  </si>
  <si>
    <t>O-05879-02</t>
  </si>
  <si>
    <t>Order no.KO050446</t>
  </si>
  <si>
    <t>O-05879-01</t>
  </si>
  <si>
    <t>1830pcs</t>
  </si>
  <si>
    <t>june</t>
  </si>
  <si>
    <t>June</t>
  </si>
  <si>
    <t>Pre</t>
  </si>
  <si>
    <t>04-03-2019
approval faric 14-5-26</t>
  </si>
  <si>
    <t>Ship on 25 May 2026 by 40'HC</t>
  </si>
  <si>
    <t>Ship on 26 May 2026 by 40'HC</t>
  </si>
  <si>
    <t>HMH</t>
  </si>
  <si>
    <t>Est 25-5</t>
  </si>
  <si>
    <t>Est 18-05</t>
  </si>
  <si>
    <t>Est 5-6</t>
  </si>
  <si>
    <t>Est 10- 6</t>
  </si>
  <si>
    <t>Est 17-6</t>
  </si>
  <si>
    <t>Est 23-6</t>
  </si>
  <si>
    <t>Est 26-6</t>
  </si>
  <si>
    <t>White upright plastic for #4487/5327/5622</t>
  </si>
  <si>
    <t>C-176-6240-003</t>
  </si>
  <si>
    <t>O-05883-01</t>
  </si>
  <si>
    <t>Order no.KO050451</t>
  </si>
  <si>
    <t>14-5 (3424pcs)</t>
  </si>
  <si>
    <t>Ship on 20 May ( delivery in VN )</t>
  </si>
  <si>
    <t>Ship on 29 May 2026 by 20'DC</t>
  </si>
  <si>
    <t>Lịch cúp điện 28-5</t>
  </si>
  <si>
    <t>Est 27-05</t>
  </si>
  <si>
    <t>Est 10-6</t>
  </si>
  <si>
    <t>Est 05-06</t>
  </si>
  <si>
    <t>Est 22-06</t>
  </si>
  <si>
    <t>Est 15-6</t>
  </si>
  <si>
    <t>Est 16-06</t>
  </si>
  <si>
    <t>Ship on 29 May 2026 by Air</t>
  </si>
  <si>
    <t>Missing met D-ring + carabiner</t>
  </si>
  <si>
    <t>Missing lader buckle</t>
  </si>
  <si>
    <t>MOQ charge 13 USD</t>
  </si>
  <si>
    <t>Missing correx</t>
  </si>
  <si>
    <t>Ship on 10 August 2026 by 40'HC</t>
  </si>
  <si>
    <t>Ship on 14 August 2026 by 40'HC</t>
  </si>
  <si>
    <t>Ship on 25 August 2026 by 40'HC</t>
  </si>
  <si>
    <t>Ship on  May 2026 by 40'DC</t>
  </si>
  <si>
    <t>Ship on 19 June 2026 by 20'DC</t>
  </si>
  <si>
    <t>Total : 500pcs</t>
  </si>
  <si>
    <t>Order no.KO050442</t>
  </si>
  <si>
    <t>O-05875-01</t>
  </si>
  <si>
    <t>O-05887-01</t>
  </si>
  <si>
    <t>Order no.KO050455</t>
  </si>
  <si>
    <t>Velcro patch for #5616</t>
  </si>
  <si>
    <t>C-176-6251-002</t>
  </si>
  <si>
    <t>O-05886-01</t>
  </si>
  <si>
    <t>Order no.KO050454</t>
  </si>
  <si>
    <t>O-05885-01</t>
  </si>
  <si>
    <t>Order no.KO050453</t>
  </si>
  <si>
    <t xml:space="preserve">Tarpaulin 0.75mm </t>
  </si>
  <si>
    <t xml:space="preserve">VD </t>
  </si>
  <si>
    <t>Rain cover for industrial pallet lifting bag (Inflatable lid and sleeves for lifting straps)</t>
  </si>
  <si>
    <t>C-176-5511-005</t>
  </si>
  <si>
    <t>MOQ charge 113 USD</t>
  </si>
  <si>
    <t>O-05884-01</t>
  </si>
  <si>
    <t>Order no.KO050452</t>
  </si>
  <si>
    <t>4504545836</t>
  </si>
  <si>
    <t>O-05888-01</t>
  </si>
  <si>
    <t>Est 10-06</t>
  </si>
  <si>
    <t>C-176-3888-002</t>
  </si>
  <si>
    <t>C-176-4804-3-020</t>
  </si>
  <si>
    <t>#10525</t>
  </si>
  <si>
    <t>GREEN BAG</t>
  </si>
  <si>
    <t>Backflow Armor</t>
  </si>
  <si>
    <t>Ship on pending 20 May 2026 by ???</t>
  </si>
  <si>
    <r>
      <t>C-177-4615</t>
    </r>
    <r>
      <rPr>
        <sz val="10"/>
        <color rgb="FFFF0000"/>
        <rFont val="Arial"/>
        <family val="2"/>
      </rPr>
      <t>-009</t>
    </r>
  </si>
  <si>
    <t>Velcro should be longer
2 logos</t>
  </si>
  <si>
    <t>C-177-3014-011</t>
  </si>
  <si>
    <t>Need to check carton size</t>
  </si>
  <si>
    <t>10362- GEAR BAG</t>
  </si>
  <si>
    <t>C-177-10362-001</t>
  </si>
  <si>
    <t>Bag should be upsized
Waiting for customer confirmation on the logo</t>
  </si>
  <si>
    <t>C-177-1265</t>
  </si>
  <si>
    <t>Waiting for customer confirmation on the logo</t>
  </si>
  <si>
    <t>C-177-1871</t>
  </si>
  <si>
    <t>Ship on 07 August by 40'DC (Rocksap 2026)</t>
  </si>
  <si>
    <t>O-05889-01</t>
  </si>
  <si>
    <t>O-05890-01</t>
  </si>
  <si>
    <t>O-05891-01</t>
  </si>
  <si>
    <t>O-05892-01</t>
  </si>
  <si>
    <t>O-05893-01</t>
  </si>
  <si>
    <t>Ship on 03 July 2026 by 20'DC</t>
  </si>
  <si>
    <r>
      <rPr>
        <sz val="10"/>
        <color rgb="FFFF0000"/>
        <rFont val="Arial"/>
        <family val="2"/>
      </rPr>
      <t>Missing correx + pvc board + bottom</t>
    </r>
    <r>
      <rPr>
        <sz val="10"/>
        <color rgb="FF0070C0"/>
        <rFont val="Arial"/>
        <family val="2"/>
      </rPr>
      <t xml:space="preserve">
Note for new packing by palllet 
Every month pre 300pcs ( Mr.Henrik)</t>
    </r>
  </si>
  <si>
    <r>
      <rPr>
        <sz val="10"/>
        <color rgb="FFFF0000"/>
        <rFont val="Arial"/>
        <family val="2"/>
      </rPr>
      <t>(Missing fabric – estimated for mid-June)</t>
    </r>
    <r>
      <rPr>
        <sz val="10"/>
        <color theme="1"/>
        <rFont val="Arial"/>
        <family val="2"/>
      </rPr>
      <t xml:space="preserve">
Please stick the warning label on the polybag (on the packaging)</t>
    </r>
  </si>
  <si>
    <t>working</t>
  </si>
  <si>
    <t>Ship on 03 June 2026 by 40'HC</t>
  </si>
  <si>
    <t>460pcs</t>
  </si>
  <si>
    <t>Total 500pcs</t>
  </si>
  <si>
    <t>Ship on 08 June 2026 by 40'HC</t>
  </si>
  <si>
    <t>Ship on 12 June 2026 by 40'HC</t>
  </si>
  <si>
    <t>Ship on 17 June 2026 by 40'HC</t>
  </si>
  <si>
    <t>Ship on 22 June June 2026 by 40'HC</t>
  </si>
  <si>
    <t>Ship on 25 June June 2026 by 40'HC</t>
  </si>
  <si>
    <t>Ship on 29 June 2026 by 40'HC</t>
  </si>
  <si>
    <t>Ship on 04 July 2026 by 40'HC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</si>
</sst>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8" formatCode="&quot;$&quot;#,##0.00_);[Red]\(&quot;$&quot;#,##0.00\)"/>
    <numFmt numFmtId="44" formatCode="_(&quot;$&quot;* #,##0.00_);_(&quot;$&quot;* \(#,##0.00\);_(&quot;$&quot;* &quot;-&quot;??_);_(@_)"/>
    <numFmt numFmtId="43" formatCode="_(* #,##0.00_);_(* \(#,##0.00\);_(* &quot;-&quot;??_);_(@_)"/>
    <numFmt numFmtId="164" formatCode="_-* #,##0.00_-;\-* #,##0.00_-;_-* &quot;-&quot;??_-;_-@_-"/>
    <numFmt numFmtId="165" formatCode="_-&quot;£&quot;* #,##0.00_-;\-&quot;£&quot;* #,##0.00_-;_-&quot;£&quot;* &quot;-&quot;??_-;_-@_-"/>
    <numFmt numFmtId="166" formatCode="[$-409]d\-mmm;@"/>
    <numFmt numFmtId="167" formatCode="_-* #,##0\ _B_F_-;\-* #,##0\ _B_F_-;_-* &quot;-&quot;\ _B_F_-;_-@_-"/>
    <numFmt numFmtId="168" formatCode="0.000"/>
    <numFmt numFmtId="169" formatCode="[$-409]d/mmm/yy;@"/>
    <numFmt numFmtId="170" formatCode="0.0"/>
    <numFmt numFmtId="171" formatCode="_-* #,##0.000\ _B_F_-;\-* #,##0.000\ _B_F_-;_-* &quot;-&quot;\ _B_F_-;_-@_-"/>
    <numFmt numFmtId="172" formatCode="0;[Red]0"/>
    <numFmt numFmtId="173" formatCode="[$$-409]#,##0.00"/>
    <numFmt numFmtId="174" formatCode="[$-409]dd\-mmm\-yy;@"/>
    <numFmt numFmtId="175" formatCode="0.0000"/>
    <numFmt numFmtId="176" formatCode="_-* #,##0.00\ _B_F_-;\-* #,##0.00\ _B_F_-;_-* &quot;-&quot;\ _B_F_-;_-@_-"/>
    <numFmt numFmtId="177" formatCode="[$-409]d\-mmm\-yy;@"/>
    <numFmt numFmtId="178" formatCode="_([$€-2]* #,##0.00_);_([$€-2]* \(#,##0.00\);_([$€-2]* &quot;-&quot;??_)"/>
    <numFmt numFmtId="179" formatCode="_-* #.##0\ _B_F_-;\-* #.##0\ _B_F_-;_-* &quot;-&quot;\ _B_F_-;_-@_-"/>
    <numFmt numFmtId="180" formatCode="[$-409]d/mmm;@"/>
    <numFmt numFmtId="181" formatCode="_-* #,##0.00\ _₫_-;\-* #,##0.00\ _₫_-;_-* &quot;-&quot;??\ _₫_-;_-@_-"/>
    <numFmt numFmtId="182" formatCode="&quot;kr&quot;\ #,##0_);\(&quot;kr&quot;\ #,##0\)"/>
    <numFmt numFmtId="183" formatCode="0.0;[Red]0.0"/>
  </numFmts>
  <fonts count="107">
    <font>
      <sz val="11"/>
      <color theme="1"/>
      <name val="Calibri"/>
      <family val="2"/>
      <scheme val="minor"/>
    </font>
    <font>
      <sz val="11"/>
      <color theme="1"/>
      <name val="Calibri"/>
      <family val="2"/>
      <scheme val="minor"/>
    </font>
    <font>
      <sz val="11"/>
      <color rgb="FFFF0000"/>
      <name val="Calibri"/>
      <family val="2"/>
      <scheme val="minor"/>
    </font>
    <font>
      <sz val="13"/>
      <name val="Arial"/>
      <family val="2"/>
    </font>
    <font>
      <sz val="13"/>
      <color theme="1"/>
      <name val="Arial"/>
      <family val="2"/>
    </font>
    <font>
      <u/>
      <sz val="11"/>
      <color theme="10"/>
      <name val="Calibri"/>
      <family val="2"/>
      <scheme val="minor"/>
    </font>
    <font>
      <b/>
      <sz val="13"/>
      <name val="Arial"/>
      <family val="2"/>
    </font>
    <font>
      <sz val="10"/>
      <color theme="1"/>
      <name val="Arial"/>
      <family val="2"/>
    </font>
    <font>
      <sz val="10"/>
      <name val="Arial"/>
      <family val="2"/>
    </font>
    <font>
      <sz val="10"/>
      <name val="Helv"/>
      <family val="2"/>
    </font>
    <font>
      <sz val="10"/>
      <color indexed="8"/>
      <name val="Arial"/>
      <family val="2"/>
    </font>
    <font>
      <b/>
      <sz val="10"/>
      <name val="Arial"/>
      <family val="2"/>
    </font>
    <font>
      <sz val="12"/>
      <name val="VNI-Times"/>
    </font>
    <font>
      <sz val="10"/>
      <color rgb="FFFF0000"/>
      <name val="Arial"/>
      <family val="2"/>
    </font>
    <font>
      <sz val="12"/>
      <name val="Arial"/>
      <family val="2"/>
    </font>
    <font>
      <sz val="12"/>
      <color theme="1"/>
      <name val="Arial"/>
      <family val="2"/>
    </font>
    <font>
      <i/>
      <sz val="10"/>
      <name val="Arial"/>
      <family val="2"/>
    </font>
    <font>
      <sz val="15"/>
      <name val="Arial"/>
      <family val="2"/>
    </font>
    <font>
      <sz val="15"/>
      <color theme="1"/>
      <name val="Arial"/>
      <family val="2"/>
    </font>
    <font>
      <sz val="12"/>
      <name val="Tohama"/>
    </font>
    <font>
      <sz val="12"/>
      <color theme="1"/>
      <name val="Tohama"/>
    </font>
    <font>
      <sz val="12"/>
      <color rgb="FF000000"/>
      <name val="Times New Roman"/>
      <family val="1"/>
    </font>
    <font>
      <b/>
      <sz val="12"/>
      <name val="Times New Roman"/>
      <family val="1"/>
    </font>
    <font>
      <b/>
      <sz val="11"/>
      <color theme="1"/>
      <name val="Calibri"/>
      <family val="2"/>
      <scheme val="minor"/>
    </font>
    <font>
      <u/>
      <sz val="10"/>
      <color indexed="12"/>
      <name val="Arial"/>
      <family val="2"/>
    </font>
    <font>
      <sz val="8"/>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2"/>
      <color rgb="FF000000"/>
      <name val="Tohama"/>
    </font>
    <font>
      <sz val="12"/>
      <color theme="1"/>
      <name val="Times New Roman"/>
      <family val="1"/>
    </font>
    <font>
      <sz val="12"/>
      <name val="Times New Roman"/>
      <family val="1"/>
    </font>
    <font>
      <b/>
      <sz val="10"/>
      <color theme="1"/>
      <name val="Arial"/>
      <family val="2"/>
    </font>
    <font>
      <sz val="12"/>
      <color theme="1"/>
      <name val="Calibri"/>
      <family val="2"/>
      <scheme val="minor"/>
    </font>
    <font>
      <sz val="12"/>
      <color indexed="8"/>
      <name val="Arial"/>
      <family val="2"/>
    </font>
    <font>
      <sz val="12"/>
      <color theme="8" tint="-0.499984740745262"/>
      <name val="Arial"/>
      <family val="2"/>
    </font>
    <font>
      <sz val="12"/>
      <color theme="8" tint="-0.499984740745262"/>
      <name val="Times New Roman"/>
      <family val="1"/>
    </font>
    <font>
      <b/>
      <sz val="12"/>
      <name val="Calibri"/>
      <family val="2"/>
      <scheme val="minor"/>
    </font>
    <font>
      <sz val="12"/>
      <color rgb="FF000000"/>
      <name val="Arial"/>
      <family val="2"/>
    </font>
    <font>
      <b/>
      <sz val="12"/>
      <name val="Palatino Linotype"/>
      <family val="1"/>
    </font>
    <font>
      <sz val="12"/>
      <color rgb="FFFF0000"/>
      <name val="Calibri"/>
      <family val="2"/>
      <scheme val="minor"/>
    </font>
    <font>
      <b/>
      <sz val="12"/>
      <color rgb="FF0070C0"/>
      <name val="Arial"/>
      <family val="2"/>
    </font>
    <font>
      <sz val="12"/>
      <color rgb="FF0070C0"/>
      <name val="Arial"/>
      <family val="2"/>
    </font>
    <font>
      <b/>
      <sz val="12"/>
      <name val="Arial"/>
      <family val="2"/>
    </font>
    <font>
      <b/>
      <i/>
      <sz val="12"/>
      <name val="Arial"/>
      <family val="2"/>
    </font>
    <font>
      <b/>
      <sz val="12"/>
      <color theme="4"/>
      <name val="Arial"/>
      <family val="2"/>
    </font>
    <font>
      <b/>
      <sz val="12"/>
      <color theme="4" tint="-0.499984740745262"/>
      <name val="Arial"/>
      <family val="2"/>
    </font>
    <font>
      <sz val="12"/>
      <color theme="1"/>
      <name val="Palatino Linotype"/>
      <family val="1"/>
    </font>
    <font>
      <sz val="12"/>
      <color theme="4"/>
      <name val="Arial"/>
      <family val="2"/>
    </font>
    <font>
      <b/>
      <sz val="15"/>
      <color theme="1"/>
      <name val="Arial"/>
      <family val="2"/>
    </font>
    <font>
      <b/>
      <sz val="15"/>
      <name val="Arial"/>
      <family val="2"/>
    </font>
    <font>
      <b/>
      <sz val="10"/>
      <name val="Tohama"/>
    </font>
    <font>
      <b/>
      <sz val="10"/>
      <color theme="1"/>
      <name val="Tohama"/>
    </font>
    <font>
      <sz val="10"/>
      <color theme="1"/>
      <name val="Calibri"/>
      <family val="2"/>
      <scheme val="minor"/>
    </font>
    <font>
      <sz val="10"/>
      <name val="Tohama"/>
    </font>
    <font>
      <sz val="10"/>
      <color theme="1"/>
      <name val="Tohama"/>
    </font>
    <font>
      <sz val="10"/>
      <name val="Calibri"/>
      <family val="2"/>
      <scheme val="minor"/>
    </font>
    <font>
      <sz val="10"/>
      <name val="Times New Roman"/>
      <family val="1"/>
    </font>
    <font>
      <b/>
      <sz val="12"/>
      <color theme="1"/>
      <name val="Tohama"/>
    </font>
    <font>
      <sz val="11"/>
      <color theme="1"/>
      <name val="Arial"/>
      <family val="2"/>
    </font>
    <font>
      <b/>
      <sz val="11"/>
      <color rgb="FF0070C0"/>
      <name val="Arial"/>
      <family val="2"/>
    </font>
    <font>
      <sz val="11"/>
      <name val="Arial"/>
      <family val="2"/>
    </font>
    <font>
      <b/>
      <i/>
      <sz val="10"/>
      <name val="Arial"/>
      <family val="2"/>
    </font>
    <font>
      <sz val="11"/>
      <color indexed="8"/>
      <name val="Calibri"/>
      <family val="2"/>
    </font>
    <font>
      <sz val="8"/>
      <name val="Arial"/>
      <family val="2"/>
    </font>
    <font>
      <u/>
      <sz val="10"/>
      <color theme="10"/>
      <name val="Arial"/>
      <family val="2"/>
    </font>
    <font>
      <u/>
      <sz val="12"/>
      <color indexed="12"/>
      <name val="VNI-Times"/>
    </font>
    <font>
      <u/>
      <sz val="11"/>
      <color theme="10"/>
      <name val="Calibri"/>
      <family val="2"/>
    </font>
    <font>
      <b/>
      <sz val="13"/>
      <name val="Tohama"/>
    </font>
    <font>
      <b/>
      <sz val="13"/>
      <color theme="1"/>
      <name val="Tohama"/>
    </font>
    <font>
      <sz val="13"/>
      <color theme="1"/>
      <name val="Calibri"/>
      <family val="2"/>
      <scheme val="minor"/>
    </font>
    <font>
      <sz val="13"/>
      <color rgb="FFFF0000"/>
      <name val="Calibri"/>
      <family val="2"/>
      <scheme val="minor"/>
    </font>
    <font>
      <b/>
      <sz val="10"/>
      <color rgb="FF0070C0"/>
      <name val="Arial"/>
      <family val="2"/>
    </font>
    <font>
      <sz val="10"/>
      <color rgb="FF0070C0"/>
      <name val="Arial"/>
      <family val="2"/>
    </font>
    <font>
      <b/>
      <sz val="11"/>
      <color theme="4" tint="-0.249977111117893"/>
      <name val="Calibri"/>
      <family val="2"/>
      <scheme val="minor"/>
    </font>
    <font>
      <sz val="12"/>
      <color rgb="FFFF0000"/>
      <name val="Arial"/>
      <family val="2"/>
    </font>
    <font>
      <sz val="10"/>
      <color rgb="FF000000"/>
      <name val="Arial"/>
      <family val="2"/>
    </font>
    <font>
      <sz val="10"/>
      <color theme="4"/>
      <name val="Arial"/>
      <family val="2"/>
    </font>
    <font>
      <sz val="13"/>
      <name val="Calibri"/>
      <family val="2"/>
      <scheme val="minor"/>
    </font>
    <font>
      <sz val="13"/>
      <color rgb="FF0070C0"/>
      <name val="Calibri"/>
      <family val="2"/>
      <scheme val="minor"/>
    </font>
    <font>
      <sz val="13"/>
      <color rgb="FF0070C0"/>
      <name val="Arial"/>
      <family val="2"/>
    </font>
    <font>
      <b/>
      <sz val="14"/>
      <name val="Tohama"/>
    </font>
    <font>
      <sz val="13"/>
      <color rgb="FFFF0000"/>
      <name val="Arial"/>
      <family val="2"/>
    </font>
    <font>
      <b/>
      <sz val="10"/>
      <color rgb="FF000000"/>
      <name val="Arial"/>
      <family val="2"/>
    </font>
    <font>
      <sz val="13"/>
      <color rgb="FF000000"/>
      <name val="Arial"/>
      <family val="2"/>
    </font>
    <font>
      <sz val="13"/>
      <color rgb="FFEE0000"/>
      <name val="Calibri"/>
      <family val="2"/>
      <scheme val="minor"/>
    </font>
    <font>
      <sz val="10"/>
      <name val="Tahoma"/>
      <family val="2"/>
    </font>
    <font>
      <sz val="9"/>
      <color indexed="81"/>
      <name val="Tahoma"/>
      <family val="2"/>
    </font>
    <font>
      <b/>
      <sz val="9"/>
      <color indexed="81"/>
      <name val="Tahoma"/>
      <family val="2"/>
    </font>
    <font>
      <sz val="10"/>
      <color theme="1"/>
      <name val="Tahoma"/>
      <family val="2"/>
    </font>
    <font>
      <sz val="11"/>
      <color rgb="FF000000"/>
      <name val="Arial"/>
      <family val="2"/>
    </font>
    <font>
      <sz val="11"/>
      <color rgb="FF0070C0"/>
      <name val="Times New Roman"/>
      <family val="1"/>
    </font>
    <font>
      <i/>
      <sz val="10"/>
      <color theme="1"/>
      <name val="Arial"/>
      <family val="2"/>
    </font>
    <font>
      <sz val="10"/>
      <color rgb="FF002060"/>
      <name val="Arial"/>
      <family val="2"/>
    </font>
    <font>
      <b/>
      <sz val="10"/>
      <color rgb="FF002060"/>
      <name val="Arial"/>
      <family val="2"/>
    </font>
    <font>
      <b/>
      <sz val="10"/>
      <color rgb="FFFF0000"/>
      <name val="Arial"/>
      <family val="2"/>
    </font>
  </fonts>
  <fills count="62">
    <fill>
      <patternFill patternType="none"/>
    </fill>
    <fill>
      <patternFill patternType="gray125"/>
    </fill>
    <fill>
      <patternFill patternType="solid">
        <fgColor indexed="41"/>
        <bgColor indexed="64"/>
      </patternFill>
    </fill>
    <fill>
      <patternFill patternType="solid">
        <fgColor rgb="FFCCFFFF"/>
        <bgColor indexed="64"/>
      </patternFill>
    </fill>
    <fill>
      <patternFill patternType="solid">
        <fgColor indexed="45"/>
        <bgColor indexed="64"/>
      </patternFill>
    </fill>
    <fill>
      <patternFill patternType="solid">
        <fgColor theme="0"/>
        <bgColor indexed="64"/>
      </patternFill>
    </fill>
    <fill>
      <patternFill patternType="solid">
        <fgColor indexed="9"/>
        <bgColor indexed="64"/>
      </patternFill>
    </fill>
    <fill>
      <patternFill patternType="solid">
        <fgColor theme="5" tint="0.7999816888943144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FF0000"/>
        <bgColor indexed="64"/>
      </patternFill>
    </fill>
    <fill>
      <patternFill patternType="solid">
        <fgColor theme="5" tint="0.39997558519241921"/>
        <bgColor indexed="64"/>
      </patternFill>
    </fill>
    <fill>
      <patternFill patternType="solid">
        <fgColor theme="9"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249977111117893"/>
        <bgColor indexed="64"/>
      </patternFill>
    </fill>
    <fill>
      <patternFill patternType="solid">
        <fgColor theme="7" tint="0.79998168889431442"/>
        <bgColor indexed="64"/>
      </patternFill>
    </fill>
    <fill>
      <patternFill patternType="solid">
        <fgColor indexed="49"/>
      </patternFill>
    </fill>
    <fill>
      <patternFill patternType="solid">
        <fgColor theme="4" tint="0.79998168889431442"/>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0"/>
        <bgColor rgb="FF000000"/>
      </patternFill>
    </fill>
    <fill>
      <patternFill patternType="solid">
        <fgColor rgb="FFFFFF00"/>
        <bgColor rgb="FF000000"/>
      </patternFill>
    </fill>
    <fill>
      <patternFill patternType="solid">
        <fgColor rgb="FFFF99CC"/>
        <bgColor rgb="FF000000"/>
      </patternFill>
    </fill>
    <fill>
      <patternFill patternType="solid">
        <fgColor theme="4" tint="0.79998168889431442"/>
        <bgColor rgb="FF000000"/>
      </patternFill>
    </fill>
    <fill>
      <patternFill patternType="solid">
        <fgColor rgb="FFFF0101"/>
        <bgColor indexed="64"/>
      </patternFill>
    </fill>
    <fill>
      <patternFill patternType="solid">
        <fgColor rgb="FF00B0F0"/>
        <bgColor indexed="64"/>
      </patternFill>
    </fill>
    <fill>
      <patternFill patternType="solid">
        <fgColor rgb="FFFFFFFF"/>
      </patternFill>
    </fill>
    <fill>
      <patternFill patternType="solid">
        <fgColor theme="8" tint="0.79998168889431442"/>
        <bgColor indexed="64"/>
      </patternFill>
    </fill>
    <fill>
      <patternFill patternType="solid">
        <fgColor rgb="FFA6A6A6"/>
        <bgColor rgb="FF000000"/>
      </patternFill>
    </fill>
    <fill>
      <patternFill patternType="solid">
        <fgColor rgb="FF92D050"/>
        <bgColor indexed="64"/>
      </patternFill>
    </fill>
    <fill>
      <patternFill patternType="solid">
        <fgColor theme="5" tint="0.79998168889431442"/>
        <bgColor rgb="FF000000"/>
      </patternFill>
    </fill>
    <fill>
      <patternFill patternType="solid">
        <fgColor theme="0" tint="-0.249977111117893"/>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18"/>
      </left>
      <right style="thin">
        <color indexed="18"/>
      </right>
      <top style="thin">
        <color indexed="18"/>
      </top>
      <bottom style="thin">
        <color indexed="18"/>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479">
    <xf numFmtId="0" fontId="0" fillId="0" borderId="0"/>
    <xf numFmtId="43" fontId="1" fillId="0" borderId="0" applyFont="0" applyFill="0" applyBorder="0" applyAlignment="0" applyProtection="0"/>
    <xf numFmtId="0" fontId="9" fillId="0" borderId="0"/>
    <xf numFmtId="0" fontId="8" fillId="0" borderId="0" applyFont="0" applyFill="0" applyBorder="0" applyAlignment="0" applyProtection="0"/>
    <xf numFmtId="167" fontId="8" fillId="0" borderId="0" applyFont="0" applyFill="0" applyBorder="0" applyAlignment="0" applyProtection="0"/>
    <xf numFmtId="43" fontId="12" fillId="0" borderId="0" applyFont="0" applyFill="0" applyBorder="0" applyAlignment="0" applyProtection="0"/>
    <xf numFmtId="0" fontId="9" fillId="0" borderId="0"/>
    <xf numFmtId="168" fontId="8" fillId="0" borderId="0" applyFont="0" applyFill="0" applyBorder="0" applyAlignment="0" applyProtection="0"/>
    <xf numFmtId="169" fontId="9" fillId="0" borderId="0"/>
    <xf numFmtId="169" fontId="8" fillId="0" borderId="0" applyFont="0" applyFill="0" applyBorder="0" applyAlignment="0" applyProtection="0"/>
    <xf numFmtId="0" fontId="8" fillId="0" borderId="0" applyFont="0" applyFill="0" applyBorder="0" applyAlignment="0" applyProtection="0"/>
    <xf numFmtId="0" fontId="9" fillId="0" borderId="0"/>
    <xf numFmtId="168" fontId="8" fillId="0" borderId="0" applyFont="0" applyFill="0" applyBorder="0" applyAlignment="0" applyProtection="0"/>
    <xf numFmtId="0" fontId="8" fillId="0" borderId="0"/>
    <xf numFmtId="0" fontId="1" fillId="0" borderId="0"/>
    <xf numFmtId="169" fontId="8" fillId="0" borderId="0"/>
    <xf numFmtId="171" fontId="8" fillId="0" borderId="0" applyFont="0" applyFill="0" applyBorder="0" applyAlignment="0" applyProtection="0"/>
    <xf numFmtId="0" fontId="5" fillId="0" borderId="0" applyNumberForma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9" fillId="0" borderId="0"/>
    <xf numFmtId="0" fontId="1" fillId="0" borderId="0"/>
    <xf numFmtId="167" fontId="8" fillId="0" borderId="0" applyFont="0" applyFill="0" applyBorder="0" applyAlignment="0" applyProtection="0"/>
    <xf numFmtId="0" fontId="8" fillId="0" borderId="0" applyFont="0" applyFill="0" applyBorder="0" applyAlignment="0" applyProtection="0"/>
    <xf numFmtId="0" fontId="8" fillId="0" borderId="0"/>
    <xf numFmtId="169" fontId="1" fillId="0" borderId="0"/>
    <xf numFmtId="0" fontId="1" fillId="0" borderId="0"/>
    <xf numFmtId="167" fontId="8" fillId="0" borderId="0" applyFont="0" applyFill="0" applyBorder="0" applyAlignment="0" applyProtection="0"/>
    <xf numFmtId="0" fontId="8" fillId="0" borderId="0"/>
    <xf numFmtId="167" fontId="8" fillId="0" borderId="0" applyFont="0" applyFill="0" applyBorder="0" applyAlignment="0" applyProtection="0"/>
    <xf numFmtId="0" fontId="8" fillId="0" borderId="0"/>
    <xf numFmtId="168" fontId="8" fillId="0" borderId="0" applyFont="0" applyFill="0" applyBorder="0" applyAlignment="0" applyProtection="0"/>
    <xf numFmtId="0" fontId="1" fillId="0" borderId="0"/>
    <xf numFmtId="0" fontId="1" fillId="0" borderId="0"/>
    <xf numFmtId="169" fontId="1" fillId="0" borderId="0"/>
    <xf numFmtId="0" fontId="24" fillId="0" borderId="0" applyNumberFormat="0" applyFill="0" applyBorder="0" applyAlignment="0" applyProtection="0">
      <alignment vertical="top"/>
      <protection locked="0"/>
    </xf>
    <xf numFmtId="0" fontId="1" fillId="0" borderId="0"/>
    <xf numFmtId="167" fontId="8" fillId="0" borderId="0" applyFont="0" applyFill="0" applyBorder="0" applyAlignment="0" applyProtection="0"/>
    <xf numFmtId="0" fontId="24" fillId="0" borderId="0" applyNumberFormat="0" applyFill="0" applyBorder="0" applyAlignment="0" applyProtection="0">
      <alignment vertical="top"/>
      <protection locked="0"/>
    </xf>
    <xf numFmtId="0" fontId="1" fillId="0" borderId="0"/>
    <xf numFmtId="0" fontId="26" fillId="0" borderId="0" applyNumberFormat="0" applyFill="0" applyBorder="0" applyAlignment="0" applyProtection="0"/>
    <xf numFmtId="0" fontId="27" fillId="0" borderId="6" applyNumberFormat="0" applyFill="0" applyAlignment="0" applyProtection="0"/>
    <xf numFmtId="0" fontId="28" fillId="0" borderId="7" applyNumberFormat="0" applyFill="0" applyAlignment="0" applyProtection="0"/>
    <xf numFmtId="0" fontId="29" fillId="0" borderId="8" applyNumberFormat="0" applyFill="0" applyAlignment="0" applyProtection="0"/>
    <xf numFmtId="0" fontId="29" fillId="0" borderId="0" applyNumberFormat="0" applyFill="0" applyBorder="0" applyAlignment="0" applyProtection="0"/>
    <xf numFmtId="0" fontId="30" fillId="13" borderId="0" applyNumberFormat="0" applyBorder="0" applyAlignment="0" applyProtection="0"/>
    <xf numFmtId="0" fontId="31" fillId="14" borderId="0" applyNumberFormat="0" applyBorder="0" applyAlignment="0" applyProtection="0"/>
    <xf numFmtId="0" fontId="32" fillId="16" borderId="9" applyNumberFormat="0" applyAlignment="0" applyProtection="0"/>
    <xf numFmtId="0" fontId="33" fillId="17" borderId="10" applyNumberFormat="0" applyAlignment="0" applyProtection="0"/>
    <xf numFmtId="0" fontId="34" fillId="17" borderId="9" applyNumberFormat="0" applyAlignment="0" applyProtection="0"/>
    <xf numFmtId="0" fontId="35" fillId="0" borderId="11" applyNumberFormat="0" applyFill="0" applyAlignment="0" applyProtection="0"/>
    <xf numFmtId="0" fontId="36" fillId="18" borderId="12" applyNumberFormat="0" applyAlignment="0" applyProtection="0"/>
    <xf numFmtId="0" fontId="2" fillId="0" borderId="0" applyNumberFormat="0" applyFill="0" applyBorder="0" applyAlignment="0" applyProtection="0"/>
    <xf numFmtId="0" fontId="1" fillId="19" borderId="13" applyNumberFormat="0" applyFont="0" applyAlignment="0" applyProtection="0"/>
    <xf numFmtId="0" fontId="37" fillId="0" borderId="0" applyNumberFormat="0" applyFill="0" applyBorder="0" applyAlignment="0" applyProtection="0"/>
    <xf numFmtId="0" fontId="23" fillId="0" borderId="14" applyNumberFormat="0" applyFill="0" applyAlignment="0" applyProtection="0"/>
    <xf numFmtId="0" fontId="38"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38"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38"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38"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38"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38"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applyFont="0" applyFill="0" applyBorder="0" applyAlignment="0" applyProtection="0"/>
    <xf numFmtId="169" fontId="8" fillId="0" borderId="0"/>
    <xf numFmtId="0" fontId="9" fillId="0" borderId="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8" fillId="0" borderId="0" applyFont="0" applyFill="0" applyBorder="0" applyAlignment="0" applyProtection="0"/>
    <xf numFmtId="167" fontId="8" fillId="0" borderId="0" applyFont="0" applyFill="0" applyBorder="0" applyAlignment="0" applyProtection="0"/>
    <xf numFmtId="0" fontId="39" fillId="15" borderId="0" applyNumberFormat="0" applyBorder="0" applyAlignment="0" applyProtection="0"/>
    <xf numFmtId="0" fontId="38" fillId="23" borderId="0" applyNumberFormat="0" applyBorder="0" applyAlignment="0" applyProtection="0"/>
    <xf numFmtId="0" fontId="38" fillId="27" borderId="0" applyNumberFormat="0" applyBorder="0" applyAlignment="0" applyProtection="0"/>
    <xf numFmtId="0" fontId="38" fillId="31" borderId="0" applyNumberFormat="0" applyBorder="0" applyAlignment="0" applyProtection="0"/>
    <xf numFmtId="0" fontId="38" fillId="35" borderId="0" applyNumberFormat="0" applyBorder="0" applyAlignment="0" applyProtection="0"/>
    <xf numFmtId="0" fontId="38" fillId="39" borderId="0" applyNumberFormat="0" applyBorder="0" applyAlignment="0" applyProtection="0"/>
    <xf numFmtId="0" fontId="38" fillId="43" borderId="0" applyNumberFormat="0" applyBorder="0" applyAlignment="0" applyProtection="0"/>
    <xf numFmtId="43" fontId="1" fillId="0" borderId="0" applyFont="0" applyFill="0" applyBorder="0" applyAlignment="0" applyProtection="0"/>
    <xf numFmtId="167" fontId="12" fillId="0" borderId="0" applyFont="0" applyFill="0" applyBorder="0" applyAlignment="0" applyProtection="0"/>
    <xf numFmtId="167" fontId="8" fillId="0" borderId="0" applyFont="0" applyFill="0" applyBorder="0" applyAlignment="0" applyProtection="0"/>
    <xf numFmtId="0" fontId="8" fillId="0" borderId="0" applyFont="0" applyFill="0" applyBorder="0" applyAlignment="0" applyProtection="0"/>
    <xf numFmtId="0" fontId="1" fillId="0" borderId="0"/>
    <xf numFmtId="167" fontId="8" fillId="0" borderId="0" applyFont="0" applyFill="0" applyBorder="0" applyAlignment="0" applyProtection="0"/>
    <xf numFmtId="0" fontId="8" fillId="0" borderId="0" applyFont="0" applyFill="0" applyBorder="0" applyAlignment="0" applyProtection="0"/>
    <xf numFmtId="169" fontId="1" fillId="0" borderId="0"/>
    <xf numFmtId="0" fontId="10" fillId="0" borderId="0">
      <alignment vertical="top"/>
    </xf>
    <xf numFmtId="0" fontId="1" fillId="0" borderId="0"/>
    <xf numFmtId="0" fontId="1" fillId="0" borderId="0"/>
    <xf numFmtId="167" fontId="8" fillId="0" borderId="0" applyFont="0" applyFill="0" applyBorder="0" applyAlignment="0" applyProtection="0"/>
    <xf numFmtId="0" fontId="12" fillId="0" borderId="0"/>
    <xf numFmtId="0" fontId="1" fillId="0" borderId="0"/>
    <xf numFmtId="0" fontId="9" fillId="0" borderId="0"/>
    <xf numFmtId="169" fontId="1" fillId="0" borderId="0"/>
    <xf numFmtId="164" fontId="1" fillId="0" borderId="0" applyFont="0" applyFill="0" applyBorder="0" applyAlignment="0" applyProtection="0"/>
    <xf numFmtId="165" fontId="1" fillId="0" borderId="0" applyFont="0" applyFill="0" applyBorder="0" applyAlignment="0" applyProtection="0"/>
    <xf numFmtId="169" fontId="9" fillId="0" borderId="0"/>
    <xf numFmtId="164" fontId="12" fillId="0" borderId="0" applyFont="0" applyFill="0" applyBorder="0" applyAlignment="0" applyProtection="0"/>
    <xf numFmtId="168" fontId="8" fillId="0" borderId="0" applyFont="0" applyFill="0" applyBorder="0" applyAlignment="0" applyProtection="0"/>
    <xf numFmtId="169" fontId="8" fillId="0" borderId="0" applyFont="0" applyFill="0" applyBorder="0" applyAlignment="0" applyProtection="0"/>
    <xf numFmtId="167" fontId="12" fillId="0" borderId="0" applyFont="0" applyFill="0" applyBorder="0" applyAlignment="0" applyProtection="0"/>
    <xf numFmtId="168" fontId="8" fillId="0" borderId="0" applyFont="0" applyFill="0" applyBorder="0" applyAlignment="0" applyProtection="0"/>
    <xf numFmtId="169" fontId="9" fillId="0" borderId="0"/>
    <xf numFmtId="169" fontId="8" fillId="0" borderId="0" applyFont="0" applyFill="0" applyBorder="0" applyAlignment="0" applyProtection="0"/>
    <xf numFmtId="164" fontId="8" fillId="0" borderId="0" applyFont="0" applyFill="0" applyBorder="0" applyAlignment="0" applyProtection="0"/>
    <xf numFmtId="169" fontId="8" fillId="0" borderId="0"/>
    <xf numFmtId="169" fontId="8" fillId="0" borderId="0" applyFont="0" applyFill="0" applyBorder="0" applyAlignment="0" applyProtection="0"/>
    <xf numFmtId="167" fontId="8" fillId="0" borderId="0" applyFont="0" applyFill="0" applyBorder="0" applyAlignment="0" applyProtection="0"/>
    <xf numFmtId="169" fontId="1" fillId="0" borderId="0"/>
    <xf numFmtId="4" fontId="75" fillId="46" borderId="15" applyNumberFormat="0" applyProtection="0">
      <alignment horizontal="left" vertical="center" indent="1"/>
    </xf>
    <xf numFmtId="170" fontId="8" fillId="0" borderId="0" applyFont="0" applyFill="0" applyBorder="0" applyAlignment="0" applyProtection="0"/>
    <xf numFmtId="168" fontId="8" fillId="0" borderId="0" applyFont="0" applyFill="0" applyBorder="0" applyAlignment="0" applyProtection="0"/>
    <xf numFmtId="169" fontId="9" fillId="0" borderId="0"/>
    <xf numFmtId="167" fontId="8" fillId="0" borderId="0" applyFont="0" applyFill="0" applyBorder="0" applyAlignment="0" applyProtection="0"/>
    <xf numFmtId="169" fontId="8" fillId="0" borderId="0"/>
    <xf numFmtId="168" fontId="8" fillId="0" borderId="0" applyFont="0" applyFill="0" applyBorder="0" applyAlignment="0" applyProtection="0"/>
    <xf numFmtId="169" fontId="8" fillId="0" borderId="0"/>
    <xf numFmtId="165" fontId="8" fillId="0" borderId="0" applyFont="0" applyFill="0" applyBorder="0" applyAlignment="0" applyProtection="0"/>
    <xf numFmtId="169" fontId="1" fillId="0" borderId="0"/>
    <xf numFmtId="169" fontId="76" fillId="0" borderId="0" applyNumberFormat="0" applyFill="0" applyBorder="0" applyAlignment="0" applyProtection="0">
      <alignment vertical="top"/>
      <protection locked="0"/>
    </xf>
    <xf numFmtId="169" fontId="74" fillId="0" borderId="0"/>
    <xf numFmtId="169" fontId="24" fillId="0" borderId="0" applyNumberFormat="0" applyFill="0" applyBorder="0" applyAlignment="0" applyProtection="0">
      <alignment vertical="top"/>
      <protection locked="0"/>
    </xf>
    <xf numFmtId="169" fontId="77" fillId="0" borderId="0" applyNumberFormat="0" applyFill="0" applyBorder="0" applyAlignment="0" applyProtection="0">
      <alignment vertical="top"/>
      <protection locked="0"/>
    </xf>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9" fontId="9" fillId="0" borderId="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9" fontId="9" fillId="0" borderId="0" applyFont="0" applyFill="0" applyBorder="0" applyAlignment="0" applyProtection="0"/>
    <xf numFmtId="169" fontId="1" fillId="0" borderId="0"/>
    <xf numFmtId="169" fontId="1" fillId="0" borderId="0"/>
    <xf numFmtId="169" fontId="74" fillId="0" borderId="0"/>
    <xf numFmtId="169" fontId="8" fillId="0" borderId="0"/>
    <xf numFmtId="167" fontId="8" fillId="0" borderId="0" applyFont="0" applyFill="0" applyBorder="0" applyAlignment="0" applyProtection="0"/>
    <xf numFmtId="164" fontId="12" fillId="0" borderId="0" applyFont="0" applyFill="0" applyBorder="0" applyAlignment="0" applyProtection="0"/>
    <xf numFmtId="169" fontId="12" fillId="0" borderId="0" applyFont="0" applyFill="0" applyBorder="0" applyAlignment="0" applyProtection="0"/>
    <xf numFmtId="169" fontId="1" fillId="0" borderId="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77" fillId="0" borderId="0" applyNumberFormat="0" applyFill="0" applyBorder="0" applyAlignment="0" applyProtection="0">
      <alignment vertical="top"/>
      <protection locked="0"/>
    </xf>
    <xf numFmtId="164" fontId="1" fillId="0" borderId="0" applyFont="0" applyFill="0" applyBorder="0" applyAlignment="0" applyProtection="0"/>
    <xf numFmtId="169" fontId="1" fillId="0" borderId="0"/>
    <xf numFmtId="169" fontId="8" fillId="0" borderId="0" applyFont="0" applyFill="0" applyBorder="0" applyAlignment="0" applyProtection="0"/>
    <xf numFmtId="169" fontId="8" fillId="0" borderId="0" applyFont="0" applyFill="0" applyBorder="0" applyAlignment="0" applyProtection="0"/>
    <xf numFmtId="169" fontId="1" fillId="0" borderId="0"/>
    <xf numFmtId="164" fontId="1" fillId="0" borderId="0" applyFont="0" applyFill="0" applyBorder="0" applyAlignment="0" applyProtection="0"/>
    <xf numFmtId="169" fontId="8" fillId="0" borderId="0" applyFont="0" applyFill="0" applyBorder="0" applyAlignment="0" applyProtection="0"/>
    <xf numFmtId="169" fontId="76" fillId="0" borderId="0" applyNumberFormat="0" applyFill="0" applyBorder="0" applyAlignment="0" applyProtection="0">
      <alignment vertical="top"/>
      <protection locked="0"/>
    </xf>
    <xf numFmtId="169" fontId="1" fillId="0" borderId="0"/>
    <xf numFmtId="169" fontId="1" fillId="0" borderId="0"/>
    <xf numFmtId="169" fontId="74" fillId="0" borderId="0"/>
    <xf numFmtId="169" fontId="1" fillId="0" borderId="0"/>
    <xf numFmtId="169" fontId="1" fillId="0" borderId="0"/>
    <xf numFmtId="169" fontId="8" fillId="0" borderId="0" applyFont="0" applyFill="0" applyBorder="0" applyAlignment="0" applyProtection="0"/>
    <xf numFmtId="169" fontId="9" fillId="0" borderId="0"/>
    <xf numFmtId="169" fontId="9" fillId="0" borderId="0"/>
    <xf numFmtId="169" fontId="8" fillId="0" borderId="0" applyFont="0" applyFill="0" applyBorder="0" applyAlignment="0" applyProtection="0"/>
    <xf numFmtId="169" fontId="8" fillId="0" borderId="0" applyFont="0" applyFill="0" applyBorder="0" applyAlignment="0" applyProtection="0"/>
    <xf numFmtId="169" fontId="9" fillId="0" borderId="0"/>
    <xf numFmtId="169" fontId="1" fillId="0" borderId="0"/>
    <xf numFmtId="169" fontId="8" fillId="0" borderId="0" applyFont="0" applyFill="0" applyBorder="0" applyAlignment="0" applyProtection="0"/>
    <xf numFmtId="169" fontId="9" fillId="0" borderId="0"/>
    <xf numFmtId="169" fontId="8" fillId="0" borderId="0"/>
    <xf numFmtId="169" fontId="5" fillId="0" borderId="0" applyNumberFormat="0" applyFill="0" applyBorder="0" applyAlignment="0" applyProtection="0"/>
    <xf numFmtId="169" fontId="8" fillId="0" borderId="0"/>
    <xf numFmtId="169" fontId="8" fillId="0" borderId="0" applyFont="0" applyFill="0" applyBorder="0" applyAlignment="0" applyProtection="0"/>
    <xf numFmtId="169" fontId="8" fillId="0" borderId="0"/>
    <xf numFmtId="169" fontId="1" fillId="0" borderId="0"/>
    <xf numFmtId="169" fontId="77" fillId="0" borderId="0" applyNumberFormat="0" applyFill="0" applyBorder="0" applyAlignment="0" applyProtection="0">
      <alignment vertical="top"/>
      <protection locked="0"/>
    </xf>
    <xf numFmtId="169" fontId="1" fillId="0" borderId="0"/>
    <xf numFmtId="169" fontId="1" fillId="0" borderId="0"/>
    <xf numFmtId="169" fontId="12" fillId="0" borderId="0" applyFont="0" applyFill="0" applyBorder="0" applyAlignment="0" applyProtection="0"/>
    <xf numFmtId="169" fontId="8" fillId="0" borderId="0"/>
    <xf numFmtId="169" fontId="1" fillId="0" borderId="0"/>
    <xf numFmtId="169" fontId="1" fillId="0" borderId="0"/>
    <xf numFmtId="169" fontId="9" fillId="0" borderId="0" applyFont="0" applyFill="0" applyBorder="0" applyAlignment="0" applyProtection="0"/>
    <xf numFmtId="169" fontId="1" fillId="0" borderId="0"/>
    <xf numFmtId="169" fontId="1" fillId="0" borderId="0"/>
    <xf numFmtId="169" fontId="8" fillId="0" borderId="0" applyFont="0" applyFill="0" applyBorder="0" applyAlignment="0" applyProtection="0"/>
    <xf numFmtId="169" fontId="8" fillId="0" borderId="0"/>
    <xf numFmtId="169" fontId="77" fillId="0" borderId="0" applyNumberFormat="0" applyFill="0" applyBorder="0" applyAlignment="0" applyProtection="0">
      <alignment vertical="top"/>
      <protection locked="0"/>
    </xf>
    <xf numFmtId="169" fontId="8" fillId="0" borderId="0" applyFont="0" applyFill="0" applyBorder="0" applyAlignment="0" applyProtection="0"/>
    <xf numFmtId="169" fontId="24" fillId="0" borderId="0" applyNumberFormat="0" applyFill="0" applyBorder="0" applyAlignment="0" applyProtection="0">
      <alignment vertical="top"/>
      <protection locked="0"/>
    </xf>
    <xf numFmtId="169" fontId="1" fillId="0" borderId="0"/>
    <xf numFmtId="169" fontId="1" fillId="0" borderId="0"/>
    <xf numFmtId="170" fontId="8" fillId="0" borderId="0" applyFont="0" applyFill="0" applyBorder="0" applyAlignment="0" applyProtection="0"/>
    <xf numFmtId="0" fontId="1" fillId="0" borderId="0"/>
    <xf numFmtId="169" fontId="1" fillId="0" borderId="0"/>
    <xf numFmtId="0" fontId="8" fillId="0" borderId="0" applyFont="0" applyFill="0" applyBorder="0" applyAlignment="0" applyProtection="0"/>
    <xf numFmtId="0" fontId="5" fillId="0" borderId="0" applyNumberFormat="0" applyFill="0" applyBorder="0" applyAlignment="0" applyProtection="0"/>
    <xf numFmtId="166" fontId="8" fillId="0" borderId="0" applyFont="0" applyFill="0" applyBorder="0" applyAlignment="0" applyProtection="0"/>
    <xf numFmtId="0" fontId="1" fillId="0" borderId="0"/>
    <xf numFmtId="0" fontId="76" fillId="0" borderId="0" applyNumberFormat="0" applyFill="0" applyBorder="0" applyAlignment="0" applyProtection="0">
      <alignment vertical="top"/>
      <protection locked="0"/>
    </xf>
    <xf numFmtId="0" fontId="74" fillId="0" borderId="0"/>
    <xf numFmtId="0" fontId="24" fillId="0" borderId="0" applyNumberFormat="0" applyFill="0" applyBorder="0" applyAlignment="0" applyProtection="0">
      <alignment vertical="top"/>
      <protection locked="0"/>
    </xf>
    <xf numFmtId="0" fontId="77" fillId="0" borderId="0" applyNumberFormat="0" applyFill="0" applyBorder="0" applyAlignment="0" applyProtection="0">
      <alignment vertical="top"/>
      <protection locked="0"/>
    </xf>
    <xf numFmtId="0" fontId="9" fillId="0" borderId="0"/>
    <xf numFmtId="178" fontId="9" fillId="0" borderId="0" applyFont="0" applyFill="0" applyBorder="0" applyAlignment="0" applyProtection="0"/>
    <xf numFmtId="0" fontId="8" fillId="0" borderId="0"/>
    <xf numFmtId="0" fontId="12" fillId="0" borderId="0" applyFont="0" applyFill="0" applyBorder="0" applyAlignment="0" applyProtection="0"/>
    <xf numFmtId="177" fontId="1" fillId="0" borderId="0"/>
    <xf numFmtId="177" fontId="1" fillId="0" borderId="0"/>
    <xf numFmtId="177" fontId="77" fillId="0" borderId="0" applyNumberFormat="0" applyFill="0" applyBorder="0" applyAlignment="0" applyProtection="0">
      <alignment vertical="top"/>
      <protection locked="0"/>
    </xf>
    <xf numFmtId="0" fontId="1" fillId="0" borderId="0"/>
    <xf numFmtId="0" fontId="8" fillId="0" borderId="0" applyFont="0" applyFill="0" applyBorder="0" applyAlignment="0" applyProtection="0"/>
    <xf numFmtId="0" fontId="8" fillId="0" borderId="0" applyFont="0" applyFill="0" applyBorder="0" applyAlignment="0" applyProtection="0"/>
    <xf numFmtId="177" fontId="1" fillId="0" borderId="0"/>
    <xf numFmtId="167" fontId="8" fillId="0" borderId="0" applyFont="0" applyFill="0" applyBorder="0" applyAlignment="0" applyProtection="0"/>
    <xf numFmtId="167" fontId="8" fillId="0" borderId="0" applyFont="0" applyFill="0" applyBorder="0" applyAlignment="0" applyProtection="0"/>
    <xf numFmtId="0" fontId="1" fillId="0" borderId="0"/>
    <xf numFmtId="0" fontId="78" fillId="0" borderId="0" applyNumberFormat="0" applyFill="0" applyBorder="0" applyAlignment="0" applyProtection="0">
      <alignment vertical="top"/>
      <protection locked="0"/>
    </xf>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168" fontId="8" fillId="0" borderId="0" applyFont="0" applyFill="0" applyBorder="0" applyAlignment="0" applyProtection="0"/>
    <xf numFmtId="0" fontId="1" fillId="0" borderId="0"/>
    <xf numFmtId="0" fontId="12" fillId="0" borderId="0"/>
    <xf numFmtId="164" fontId="12" fillId="0" borderId="0" applyFont="0" applyFill="0" applyBorder="0" applyAlignment="0" applyProtection="0"/>
    <xf numFmtId="0" fontId="1" fillId="0" borderId="0"/>
    <xf numFmtId="0" fontId="1" fillId="0" borderId="0"/>
    <xf numFmtId="179" fontId="8" fillId="0" borderId="0" applyFont="0" applyFill="0" applyBorder="0" applyAlignment="0" applyProtection="0"/>
    <xf numFmtId="167" fontId="8" fillId="0" borderId="0" applyFont="0" applyFill="0" applyBorder="0" applyAlignment="0" applyProtection="0"/>
    <xf numFmtId="0" fontId="1" fillId="0" borderId="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165" fontId="1" fillId="0" borderId="0" applyFont="0" applyFill="0" applyBorder="0" applyAlignment="0" applyProtection="0"/>
    <xf numFmtId="164" fontId="12" fillId="0" borderId="0" applyFont="0" applyFill="0" applyBorder="0" applyAlignment="0" applyProtection="0"/>
    <xf numFmtId="164" fontId="8" fillId="0" borderId="0" applyFont="0" applyFill="0" applyBorder="0" applyAlignment="0" applyProtection="0"/>
    <xf numFmtId="4" fontId="75" fillId="46" borderId="15" applyNumberFormat="0" applyProtection="0">
      <alignment horizontal="left" vertical="center" indent="1"/>
    </xf>
    <xf numFmtId="165" fontId="8" fillId="0" borderId="0" applyFont="0" applyFill="0" applyBorder="0" applyAlignment="0" applyProtection="0"/>
    <xf numFmtId="164" fontId="1"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8" fillId="0" borderId="0" applyFont="0" applyFill="0" applyBorder="0" applyAlignment="0" applyProtection="0"/>
    <xf numFmtId="164" fontId="1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2"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67" fontId="8" fillId="0" borderId="0" applyFont="0" applyFill="0" applyBorder="0" applyAlignment="0" applyProtection="0"/>
    <xf numFmtId="176" fontId="8" fillId="0" borderId="0" applyFont="0" applyFill="0" applyBorder="0" applyAlignment="0" applyProtection="0"/>
    <xf numFmtId="43" fontId="8" fillId="0" borderId="0" applyFont="0" applyFill="0" applyBorder="0" applyAlignment="0" applyProtection="0"/>
    <xf numFmtId="4" fontId="75" fillId="46" borderId="15" applyNumberFormat="0" applyProtection="0">
      <alignment horizontal="left" vertical="center" indent="1"/>
    </xf>
    <xf numFmtId="176" fontId="8" fillId="0" borderId="0" applyFont="0" applyFill="0" applyBorder="0" applyAlignment="0" applyProtection="0"/>
    <xf numFmtId="4" fontId="75" fillId="46" borderId="15" applyNumberFormat="0" applyProtection="0">
      <alignment horizontal="left" vertical="center" indent="1"/>
    </xf>
    <xf numFmtId="43" fontId="12" fillId="0" borderId="0" applyFont="0" applyFill="0" applyBorder="0" applyAlignment="0" applyProtection="0"/>
    <xf numFmtId="175" fontId="8" fillId="0" borderId="0" applyFont="0" applyFill="0" applyBorder="0" applyAlignment="0" applyProtection="0"/>
    <xf numFmtId="43" fontId="8" fillId="0" borderId="0" applyFont="0" applyFill="0" applyBorder="0" applyAlignment="0" applyProtection="0"/>
    <xf numFmtId="44" fontId="74" fillId="0" borderId="0" applyFont="0" applyFill="0" applyBorder="0" applyAlignment="0" applyProtection="0"/>
    <xf numFmtId="180" fontId="8" fillId="0" borderId="0" applyFont="0" applyFill="0" applyBorder="0" applyAlignment="0" applyProtection="0"/>
    <xf numFmtId="169" fontId="1" fillId="0" borderId="0"/>
    <xf numFmtId="176" fontId="8" fillId="0" borderId="0" applyFont="0" applyFill="0" applyBorder="0" applyAlignment="0" applyProtection="0"/>
    <xf numFmtId="175" fontId="8" fillId="0" borderId="0" applyFont="0" applyFill="0" applyBorder="0" applyAlignment="0" applyProtection="0"/>
    <xf numFmtId="43" fontId="74" fillId="0" borderId="0" applyFont="0" applyFill="0" applyBorder="0" applyAlignment="0" applyProtection="0"/>
    <xf numFmtId="168" fontId="8" fillId="0" borderId="0" applyFont="0" applyFill="0" applyBorder="0" applyAlignment="0" applyProtection="0"/>
    <xf numFmtId="170" fontId="8" fillId="0" borderId="0" applyFont="0" applyFill="0" applyBorder="0" applyAlignment="0" applyProtection="0"/>
    <xf numFmtId="166" fontId="8" fillId="0" borderId="0" applyFont="0" applyFill="0" applyBorder="0" applyAlignment="0" applyProtection="0"/>
    <xf numFmtId="4" fontId="75" fillId="46" borderId="15" applyNumberFormat="0" applyProtection="0">
      <alignment horizontal="left" vertical="center" indent="1"/>
    </xf>
    <xf numFmtId="167" fontId="8" fillId="0" borderId="0" applyFont="0" applyFill="0" applyBorder="0" applyAlignment="0" applyProtection="0"/>
    <xf numFmtId="169" fontId="1" fillId="0" borderId="0"/>
    <xf numFmtId="169" fontId="1" fillId="0" borderId="0"/>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5"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181" fontId="1" fillId="0" borderId="0" applyFont="0" applyFill="0" applyBorder="0" applyAlignment="0" applyProtection="0"/>
    <xf numFmtId="181" fontId="74" fillId="0" borderId="0" applyFont="0" applyFill="0" applyBorder="0" applyAlignment="0" applyProtection="0"/>
    <xf numFmtId="181" fontId="8" fillId="0" borderId="0" applyFont="0" applyFill="0" applyBorder="0" applyAlignment="0" applyProtection="0"/>
    <xf numFmtId="43" fontId="8" fillId="0" borderId="0" applyFont="0" applyFill="0" applyBorder="0" applyAlignment="0" applyProtection="0"/>
    <xf numFmtId="167" fontId="8" fillId="0" borderId="0" applyFont="0" applyFill="0" applyBorder="0" applyAlignment="0" applyProtection="0"/>
    <xf numFmtId="182" fontId="8" fillId="0" borderId="0" applyFont="0" applyFill="0" applyBorder="0" applyAlignment="0" applyProtection="0"/>
    <xf numFmtId="0" fontId="10" fillId="0" borderId="0">
      <alignment vertical="top"/>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6"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4" fontId="75" fillId="46" borderId="17" applyNumberFormat="0" applyProtection="0">
      <alignment horizontal="left" vertical="center" indent="1"/>
    </xf>
    <xf numFmtId="167" fontId="8" fillId="0" borderId="0" applyFont="0" applyFill="0" applyBorder="0" applyAlignment="0" applyProtection="0"/>
    <xf numFmtId="4" fontId="75" fillId="46" borderId="19" applyNumberFormat="0" applyProtection="0">
      <alignment horizontal="left" vertical="center" indent="1"/>
    </xf>
    <xf numFmtId="179" fontId="8" fillId="0" borderId="0" applyFont="0" applyFill="0" applyBorder="0" applyAlignment="0" applyProtection="0"/>
    <xf numFmtId="43" fontId="8" fillId="0" borderId="0" applyFont="0" applyFill="0" applyBorder="0" applyAlignment="0" applyProtection="0"/>
    <xf numFmtId="43" fontId="12" fillId="0" borderId="0" applyFont="0" applyFill="0" applyBorder="0" applyAlignment="0" applyProtection="0"/>
    <xf numFmtId="177" fontId="1" fillId="0" borderId="0"/>
    <xf numFmtId="167" fontId="8" fillId="0" borderId="0" applyFont="0" applyFill="0" applyBorder="0" applyAlignment="0" applyProtection="0"/>
    <xf numFmtId="0" fontId="1" fillId="0" borderId="0"/>
    <xf numFmtId="0" fontId="8" fillId="0" borderId="0" applyFont="0" applyFill="0" applyBorder="0" applyAlignment="0" applyProtection="0"/>
    <xf numFmtId="0" fontId="8" fillId="0" borderId="0"/>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4" fontId="75" fillId="46" borderId="19" applyNumberFormat="0" applyProtection="0">
      <alignment horizontal="left" vertical="center" indent="1"/>
    </xf>
    <xf numFmtId="0" fontId="8" fillId="0" borderId="0"/>
    <xf numFmtId="0" fontId="8" fillId="0" borderId="0"/>
    <xf numFmtId="0" fontId="8" fillId="0" borderId="0" applyFont="0" applyFill="0" applyBorder="0" applyAlignment="0" applyProtection="0"/>
    <xf numFmtId="175" fontId="8" fillId="0" borderId="0" applyFont="0" applyFill="0" applyBorder="0" applyAlignment="0" applyProtection="0"/>
    <xf numFmtId="169" fontId="8" fillId="0" borderId="0"/>
  </cellStyleXfs>
  <cellXfs count="1056">
    <xf numFmtId="0" fontId="0" fillId="0" borderId="0" xfId="0"/>
    <xf numFmtId="16" fontId="6" fillId="4" borderId="1" xfId="0" applyNumberFormat="1" applyFont="1" applyFill="1" applyBorder="1" applyAlignment="1">
      <alignment horizontal="left" vertical="center"/>
    </xf>
    <xf numFmtId="49"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7"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16" fontId="3" fillId="4" borderId="1" xfId="0" applyNumberFormat="1" applyFont="1" applyFill="1" applyBorder="1" applyAlignment="1">
      <alignment horizontal="center" vertical="center"/>
    </xf>
    <xf numFmtId="1" fontId="3" fillId="4"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wrapText="1"/>
    </xf>
    <xf numFmtId="2" fontId="3" fillId="4" borderId="1" xfId="0" applyNumberFormat="1" applyFont="1" applyFill="1" applyBorder="1" applyAlignment="1">
      <alignment horizontal="center" vertical="center"/>
    </xf>
    <xf numFmtId="4" fontId="3" fillId="4" borderId="1" xfId="0" applyNumberFormat="1" applyFont="1" applyFill="1" applyBorder="1" applyAlignment="1">
      <alignment horizontal="center" vertical="center"/>
    </xf>
    <xf numFmtId="43" fontId="3" fillId="4" borderId="1" xfId="1" applyFont="1" applyFill="1" applyBorder="1" applyAlignment="1">
      <alignment vertical="center"/>
    </xf>
    <xf numFmtId="166" fontId="3" fillId="4"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xf>
    <xf numFmtId="16"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8" fillId="0" borderId="1" xfId="2" applyFont="1" applyBorder="1" applyAlignment="1">
      <alignment horizontal="center" vertical="center"/>
    </xf>
    <xf numFmtId="0" fontId="10" fillId="0" borderId="1" xfId="0" applyFont="1" applyBorder="1" applyAlignment="1">
      <alignment horizontal="center" vertical="center"/>
    </xf>
    <xf numFmtId="0" fontId="8" fillId="0" borderId="1" xfId="0" applyFont="1" applyBorder="1" applyAlignment="1">
      <alignment horizontal="center" vertical="center" wrapText="1"/>
    </xf>
    <xf numFmtId="0" fontId="7" fillId="0" borderId="1" xfId="2" applyFont="1" applyBorder="1" applyAlignment="1">
      <alignment horizontal="center" vertical="center" wrapText="1"/>
    </xf>
    <xf numFmtId="16" fontId="7" fillId="0" borderId="1" xfId="0" applyNumberFormat="1" applyFont="1" applyBorder="1" applyAlignment="1">
      <alignment horizontal="center" vertical="center"/>
    </xf>
    <xf numFmtId="16" fontId="8" fillId="0" borderId="1" xfId="0" applyNumberFormat="1" applyFont="1" applyBorder="1" applyAlignment="1">
      <alignment horizontal="center" vertical="center" wrapText="1"/>
    </xf>
    <xf numFmtId="1" fontId="7" fillId="0" borderId="1" xfId="0" applyNumberFormat="1" applyFont="1" applyBorder="1" applyAlignment="1">
      <alignment horizontal="center" vertical="center" wrapText="1"/>
    </xf>
    <xf numFmtId="1" fontId="8" fillId="0" borderId="1" xfId="0" applyNumberFormat="1" applyFont="1" applyBorder="1" applyAlignment="1">
      <alignment horizontal="center" vertical="center" wrapText="1"/>
    </xf>
    <xf numFmtId="2" fontId="7" fillId="0" borderId="1" xfId="0" applyNumberFormat="1" applyFont="1" applyBorder="1" applyAlignment="1">
      <alignment horizontal="center" vertical="center" wrapText="1"/>
    </xf>
    <xf numFmtId="4" fontId="8" fillId="0" borderId="1" xfId="0" applyNumberFormat="1" applyFont="1" applyBorder="1" applyAlignment="1">
      <alignment horizontal="center" vertical="center"/>
    </xf>
    <xf numFmtId="2" fontId="8" fillId="7" borderId="1" xfId="0" applyNumberFormat="1" applyFont="1" applyFill="1" applyBorder="1" applyAlignment="1">
      <alignment horizontal="center" vertical="center"/>
    </xf>
    <xf numFmtId="0" fontId="7" fillId="0" borderId="1" xfId="0" applyFont="1" applyBorder="1" applyAlignment="1">
      <alignment horizontal="center" vertical="center" wrapText="1"/>
    </xf>
    <xf numFmtId="166" fontId="8" fillId="0" borderId="1" xfId="0" applyNumberFormat="1" applyFont="1" applyBorder="1" applyAlignment="1">
      <alignment horizontal="center" vertical="center"/>
    </xf>
    <xf numFmtId="166" fontId="8" fillId="8" borderId="1" xfId="0" applyNumberFormat="1" applyFont="1" applyFill="1" applyBorder="1" applyAlignment="1">
      <alignment horizontal="center" vertical="center" wrapText="1"/>
    </xf>
    <xf numFmtId="16" fontId="8" fillId="0" borderId="1" xfId="6" applyNumberFormat="1" applyFont="1" applyBorder="1" applyAlignment="1">
      <alignment horizontal="center" vertical="center" wrapText="1"/>
    </xf>
    <xf numFmtId="166" fontId="7" fillId="8" borderId="1" xfId="0" applyNumberFormat="1" applyFont="1" applyFill="1" applyBorder="1" applyAlignment="1">
      <alignment horizontal="center" vertical="center" wrapText="1"/>
    </xf>
    <xf numFmtId="167" fontId="7" fillId="0" borderId="1" xfId="0" applyNumberFormat="1" applyFont="1" applyBorder="1" applyAlignment="1">
      <alignment horizontal="center" vertical="center" wrapText="1"/>
    </xf>
    <xf numFmtId="2" fontId="8" fillId="0" borderId="1" xfId="0" applyNumberFormat="1" applyFont="1" applyBorder="1" applyAlignment="1">
      <alignment horizontal="center" vertical="center" wrapText="1"/>
    </xf>
    <xf numFmtId="167" fontId="7" fillId="0" borderId="1" xfId="0" applyNumberFormat="1" applyFont="1" applyBorder="1" applyAlignment="1">
      <alignment horizontal="center" vertical="center"/>
    </xf>
    <xf numFmtId="49" fontId="7" fillId="0" borderId="1" xfId="0" applyNumberFormat="1" applyFont="1" applyBorder="1" applyAlignment="1">
      <alignment horizontal="center" vertical="center"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2" fontId="7" fillId="7" borderId="1" xfId="0" applyNumberFormat="1" applyFont="1" applyFill="1" applyBorder="1" applyAlignment="1">
      <alignment horizontal="center" vertical="center"/>
    </xf>
    <xf numFmtId="166" fontId="8" fillId="0" borderId="1" xfId="0" applyNumberFormat="1" applyFont="1" applyBorder="1" applyAlignment="1">
      <alignment horizontal="center" vertical="center" wrapText="1"/>
    </xf>
    <xf numFmtId="0" fontId="7" fillId="0" borderId="1" xfId="0" applyFont="1" applyBorder="1" applyAlignment="1">
      <alignment horizontal="center" vertical="center"/>
    </xf>
    <xf numFmtId="16" fontId="6" fillId="4" borderId="1" xfId="0" applyNumberFormat="1" applyFont="1" applyFill="1" applyBorder="1" applyAlignment="1">
      <alignment horizontal="center" vertical="center"/>
    </xf>
    <xf numFmtId="1" fontId="6" fillId="4" borderId="1" xfId="0" applyNumberFormat="1" applyFont="1" applyFill="1" applyBorder="1" applyAlignment="1">
      <alignment horizontal="center" vertical="center"/>
    </xf>
    <xf numFmtId="1" fontId="8" fillId="0" borderId="1" xfId="0" applyNumberFormat="1" applyFont="1" applyBorder="1" applyAlignment="1">
      <alignment horizontal="center" vertical="center"/>
    </xf>
    <xf numFmtId="0" fontId="8" fillId="5" borderId="1" xfId="0" applyFont="1" applyFill="1" applyBorder="1" applyAlignment="1">
      <alignment horizontal="center" vertical="center"/>
    </xf>
    <xf numFmtId="0" fontId="13" fillId="0" borderId="1" xfId="0" applyFont="1" applyBorder="1" applyAlignment="1">
      <alignment horizontal="center" vertical="center" wrapText="1"/>
    </xf>
    <xf numFmtId="167" fontId="8" fillId="0" borderId="1" xfId="0" applyNumberFormat="1" applyFont="1" applyBorder="1" applyAlignment="1">
      <alignment horizontal="center" vertical="center" wrapText="1"/>
    </xf>
    <xf numFmtId="170" fontId="8" fillId="0" borderId="1" xfId="0" applyNumberFormat="1" applyFont="1" applyBorder="1" applyAlignment="1">
      <alignment horizontal="center" vertical="center" wrapText="1"/>
    </xf>
    <xf numFmtId="0" fontId="8" fillId="0" borderId="1" xfId="6" applyFont="1" applyBorder="1" applyAlignment="1">
      <alignment horizontal="center" vertical="center"/>
    </xf>
    <xf numFmtId="0" fontId="7" fillId="0" borderId="1" xfId="6" applyFont="1" applyBorder="1" applyAlignment="1">
      <alignment horizontal="center" vertical="center" wrapText="1"/>
    </xf>
    <xf numFmtId="0" fontId="8" fillId="0" borderId="1" xfId="2" applyFont="1" applyBorder="1" applyAlignment="1">
      <alignment horizontal="center" vertical="center" wrapText="1"/>
    </xf>
    <xf numFmtId="16" fontId="8" fillId="0" borderId="1" xfId="2" applyNumberFormat="1" applyFont="1" applyBorder="1" applyAlignment="1">
      <alignment horizontal="center" vertical="center" wrapText="1"/>
    </xf>
    <xf numFmtId="0" fontId="8" fillId="6" borderId="1" xfId="6" applyFont="1" applyFill="1" applyBorder="1" applyAlignment="1">
      <alignment horizontal="center" vertical="center" wrapText="1"/>
    </xf>
    <xf numFmtId="0" fontId="8" fillId="12" borderId="1" xfId="6" applyFont="1" applyFill="1" applyBorder="1" applyAlignment="1">
      <alignment horizontal="center" vertical="center" wrapText="1"/>
    </xf>
    <xf numFmtId="167" fontId="8" fillId="0" borderId="1" xfId="12" applyNumberFormat="1" applyFont="1" applyBorder="1" applyAlignment="1">
      <alignment horizontal="center" vertical="center" wrapText="1"/>
    </xf>
    <xf numFmtId="43" fontId="8" fillId="0" borderId="1" xfId="5" applyFont="1" applyBorder="1" applyAlignment="1">
      <alignment vertical="center"/>
    </xf>
    <xf numFmtId="167"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0" fontId="8" fillId="5" borderId="1" xfId="0" applyFont="1" applyFill="1" applyBorder="1" applyAlignment="1">
      <alignment horizontal="center" vertical="center" wrapText="1"/>
    </xf>
    <xf numFmtId="166" fontId="8" fillId="8" borderId="1" xfId="6" applyNumberFormat="1" applyFont="1" applyFill="1" applyBorder="1" applyAlignment="1">
      <alignment horizontal="center" vertical="center" wrapText="1"/>
    </xf>
    <xf numFmtId="16" fontId="10" fillId="0" borderId="1" xfId="2" applyNumberFormat="1" applyFont="1" applyBorder="1" applyAlignment="1">
      <alignment horizontal="center" vertical="center"/>
    </xf>
    <xf numFmtId="0" fontId="10" fillId="0" borderId="1" xfId="6" applyFont="1" applyBorder="1" applyAlignment="1">
      <alignment horizontal="center" vertical="center" wrapText="1"/>
    </xf>
    <xf numFmtId="166" fontId="7" fillId="0" borderId="1" xfId="0" applyNumberFormat="1" applyFont="1" applyBorder="1" applyAlignment="1">
      <alignment horizontal="center" vertical="center" wrapText="1"/>
    </xf>
    <xf numFmtId="0" fontId="8" fillId="6" borderId="1" xfId="6" applyFont="1" applyFill="1" applyBorder="1" applyAlignment="1">
      <alignment horizontal="center" vertical="center"/>
    </xf>
    <xf numFmtId="4" fontId="7" fillId="0" borderId="1" xfId="0" applyNumberFormat="1" applyFont="1" applyBorder="1" applyAlignment="1">
      <alignment vertical="center"/>
    </xf>
    <xf numFmtId="166" fontId="8" fillId="11" borderId="1" xfId="6" applyNumberFormat="1" applyFont="1" applyFill="1" applyBorder="1" applyAlignment="1">
      <alignment horizontal="center" vertical="center" wrapText="1"/>
    </xf>
    <xf numFmtId="0" fontId="13" fillId="0" borderId="1" xfId="0" applyFont="1" applyBorder="1" applyAlignment="1">
      <alignment horizontal="center" vertical="center"/>
    </xf>
    <xf numFmtId="0" fontId="7" fillId="5" borderId="1" xfId="2" applyFont="1" applyFill="1" applyBorder="1" applyAlignment="1">
      <alignment horizontal="center" vertical="center" wrapText="1"/>
    </xf>
    <xf numFmtId="0" fontId="8" fillId="10" borderId="1" xfId="2" applyFont="1" applyFill="1" applyBorder="1" applyAlignment="1">
      <alignment horizontal="center" vertical="center"/>
    </xf>
    <xf numFmtId="166" fontId="8" fillId="10" borderId="1" xfId="6" applyNumberFormat="1" applyFont="1" applyFill="1" applyBorder="1" applyAlignment="1">
      <alignment horizontal="center" vertical="center" wrapText="1"/>
    </xf>
    <xf numFmtId="0" fontId="8" fillId="7" borderId="1" xfId="0" applyFont="1" applyFill="1" applyBorder="1" applyAlignment="1">
      <alignment horizontal="center" vertical="center"/>
    </xf>
    <xf numFmtId="166" fontId="7" fillId="0" borderId="1" xfId="0" applyNumberFormat="1" applyFont="1" applyBorder="1" applyAlignment="1">
      <alignment horizontal="center" vertical="center"/>
    </xf>
    <xf numFmtId="0" fontId="10" fillId="0" borderId="1" xfId="6" applyFont="1" applyBorder="1" applyAlignment="1">
      <alignment horizontal="center" vertical="center"/>
    </xf>
    <xf numFmtId="49" fontId="8" fillId="0" borderId="1" xfId="0" applyNumberFormat="1" applyFont="1" applyBorder="1" applyAlignment="1">
      <alignment horizontal="center" vertical="center"/>
    </xf>
    <xf numFmtId="2" fontId="7" fillId="0" borderId="1" xfId="2" applyNumberFormat="1" applyFont="1" applyBorder="1" applyAlignment="1">
      <alignment horizontal="center" vertical="center" wrapText="1"/>
    </xf>
    <xf numFmtId="167" fontId="8" fillId="5" borderId="1" xfId="0" applyNumberFormat="1" applyFont="1" applyFill="1" applyBorder="1" applyAlignment="1">
      <alignment horizontal="center" vertical="center"/>
    </xf>
    <xf numFmtId="166" fontId="8" fillId="11" borderId="1" xfId="0" applyNumberFormat="1" applyFont="1" applyFill="1" applyBorder="1" applyAlignment="1">
      <alignment horizontal="center" vertical="center"/>
    </xf>
    <xf numFmtId="0" fontId="8" fillId="0" borderId="1" xfId="6" applyFont="1" applyBorder="1" applyAlignment="1">
      <alignment horizontal="center" vertical="center" wrapText="1"/>
    </xf>
    <xf numFmtId="166" fontId="8" fillId="5" borderId="1" xfId="0" applyNumberFormat="1" applyFont="1" applyFill="1" applyBorder="1" applyAlignment="1">
      <alignment horizontal="center" vertical="center"/>
    </xf>
    <xf numFmtId="169" fontId="17" fillId="0" borderId="0" xfId="27" applyFont="1" applyAlignment="1">
      <alignment horizontal="center" vertical="center" wrapText="1"/>
    </xf>
    <xf numFmtId="1" fontId="18" fillId="0" borderId="0" xfId="27" applyNumberFormat="1" applyFont="1" applyAlignment="1">
      <alignment horizontal="center" vertical="center" wrapText="1"/>
    </xf>
    <xf numFmtId="169" fontId="15" fillId="0" borderId="0" xfId="27" applyFont="1" applyAlignment="1">
      <alignment horizontal="center" vertical="center" wrapText="1"/>
    </xf>
    <xf numFmtId="169" fontId="14" fillId="0" borderId="0" xfId="27" applyFont="1" applyAlignment="1">
      <alignment horizontal="center" vertical="center" wrapText="1"/>
    </xf>
    <xf numFmtId="169" fontId="18" fillId="0" borderId="0" xfId="27" applyFont="1" applyAlignment="1">
      <alignment horizontal="center" vertical="center" wrapText="1"/>
    </xf>
    <xf numFmtId="16" fontId="17" fillId="0" borderId="0" xfId="27" applyNumberFormat="1" applyFont="1" applyAlignment="1">
      <alignment horizontal="center" vertical="center" wrapText="1"/>
    </xf>
    <xf numFmtId="1" fontId="17" fillId="0" borderId="0" xfId="27" applyNumberFormat="1" applyFont="1" applyAlignment="1">
      <alignment vertical="center" wrapText="1"/>
    </xf>
    <xf numFmtId="2" fontId="17" fillId="0" borderId="0" xfId="27" applyNumberFormat="1" applyFont="1" applyAlignment="1">
      <alignment horizontal="center" vertical="center" wrapText="1"/>
    </xf>
    <xf numFmtId="169" fontId="17" fillId="0" borderId="0" xfId="27" applyFont="1" applyAlignment="1">
      <alignment vertical="center" wrapText="1"/>
    </xf>
    <xf numFmtId="169" fontId="17" fillId="6" borderId="0" xfId="27" applyFont="1" applyFill="1" applyAlignment="1">
      <alignment horizontal="center" vertical="center" wrapText="1"/>
    </xf>
    <xf numFmtId="169" fontId="17" fillId="6" borderId="0" xfId="27" applyFont="1" applyFill="1" applyAlignment="1">
      <alignment horizontal="right" vertical="center" wrapText="1"/>
    </xf>
    <xf numFmtId="0" fontId="1" fillId="0" borderId="0" xfId="14"/>
    <xf numFmtId="169" fontId="14" fillId="0" borderId="0" xfId="27" applyFont="1" applyAlignment="1">
      <alignment vertical="center" wrapText="1"/>
    </xf>
    <xf numFmtId="3" fontId="21" fillId="0" borderId="1" xfId="32" applyNumberFormat="1" applyFont="1" applyBorder="1" applyAlignment="1">
      <alignment horizontal="center" vertical="center"/>
    </xf>
    <xf numFmtId="2" fontId="22" fillId="0" borderId="1" xfId="30" applyNumberFormat="1" applyFont="1" applyBorder="1" applyAlignment="1">
      <alignment horizontal="center" vertical="center" wrapText="1"/>
    </xf>
    <xf numFmtId="1" fontId="14" fillId="2" borderId="1" xfId="27" applyNumberFormat="1" applyFont="1" applyFill="1" applyBorder="1" applyAlignment="1">
      <alignment horizontal="center" vertical="center"/>
    </xf>
    <xf numFmtId="2" fontId="14" fillId="2" borderId="1" xfId="27" applyNumberFormat="1" applyFont="1" applyFill="1" applyBorder="1" applyAlignment="1">
      <alignment horizontal="center" vertical="center" wrapText="1"/>
    </xf>
    <xf numFmtId="169" fontId="14" fillId="2" borderId="1" xfId="27" applyFont="1" applyFill="1" applyBorder="1" applyAlignment="1">
      <alignment vertical="center" wrapText="1"/>
    </xf>
    <xf numFmtId="169" fontId="14" fillId="2" borderId="1" xfId="27" applyFont="1" applyFill="1" applyBorder="1" applyAlignment="1">
      <alignment horizontal="center" vertical="center"/>
    </xf>
    <xf numFmtId="166" fontId="8" fillId="0" borderId="1" xfId="12" applyNumberFormat="1" applyFont="1" applyBorder="1" applyAlignment="1">
      <alignment horizontal="center" vertical="center" wrapText="1"/>
    </xf>
    <xf numFmtId="166" fontId="8" fillId="5" borderId="1" xfId="8" applyNumberFormat="1" applyFont="1" applyFill="1" applyBorder="1" applyAlignment="1">
      <alignment horizontal="center" vertical="center" wrapText="1"/>
    </xf>
    <xf numFmtId="0" fontId="8" fillId="8" borderId="1" xfId="0" applyFont="1" applyFill="1" applyBorder="1" applyAlignment="1">
      <alignment horizontal="center" vertical="center" wrapText="1"/>
    </xf>
    <xf numFmtId="16" fontId="11" fillId="9" borderId="1" xfId="0" applyNumberFormat="1" applyFont="1" applyFill="1" applyBorder="1" applyAlignment="1">
      <alignment horizontal="center" vertical="center"/>
    </xf>
    <xf numFmtId="0" fontId="7" fillId="0" borderId="0" xfId="0" applyFont="1"/>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wrapText="1"/>
    </xf>
    <xf numFmtId="0" fontId="23" fillId="0" borderId="0" xfId="14" applyFont="1"/>
    <xf numFmtId="0" fontId="8" fillId="0" borderId="1" xfId="5" applyNumberFormat="1" applyFont="1" applyBorder="1" applyAlignment="1">
      <alignment vertical="center"/>
    </xf>
    <xf numFmtId="0" fontId="1" fillId="0" borderId="0" xfId="14" applyAlignment="1">
      <alignment wrapText="1"/>
    </xf>
    <xf numFmtId="0" fontId="13" fillId="7" borderId="1" xfId="0" applyFont="1" applyFill="1" applyBorder="1" applyAlignment="1">
      <alignment horizontal="center" vertical="center"/>
    </xf>
    <xf numFmtId="2" fontId="13" fillId="7" borderId="1" xfId="0" applyNumberFormat="1" applyFont="1" applyFill="1" applyBorder="1" applyAlignment="1">
      <alignment horizontal="center" vertical="center"/>
    </xf>
    <xf numFmtId="0" fontId="7" fillId="5" borderId="1" xfId="0" applyFont="1" applyFill="1" applyBorder="1" applyAlignment="1">
      <alignment horizontal="center" vertical="center"/>
    </xf>
    <xf numFmtId="0" fontId="7" fillId="0" borderId="0" xfId="14" applyFont="1"/>
    <xf numFmtId="2" fontId="10" fillId="0" borderId="1" xfId="0" applyNumberFormat="1" applyFont="1" applyBorder="1" applyAlignment="1">
      <alignment horizontal="center" vertical="center" wrapText="1"/>
    </xf>
    <xf numFmtId="166" fontId="8" fillId="5" borderId="1" xfId="6" applyNumberFormat="1" applyFont="1" applyFill="1" applyBorder="1" applyAlignment="1">
      <alignment horizontal="center" vertical="center" wrapText="1"/>
    </xf>
    <xf numFmtId="166" fontId="8" fillId="0" borderId="1" xfId="6" applyNumberFormat="1" applyFont="1" applyBorder="1" applyAlignment="1">
      <alignment horizontal="center" vertical="center"/>
    </xf>
    <xf numFmtId="169" fontId="20" fillId="0" borderId="1" xfId="15" applyFont="1" applyBorder="1" applyAlignment="1">
      <alignment horizontal="center" vertical="center" wrapText="1"/>
    </xf>
    <xf numFmtId="3" fontId="40" fillId="0" borderId="1" xfId="32" applyNumberFormat="1" applyFont="1" applyBorder="1" applyAlignment="1">
      <alignment horizontal="center" vertical="center"/>
    </xf>
    <xf numFmtId="2" fontId="19" fillId="0" borderId="1" xfId="30" applyNumberFormat="1" applyFont="1" applyBorder="1" applyAlignment="1">
      <alignment horizontal="center" vertical="center" wrapText="1"/>
    </xf>
    <xf numFmtId="3" fontId="40" fillId="0" borderId="1" xfId="32" applyNumberFormat="1" applyFont="1" applyBorder="1" applyAlignment="1">
      <alignment horizontal="center" vertical="center" wrapText="1"/>
    </xf>
    <xf numFmtId="0" fontId="19" fillId="0" borderId="1" xfId="35" applyFont="1" applyBorder="1" applyAlignment="1">
      <alignment horizontal="center" vertical="center" wrapText="1"/>
    </xf>
    <xf numFmtId="169" fontId="41" fillId="0" borderId="1" xfId="15" applyFont="1" applyBorder="1" applyAlignment="1">
      <alignment horizontal="center" vertical="center" wrapText="1"/>
    </xf>
    <xf numFmtId="0" fontId="13" fillId="0" borderId="1" xfId="2" applyFont="1" applyBorder="1" applyAlignment="1">
      <alignment horizontal="center" vertical="center" wrapText="1"/>
    </xf>
    <xf numFmtId="167" fontId="7" fillId="0" borderId="1" xfId="10" applyNumberFormat="1" applyFont="1" applyBorder="1" applyAlignment="1">
      <alignment horizontal="center" vertical="center" wrapText="1"/>
    </xf>
    <xf numFmtId="2" fontId="7" fillId="0" borderId="1" xfId="0" applyNumberFormat="1" applyFont="1" applyBorder="1" applyAlignment="1">
      <alignment horizontal="center" vertical="center"/>
    </xf>
    <xf numFmtId="1" fontId="7" fillId="0" borderId="1" xfId="6" applyNumberFormat="1" applyFont="1" applyBorder="1" applyAlignment="1">
      <alignment horizontal="center" vertical="center"/>
    </xf>
    <xf numFmtId="167" fontId="7" fillId="0" borderId="1" xfId="6" applyNumberFormat="1" applyFont="1" applyBorder="1" applyAlignment="1">
      <alignment horizontal="center" vertical="center" wrapText="1"/>
    </xf>
    <xf numFmtId="16" fontId="8" fillId="0" borderId="1" xfId="0" applyNumberFormat="1" applyFont="1" applyBorder="1" applyAlignment="1">
      <alignment vertical="center"/>
    </xf>
    <xf numFmtId="16" fontId="8" fillId="0" borderId="1" xfId="2" applyNumberFormat="1" applyFont="1" applyBorder="1" applyAlignment="1">
      <alignment horizontal="center" vertical="center"/>
    </xf>
    <xf numFmtId="14" fontId="14" fillId="0" borderId="1" xfId="0" applyNumberFormat="1" applyFont="1" applyBorder="1" applyAlignment="1">
      <alignment horizontal="center" vertical="center" wrapText="1"/>
    </xf>
    <xf numFmtId="0" fontId="14" fillId="0" borderId="1" xfId="0" applyFont="1" applyBorder="1" applyAlignment="1">
      <alignment horizontal="center" vertical="center" wrapText="1"/>
    </xf>
    <xf numFmtId="1" fontId="15" fillId="0" borderId="1" xfId="0" applyNumberFormat="1" applyFont="1" applyBorder="1" applyAlignment="1">
      <alignment horizontal="center" vertical="center" wrapText="1"/>
    </xf>
    <xf numFmtId="0" fontId="15" fillId="0" borderId="1" xfId="0" applyFont="1" applyBorder="1" applyAlignment="1">
      <alignment horizontal="center" vertical="center" wrapText="1"/>
    </xf>
    <xf numFmtId="167" fontId="15" fillId="0" borderId="1" xfId="20" applyFont="1" applyFill="1" applyBorder="1" applyAlignment="1">
      <alignment horizontal="center" vertical="center" wrapText="1"/>
    </xf>
    <xf numFmtId="0" fontId="44" fillId="0" borderId="1" xfId="0" applyFont="1" applyBorder="1" applyAlignment="1">
      <alignment horizontal="center" vertical="center"/>
    </xf>
    <xf numFmtId="0" fontId="44" fillId="0" borderId="1" xfId="0" applyFont="1" applyBorder="1" applyAlignment="1">
      <alignment horizontal="center" vertical="center" wrapText="1"/>
    </xf>
    <xf numFmtId="2" fontId="8" fillId="0" borderId="1" xfId="6" applyNumberFormat="1" applyFont="1" applyBorder="1" applyAlignment="1">
      <alignment horizontal="center" vertical="center"/>
    </xf>
    <xf numFmtId="0" fontId="7" fillId="7" borderId="1" xfId="0" applyFont="1" applyFill="1" applyBorder="1" applyAlignment="1">
      <alignment horizontal="center" vertical="center"/>
    </xf>
    <xf numFmtId="166" fontId="7" fillId="11" borderId="1" xfId="0" applyNumberFormat="1" applyFont="1" applyFill="1" applyBorder="1" applyAlignment="1">
      <alignment horizontal="center" vertical="center" wrapText="1"/>
    </xf>
    <xf numFmtId="169" fontId="43" fillId="0" borderId="1" xfId="8" applyFont="1" applyBorder="1" applyAlignment="1">
      <alignment horizontal="center" vertical="center" wrapText="1"/>
    </xf>
    <xf numFmtId="2" fontId="7" fillId="0" borderId="1" xfId="6" applyNumberFormat="1" applyFont="1" applyBorder="1" applyAlignment="1">
      <alignment horizontal="center" vertical="center" wrapText="1"/>
    </xf>
    <xf numFmtId="2" fontId="6" fillId="4"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169" fontId="14" fillId="0" borderId="1" xfId="27" applyFont="1" applyBorder="1" applyAlignment="1">
      <alignment horizontal="center" vertical="center" wrapText="1"/>
    </xf>
    <xf numFmtId="0" fontId="14" fillId="0" borderId="1" xfId="2" applyFont="1" applyBorder="1" applyAlignment="1">
      <alignment horizontal="center" vertical="center"/>
    </xf>
    <xf numFmtId="0" fontId="7" fillId="0" borderId="1" xfId="14" applyFont="1" applyBorder="1"/>
    <xf numFmtId="167" fontId="7" fillId="0" borderId="1" xfId="7" applyNumberFormat="1" applyFont="1" applyFill="1" applyBorder="1" applyAlignment="1">
      <alignment horizontal="center" vertical="center" wrapText="1"/>
    </xf>
    <xf numFmtId="167" fontId="8" fillId="6" borderId="1" xfId="6" applyNumberFormat="1" applyFont="1" applyFill="1" applyBorder="1" applyAlignment="1">
      <alignment horizontal="center" vertical="center" wrapText="1"/>
    </xf>
    <xf numFmtId="169" fontId="20" fillId="0" borderId="3" xfId="15" applyFont="1" applyBorder="1" applyAlignment="1">
      <alignment horizontal="center" vertical="center" wrapText="1"/>
    </xf>
    <xf numFmtId="0" fontId="19" fillId="0" borderId="3" xfId="35" applyFont="1" applyBorder="1" applyAlignment="1">
      <alignment horizontal="center" vertical="center" wrapText="1"/>
    </xf>
    <xf numFmtId="167" fontId="14" fillId="0" borderId="1" xfId="29" applyFont="1" applyBorder="1" applyAlignment="1">
      <alignment horizontal="center" vertical="center" wrapText="1"/>
    </xf>
    <xf numFmtId="0" fontId="41" fillId="0" borderId="1" xfId="34" applyFont="1" applyBorder="1" applyAlignment="1">
      <alignment horizontal="center" vertical="center" wrapText="1"/>
    </xf>
    <xf numFmtId="0" fontId="46" fillId="0" borderId="1" xfId="0" applyFont="1" applyBorder="1" applyAlignment="1">
      <alignment horizontal="center" vertical="center" wrapText="1"/>
    </xf>
    <xf numFmtId="0" fontId="47" fillId="0" borderId="1" xfId="34" applyFont="1" applyBorder="1" applyAlignment="1">
      <alignment horizontal="center" vertical="center" wrapText="1"/>
    </xf>
    <xf numFmtId="2" fontId="41" fillId="0" borderId="1" xfId="34" applyNumberFormat="1" applyFont="1" applyBorder="1" applyAlignment="1">
      <alignment horizontal="center" vertical="center"/>
    </xf>
    <xf numFmtId="2" fontId="47" fillId="0" borderId="1" xfId="34" applyNumberFormat="1" applyFont="1" applyBorder="1" applyAlignment="1">
      <alignment horizontal="center" vertical="center"/>
    </xf>
    <xf numFmtId="0" fontId="41" fillId="0" borderId="1" xfId="34" applyFont="1" applyBorder="1" applyAlignment="1">
      <alignment horizontal="center" vertical="center"/>
    </xf>
    <xf numFmtId="0" fontId="47" fillId="0" borderId="1" xfId="34" applyFont="1" applyBorder="1" applyAlignment="1">
      <alignment horizontal="center" vertical="center"/>
    </xf>
    <xf numFmtId="167" fontId="48" fillId="0" borderId="1" xfId="25" applyNumberFormat="1" applyFont="1" applyFill="1" applyBorder="1" applyAlignment="1">
      <alignment horizontal="center" vertical="center"/>
    </xf>
    <xf numFmtId="167" fontId="48" fillId="0" borderId="1" xfId="25" applyNumberFormat="1" applyFont="1" applyFill="1" applyBorder="1" applyAlignment="1">
      <alignment horizontal="center" vertical="center" wrapText="1"/>
    </xf>
    <xf numFmtId="0" fontId="48" fillId="6" borderId="1" xfId="25" applyFont="1" applyFill="1" applyBorder="1" applyAlignment="1">
      <alignment horizontal="center" vertical="center"/>
    </xf>
    <xf numFmtId="169" fontId="15" fillId="0" borderId="1" xfId="15" applyFont="1" applyBorder="1" applyAlignment="1">
      <alignment horizontal="center" vertical="center" wrapText="1"/>
    </xf>
    <xf numFmtId="3" fontId="49" fillId="0" borderId="1" xfId="32" applyNumberFormat="1" applyFont="1" applyBorder="1" applyAlignment="1">
      <alignment horizontal="center" vertical="center" wrapText="1"/>
    </xf>
    <xf numFmtId="8" fontId="14" fillId="0" borderId="1" xfId="30" applyNumberFormat="1" applyFont="1" applyBorder="1" applyAlignment="1">
      <alignment horizontal="center" vertical="center" wrapText="1"/>
    </xf>
    <xf numFmtId="0" fontId="14" fillId="0" borderId="1" xfId="6" applyFont="1" applyBorder="1" applyAlignment="1">
      <alignment horizontal="center" vertical="center"/>
    </xf>
    <xf numFmtId="0" fontId="14" fillId="0" borderId="1" xfId="6" applyFont="1" applyBorder="1" applyAlignment="1">
      <alignment horizontal="center" vertical="center" wrapText="1"/>
    </xf>
    <xf numFmtId="0" fontId="14" fillId="0" borderId="1" xfId="37" applyFont="1" applyBorder="1" applyAlignment="1" applyProtection="1">
      <alignment horizontal="center" vertical="center" wrapText="1"/>
    </xf>
    <xf numFmtId="0" fontId="49" fillId="0" borderId="1" xfId="34" applyFont="1" applyBorder="1" applyAlignment="1">
      <alignment horizontal="center" vertical="center" wrapText="1"/>
    </xf>
    <xf numFmtId="167" fontId="44" fillId="0" borderId="1" xfId="34" applyNumberFormat="1" applyFont="1" applyBorder="1" applyAlignment="1">
      <alignment horizontal="center" vertical="center" wrapText="1"/>
    </xf>
    <xf numFmtId="1" fontId="22" fillId="0" borderId="1" xfId="30" applyNumberFormat="1" applyFont="1" applyBorder="1" applyAlignment="1">
      <alignment horizontal="center" vertical="center" wrapText="1"/>
    </xf>
    <xf numFmtId="38" fontId="41" fillId="0" borderId="1" xfId="34" applyNumberFormat="1" applyFont="1" applyBorder="1" applyAlignment="1">
      <alignment horizontal="center" vertical="center"/>
    </xf>
    <xf numFmtId="0" fontId="42" fillId="0" borderId="1" xfId="35" applyFont="1" applyBorder="1" applyAlignment="1">
      <alignment horizontal="center" vertical="center" wrapText="1"/>
    </xf>
    <xf numFmtId="0" fontId="50" fillId="0" borderId="1" xfId="0" applyFont="1" applyBorder="1" applyAlignment="1">
      <alignment horizontal="center" vertical="center"/>
    </xf>
    <xf numFmtId="0" fontId="15" fillId="0" borderId="0" xfId="14" applyFont="1" applyAlignment="1">
      <alignment horizontal="center" vertical="center"/>
    </xf>
    <xf numFmtId="16" fontId="15" fillId="0" borderId="1" xfId="14" applyNumberFormat="1" applyFont="1" applyBorder="1" applyAlignment="1">
      <alignment horizontal="center" vertical="center"/>
    </xf>
    <xf numFmtId="0" fontId="15" fillId="0" borderId="1" xfId="14" applyFont="1" applyBorder="1" applyAlignment="1">
      <alignment horizontal="center" vertical="center"/>
    </xf>
    <xf numFmtId="0" fontId="14" fillId="0" borderId="1" xfId="37" applyFont="1" applyFill="1" applyBorder="1" applyAlignment="1" applyProtection="1">
      <alignment horizontal="center" vertical="center" wrapText="1"/>
    </xf>
    <xf numFmtId="0" fontId="49" fillId="0" borderId="1" xfId="0" applyFont="1" applyBorder="1" applyAlignment="1">
      <alignment horizontal="center" vertical="center" wrapText="1"/>
    </xf>
    <xf numFmtId="167" fontId="44" fillId="0" borderId="4" xfId="0" applyNumberFormat="1" applyFont="1" applyBorder="1" applyAlignment="1">
      <alignment horizontal="center" vertical="center" wrapText="1"/>
    </xf>
    <xf numFmtId="0" fontId="15" fillId="0" borderId="1" xfId="14" applyFont="1" applyBorder="1" applyAlignment="1">
      <alignment horizontal="center" vertical="center" wrapText="1"/>
    </xf>
    <xf numFmtId="0" fontId="15" fillId="0" borderId="4" xfId="14" applyFont="1" applyBorder="1" applyAlignment="1">
      <alignment horizontal="center" vertical="center" wrapText="1"/>
    </xf>
    <xf numFmtId="2" fontId="15" fillId="0" borderId="1" xfId="14" applyNumberFormat="1" applyFont="1" applyBorder="1" applyAlignment="1">
      <alignment horizontal="center" vertical="center"/>
    </xf>
    <xf numFmtId="0" fontId="14" fillId="0" borderId="3" xfId="6" applyFont="1" applyBorder="1" applyAlignment="1">
      <alignment horizontal="center" vertical="center" wrapText="1"/>
    </xf>
    <xf numFmtId="0" fontId="14" fillId="0" borderId="3" xfId="37" applyFont="1" applyFill="1" applyBorder="1" applyAlignment="1" applyProtection="1">
      <alignment horizontal="center" vertical="center" wrapText="1"/>
    </xf>
    <xf numFmtId="167" fontId="44" fillId="0" borderId="1" xfId="0" applyNumberFormat="1" applyFont="1" applyBorder="1" applyAlignment="1">
      <alignment horizontal="center" vertical="center" wrapText="1"/>
    </xf>
    <xf numFmtId="0" fontId="15" fillId="0" borderId="3" xfId="14" applyFont="1" applyBorder="1" applyAlignment="1">
      <alignment horizontal="center" vertical="center" wrapText="1"/>
    </xf>
    <xf numFmtId="0" fontId="15" fillId="0" borderId="3" xfId="14" applyFont="1" applyBorder="1" applyAlignment="1">
      <alignment horizontal="center" vertical="center"/>
    </xf>
    <xf numFmtId="8" fontId="15" fillId="0" borderId="1" xfId="14" applyNumberFormat="1" applyFont="1" applyBorder="1" applyAlignment="1">
      <alignment horizontal="center" vertical="center"/>
    </xf>
    <xf numFmtId="0" fontId="14" fillId="5" borderId="1" xfId="2" applyFont="1" applyFill="1" applyBorder="1" applyAlignment="1">
      <alignment horizontal="center" vertical="center" wrapText="1"/>
    </xf>
    <xf numFmtId="0" fontId="52" fillId="0" borderId="1" xfId="28" applyFont="1" applyBorder="1" applyAlignment="1">
      <alignment horizontal="center" vertical="center" wrapText="1"/>
    </xf>
    <xf numFmtId="0" fontId="15" fillId="0" borderId="1" xfId="2" applyFont="1" applyBorder="1" applyAlignment="1">
      <alignment horizontal="center" vertical="center" wrapText="1"/>
    </xf>
    <xf numFmtId="173" fontId="14" fillId="0" borderId="1" xfId="31" applyNumberFormat="1" applyFont="1" applyFill="1" applyBorder="1" applyAlignment="1">
      <alignment horizontal="center" vertical="center" wrapText="1"/>
    </xf>
    <xf numFmtId="0" fontId="53" fillId="0" borderId="1" xfId="2" applyFont="1" applyBorder="1" applyAlignment="1">
      <alignment horizontal="center" vertical="center" wrapText="1"/>
    </xf>
    <xf numFmtId="173" fontId="52" fillId="0" borderId="1" xfId="31" applyNumberFormat="1" applyFont="1" applyFill="1" applyBorder="1" applyAlignment="1">
      <alignment horizontal="center" vertical="center" wrapText="1"/>
    </xf>
    <xf numFmtId="0" fontId="44" fillId="0" borderId="1" xfId="6" applyFont="1" applyBorder="1" applyAlignment="1">
      <alignment horizontal="center" vertical="center" wrapText="1"/>
    </xf>
    <xf numFmtId="0" fontId="44" fillId="0" borderId="1" xfId="37" applyFont="1" applyFill="1" applyBorder="1" applyAlignment="1" applyProtection="1">
      <alignment horizontal="center" vertical="center" wrapText="1"/>
    </xf>
    <xf numFmtId="0" fontId="44" fillId="0" borderId="1" xfId="40" applyFont="1" applyFill="1" applyBorder="1" applyAlignment="1" applyProtection="1">
      <alignment horizontal="center" vertical="center" wrapText="1"/>
    </xf>
    <xf numFmtId="3" fontId="15" fillId="0" borderId="1" xfId="32" applyNumberFormat="1" applyFont="1" applyBorder="1" applyAlignment="1">
      <alignment horizontal="center" vertical="center" wrapText="1"/>
    </xf>
    <xf numFmtId="8" fontId="15" fillId="0" borderId="1" xfId="30" applyNumberFormat="1" applyFont="1" applyBorder="1" applyAlignment="1">
      <alignment horizontal="center" vertical="center" wrapText="1"/>
    </xf>
    <xf numFmtId="167" fontId="15" fillId="0" borderId="1" xfId="7" applyNumberFormat="1" applyFont="1" applyFill="1" applyBorder="1" applyAlignment="1">
      <alignment horizontal="center" vertical="center" wrapText="1"/>
    </xf>
    <xf numFmtId="167" fontId="15" fillId="6" borderId="1" xfId="10" applyNumberFormat="1" applyFont="1" applyFill="1" applyBorder="1" applyAlignment="1">
      <alignment horizontal="center" vertical="center" wrapText="1"/>
    </xf>
    <xf numFmtId="169" fontId="14" fillId="0" borderId="1" xfId="15" applyFont="1" applyBorder="1" applyAlignment="1">
      <alignment horizontal="center" vertical="center" wrapText="1"/>
    </xf>
    <xf numFmtId="0" fontId="14" fillId="0" borderId="1" xfId="30" applyFont="1" applyBorder="1" applyAlignment="1">
      <alignment horizontal="center" vertical="center" wrapText="1"/>
    </xf>
    <xf numFmtId="167" fontId="14" fillId="6" borderId="1" xfId="2" applyNumberFormat="1" applyFont="1" applyFill="1" applyBorder="1" applyAlignment="1">
      <alignment horizontal="center" vertical="center" wrapText="1"/>
    </xf>
    <xf numFmtId="3" fontId="49" fillId="0" borderId="1" xfId="32" applyNumberFormat="1" applyFont="1" applyBorder="1" applyAlignment="1">
      <alignment horizontal="center" vertical="center"/>
    </xf>
    <xf numFmtId="2" fontId="54" fillId="0" borderId="1" xfId="30" applyNumberFormat="1" applyFont="1" applyBorder="1" applyAlignment="1">
      <alignment horizontal="center" vertical="center" wrapText="1"/>
    </xf>
    <xf numFmtId="0" fontId="55" fillId="0" borderId="1" xfId="30" applyFont="1" applyBorder="1" applyAlignment="1">
      <alignment horizontal="center" vertical="center" wrapText="1"/>
    </xf>
    <xf numFmtId="167" fontId="14" fillId="0" borderId="1" xfId="12" applyNumberFormat="1" applyFont="1" applyFill="1" applyBorder="1" applyAlignment="1">
      <alignment horizontal="center" vertical="center" wrapText="1"/>
    </xf>
    <xf numFmtId="167" fontId="14" fillId="0" borderId="1" xfId="29" applyFont="1" applyFill="1" applyBorder="1" applyAlignment="1">
      <alignment horizontal="center" vertical="center" wrapText="1"/>
    </xf>
    <xf numFmtId="0" fontId="15" fillId="0" borderId="1" xfId="108" applyFont="1" applyBorder="1" applyAlignment="1">
      <alignment horizontal="center" vertical="center"/>
    </xf>
    <xf numFmtId="2" fontId="15" fillId="0" borderId="1" xfId="108" applyNumberFormat="1" applyFont="1" applyBorder="1" applyAlignment="1">
      <alignment horizontal="center" vertical="center"/>
    </xf>
    <xf numFmtId="173" fontId="54" fillId="0" borderId="1" xfId="31" applyNumberFormat="1" applyFont="1" applyFill="1" applyBorder="1" applyAlignment="1">
      <alignment horizontal="center" vertical="center" wrapText="1"/>
    </xf>
    <xf numFmtId="173" fontId="56" fillId="0" borderId="1" xfId="31"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xf>
    <xf numFmtId="167" fontId="14" fillId="0"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wrapText="1"/>
    </xf>
    <xf numFmtId="167" fontId="14" fillId="6" borderId="1" xfId="25" applyNumberFormat="1" applyFont="1" applyFill="1" applyBorder="1" applyAlignment="1">
      <alignment horizontal="center" vertical="center"/>
    </xf>
    <xf numFmtId="2" fontId="54" fillId="0" borderId="1" xfId="9" applyNumberFormat="1" applyFont="1" applyFill="1" applyBorder="1" applyAlignment="1">
      <alignment horizontal="center" vertical="center" wrapText="1"/>
    </xf>
    <xf numFmtId="167" fontId="53" fillId="5" borderId="1" xfId="25" applyNumberFormat="1" applyFont="1" applyFill="1" applyBorder="1" applyAlignment="1">
      <alignment horizontal="center" vertical="center" wrapText="1"/>
    </xf>
    <xf numFmtId="167" fontId="54" fillId="0" borderId="1" xfId="25" applyNumberFormat="1" applyFont="1" applyFill="1" applyBorder="1" applyAlignment="1">
      <alignment horizontal="center" vertical="center" wrapText="1"/>
    </xf>
    <xf numFmtId="167" fontId="14" fillId="5" borderId="1" xfId="25" applyNumberFormat="1" applyFont="1" applyFill="1" applyBorder="1" applyAlignment="1">
      <alignment horizontal="center" vertical="center" wrapText="1"/>
    </xf>
    <xf numFmtId="3" fontId="14" fillId="5" borderId="1" xfId="25" applyNumberFormat="1" applyFont="1" applyFill="1" applyBorder="1" applyAlignment="1">
      <alignment horizontal="center" vertical="center" wrapText="1"/>
    </xf>
    <xf numFmtId="173" fontId="57" fillId="0" borderId="1" xfId="9" applyNumberFormat="1" applyFont="1" applyFill="1" applyBorder="1" applyAlignment="1">
      <alignment horizontal="center" vertical="center"/>
    </xf>
    <xf numFmtId="0" fontId="58" fillId="0" borderId="1" xfId="0" applyFont="1" applyBorder="1" applyAlignment="1">
      <alignment horizontal="center" vertical="center"/>
    </xf>
    <xf numFmtId="167" fontId="14" fillId="0" borderId="1" xfId="0" applyNumberFormat="1" applyFont="1" applyBorder="1" applyAlignment="1">
      <alignment horizontal="center" vertical="center" wrapText="1"/>
    </xf>
    <xf numFmtId="0" fontId="14" fillId="0" borderId="1" xfId="0" applyFont="1" applyBorder="1" applyAlignment="1">
      <alignment horizontal="center" vertical="center"/>
    </xf>
    <xf numFmtId="167" fontId="12" fillId="0" borderId="1" xfId="100" applyFont="1" applyBorder="1" applyAlignment="1">
      <alignment horizontal="center" vertical="center" wrapText="1"/>
    </xf>
    <xf numFmtId="167" fontId="44" fillId="6" borderId="1" xfId="2" applyNumberFormat="1" applyFont="1" applyFill="1" applyBorder="1" applyAlignment="1">
      <alignment horizontal="center" vertical="center" wrapText="1"/>
    </xf>
    <xf numFmtId="167" fontId="14" fillId="0" borderId="1" xfId="25" applyNumberFormat="1" applyFont="1" applyFill="1" applyBorder="1" applyAlignment="1">
      <alignment horizontal="center" vertical="center"/>
    </xf>
    <xf numFmtId="4" fontId="54" fillId="0" borderId="1" xfId="9" applyNumberFormat="1" applyFont="1" applyFill="1" applyBorder="1" applyAlignment="1">
      <alignment horizontal="center" vertical="center"/>
    </xf>
    <xf numFmtId="0" fontId="14" fillId="0" borderId="1" xfId="13" applyFont="1" applyBorder="1" applyAlignment="1">
      <alignment horizontal="center" vertical="center"/>
    </xf>
    <xf numFmtId="173" fontId="53" fillId="0" borderId="1" xfId="31" applyNumberFormat="1" applyFont="1" applyFill="1" applyBorder="1" applyAlignment="1">
      <alignment horizontal="center" vertical="center" wrapText="1"/>
    </xf>
    <xf numFmtId="0" fontId="49" fillId="0" borderId="1" xfId="32" applyFont="1" applyBorder="1" applyAlignment="1">
      <alignment horizontal="center" vertical="center" wrapText="1"/>
    </xf>
    <xf numFmtId="0" fontId="45" fillId="0" borderId="1" xfId="6" applyFont="1" applyBorder="1" applyAlignment="1">
      <alignment horizontal="center" vertical="center" wrapText="1"/>
    </xf>
    <xf numFmtId="0" fontId="15" fillId="5" borderId="1" xfId="2" applyFont="1" applyFill="1" applyBorder="1" applyAlignment="1">
      <alignment horizontal="center" vertical="center" wrapText="1"/>
    </xf>
    <xf numFmtId="173" fontId="52" fillId="5" borderId="1" xfId="31" applyNumberFormat="1" applyFont="1" applyFill="1" applyBorder="1" applyAlignment="1">
      <alignment horizontal="center" vertical="center" wrapText="1"/>
    </xf>
    <xf numFmtId="0" fontId="59" fillId="0" borderId="1" xfId="11" applyFont="1" applyBorder="1" applyAlignment="1">
      <alignment horizontal="center" vertical="center"/>
    </xf>
    <xf numFmtId="0" fontId="44" fillId="0" borderId="1" xfId="11" applyFont="1" applyBorder="1" applyAlignment="1">
      <alignment horizontal="center" vertical="center" wrapText="1"/>
    </xf>
    <xf numFmtId="0" fontId="14" fillId="5" borderId="1" xfId="11" applyFont="1" applyFill="1" applyBorder="1" applyAlignment="1">
      <alignment horizontal="center" vertical="center" wrapText="1"/>
    </xf>
    <xf numFmtId="173" fontId="52" fillId="0" borderId="1" xfId="11" applyNumberFormat="1" applyFont="1" applyBorder="1" applyAlignment="1">
      <alignment horizontal="center" vertical="center" wrapText="1"/>
    </xf>
    <xf numFmtId="0" fontId="53" fillId="0" borderId="1" xfId="11" applyFont="1" applyBorder="1" applyAlignment="1">
      <alignment horizontal="center" vertical="center" wrapText="1"/>
    </xf>
    <xf numFmtId="173" fontId="14" fillId="0" borderId="1" xfId="11" applyNumberFormat="1" applyFont="1" applyBorder="1" applyAlignment="1">
      <alignment horizontal="center" vertical="center" wrapText="1"/>
    </xf>
    <xf numFmtId="0" fontId="54" fillId="0" borderId="1" xfId="11" applyFont="1" applyBorder="1" applyAlignment="1">
      <alignment horizontal="center" vertical="center" wrapText="1"/>
    </xf>
    <xf numFmtId="0" fontId="15" fillId="0" borderId="0" xfId="14" applyFont="1" applyAlignment="1">
      <alignment horizontal="center" vertical="center" wrapText="1"/>
    </xf>
    <xf numFmtId="169" fontId="60" fillId="2" borderId="1" xfId="27" applyFont="1" applyFill="1" applyBorder="1" applyAlignment="1">
      <alignment horizontal="center" vertical="center" wrapText="1"/>
    </xf>
    <xf numFmtId="169" fontId="61" fillId="2" borderId="1" xfId="27" applyFont="1" applyFill="1" applyBorder="1" applyAlignment="1">
      <alignment horizontal="center" vertical="center" wrapText="1"/>
    </xf>
    <xf numFmtId="169" fontId="61" fillId="2" borderId="2" xfId="27" applyFont="1" applyFill="1" applyBorder="1" applyAlignment="1">
      <alignment horizontal="center" vertical="center" wrapText="1"/>
    </xf>
    <xf numFmtId="0" fontId="60" fillId="0" borderId="0" xfId="14" applyFont="1" applyAlignment="1">
      <alignment horizontal="center" vertical="center"/>
    </xf>
    <xf numFmtId="167" fontId="7" fillId="12" borderId="1" xfId="0" applyNumberFormat="1" applyFont="1" applyFill="1" applyBorder="1" applyAlignment="1">
      <alignment horizontal="center" vertical="center" wrapText="1"/>
    </xf>
    <xf numFmtId="0" fontId="10" fillId="0" borderId="1" xfId="2" applyFont="1" applyBorder="1" applyAlignment="1">
      <alignment horizontal="center" vertical="center" wrapText="1"/>
    </xf>
    <xf numFmtId="167" fontId="8" fillId="0" borderId="1" xfId="12" applyNumberFormat="1" applyFont="1" applyFill="1" applyBorder="1" applyAlignment="1">
      <alignment horizontal="center" vertical="center" wrapText="1"/>
    </xf>
    <xf numFmtId="0" fontId="64" fillId="0" borderId="0" xfId="14" applyFont="1"/>
    <xf numFmtId="169" fontId="65" fillId="0" borderId="1" xfId="27" applyFont="1" applyBorder="1" applyAlignment="1">
      <alignment horizontal="center" vertical="center" wrapText="1"/>
    </xf>
    <xf numFmtId="0" fontId="65" fillId="0" borderId="1" xfId="2" applyFont="1" applyBorder="1" applyAlignment="1">
      <alignment horizontal="center" vertical="center"/>
    </xf>
    <xf numFmtId="49" fontId="65" fillId="0" borderId="1" xfId="27" applyNumberFormat="1" applyFont="1" applyBorder="1" applyAlignment="1">
      <alignment horizontal="center" vertical="center" wrapText="1"/>
    </xf>
    <xf numFmtId="167" fontId="66" fillId="0" borderId="1" xfId="27" applyNumberFormat="1" applyFont="1" applyBorder="1" applyAlignment="1">
      <alignment horizontal="center" vertical="center" wrapText="1"/>
    </xf>
    <xf numFmtId="1" fontId="65" fillId="0" borderId="1" xfId="27" applyNumberFormat="1" applyFont="1" applyBorder="1" applyAlignment="1">
      <alignment horizontal="center" vertical="center"/>
    </xf>
    <xf numFmtId="0" fontId="66" fillId="0" borderId="1" xfId="2" applyFont="1" applyBorder="1" applyAlignment="1">
      <alignment horizontal="center" vertical="center" wrapText="1"/>
    </xf>
    <xf numFmtId="167" fontId="66" fillId="0" borderId="1" xfId="10" applyNumberFormat="1" applyFont="1" applyBorder="1" applyAlignment="1">
      <alignment horizontal="center" vertical="center" wrapText="1"/>
    </xf>
    <xf numFmtId="169" fontId="66" fillId="0" borderId="1" xfId="27" applyFont="1" applyBorder="1" applyAlignment="1">
      <alignment horizontal="center" vertical="center" wrapText="1"/>
    </xf>
    <xf numFmtId="169" fontId="8" fillId="0" borderId="0" xfId="27" applyFont="1" applyAlignment="1">
      <alignment vertical="center" wrapText="1"/>
    </xf>
    <xf numFmtId="169" fontId="67" fillId="0" borderId="1" xfId="27" applyFont="1" applyBorder="1" applyAlignment="1">
      <alignment horizontal="center" vertical="center" wrapText="1"/>
    </xf>
    <xf numFmtId="49" fontId="67" fillId="0" borderId="1" xfId="27" applyNumberFormat="1" applyFont="1" applyBorder="1" applyAlignment="1">
      <alignment horizontal="center" vertical="center" wrapText="1"/>
    </xf>
    <xf numFmtId="167" fontId="64" fillId="0" borderId="1" xfId="27" applyNumberFormat="1" applyFont="1" applyBorder="1" applyAlignment="1">
      <alignment horizontal="center" vertical="center" wrapText="1"/>
    </xf>
    <xf numFmtId="1" fontId="67" fillId="0" borderId="1" xfId="27" applyNumberFormat="1" applyFont="1" applyBorder="1" applyAlignment="1">
      <alignment horizontal="center" vertical="center"/>
    </xf>
    <xf numFmtId="0" fontId="64" fillId="0" borderId="1" xfId="2" applyFont="1" applyBorder="1" applyAlignment="1">
      <alignment horizontal="center" vertical="center" wrapText="1"/>
    </xf>
    <xf numFmtId="167" fontId="64" fillId="0" borderId="1" xfId="10" applyNumberFormat="1" applyFont="1" applyBorder="1" applyAlignment="1">
      <alignment horizontal="center" vertical="center" wrapText="1"/>
    </xf>
    <xf numFmtId="169" fontId="64" fillId="0" borderId="1" xfId="27" applyFont="1" applyBorder="1" applyAlignment="1">
      <alignment horizontal="center" vertical="center" wrapText="1"/>
    </xf>
    <xf numFmtId="169" fontId="67" fillId="0" borderId="0" xfId="27" applyFont="1" applyAlignment="1">
      <alignment vertical="center" wrapText="1"/>
    </xf>
    <xf numFmtId="169" fontId="8" fillId="0" borderId="1" xfId="27" applyFont="1" applyBorder="1" applyAlignment="1">
      <alignment horizontal="center" vertical="center" wrapText="1"/>
    </xf>
    <xf numFmtId="49" fontId="8" fillId="0" borderId="1" xfId="27" applyNumberFormat="1" applyFont="1" applyBorder="1" applyAlignment="1">
      <alignment horizontal="center" vertical="center" wrapText="1"/>
    </xf>
    <xf numFmtId="167" fontId="7" fillId="0" borderId="1" xfId="27" applyNumberFormat="1" applyFont="1" applyBorder="1" applyAlignment="1">
      <alignment horizontal="center" vertical="center" wrapText="1"/>
    </xf>
    <xf numFmtId="1" fontId="8" fillId="0" borderId="1" xfId="27" applyNumberFormat="1" applyFont="1" applyBorder="1" applyAlignment="1">
      <alignment horizontal="center" vertical="center"/>
    </xf>
    <xf numFmtId="169" fontId="7" fillId="0" borderId="1" xfId="27" applyFont="1" applyBorder="1" applyAlignment="1">
      <alignment horizontal="center" vertical="center" wrapText="1"/>
    </xf>
    <xf numFmtId="169" fontId="8" fillId="0" borderId="5" xfId="27" applyFont="1" applyBorder="1" applyAlignment="1">
      <alignment horizontal="center" vertical="center" wrapText="1"/>
    </xf>
    <xf numFmtId="1" fontId="7" fillId="0" borderId="1" xfId="27" applyNumberFormat="1" applyFont="1" applyBorder="1" applyAlignment="1">
      <alignment horizontal="center" vertical="center" wrapText="1"/>
    </xf>
    <xf numFmtId="167" fontId="7" fillId="6" borderId="1" xfId="10" applyNumberFormat="1" applyFont="1" applyFill="1" applyBorder="1" applyAlignment="1">
      <alignment horizontal="center" vertical="center" wrapText="1"/>
    </xf>
    <xf numFmtId="167" fontId="10" fillId="0" borderId="1" xfId="91" applyFont="1" applyBorder="1" applyAlignment="1">
      <alignment horizontal="center" vertical="center" wrapText="1"/>
    </xf>
    <xf numFmtId="0" fontId="10" fillId="5" borderId="1" xfId="2" applyFont="1" applyFill="1" applyBorder="1" applyAlignment="1">
      <alignment horizontal="center" vertical="center" wrapText="1"/>
    </xf>
    <xf numFmtId="169" fontId="13" fillId="0" borderId="1" xfId="27" applyFont="1" applyBorder="1" applyAlignment="1">
      <alignment horizontal="center" vertical="center" wrapText="1"/>
    </xf>
    <xf numFmtId="0" fontId="68" fillId="0" borderId="1" xfId="0" applyFont="1" applyBorder="1" applyAlignment="1">
      <alignment horizontal="center" vertical="center" wrapText="1"/>
    </xf>
    <xf numFmtId="0" fontId="64" fillId="0" borderId="1" xfId="0" applyFont="1" applyBorder="1" applyAlignment="1">
      <alignment horizontal="center" vertical="center"/>
    </xf>
    <xf numFmtId="0" fontId="64" fillId="0" borderId="1" xfId="0" applyFont="1" applyBorder="1" applyAlignment="1">
      <alignment horizontal="center" vertical="center" wrapText="1"/>
    </xf>
    <xf numFmtId="0" fontId="64" fillId="0" borderId="0" xfId="0" applyFont="1" applyAlignment="1">
      <alignment horizontal="center" vertical="center" wrapText="1"/>
    </xf>
    <xf numFmtId="14" fontId="8" fillId="0" borderId="1" xfId="0" applyNumberFormat="1" applyFont="1" applyBorder="1" applyAlignment="1">
      <alignment horizontal="center" vertical="center" wrapText="1"/>
    </xf>
    <xf numFmtId="167" fontId="7" fillId="0" borderId="1" xfId="20" applyFont="1" applyFill="1" applyBorder="1" applyAlignment="1">
      <alignment horizontal="center" vertical="center" wrapText="1"/>
    </xf>
    <xf numFmtId="0" fontId="64" fillId="0" borderId="1" xfId="14" applyFont="1" applyBorder="1"/>
    <xf numFmtId="0" fontId="42" fillId="0" borderId="1" xfId="0" applyFont="1" applyBorder="1" applyAlignment="1">
      <alignment horizontal="center" vertical="center" wrapText="1"/>
    </xf>
    <xf numFmtId="166" fontId="14" fillId="0" borderId="1" xfId="0" applyNumberFormat="1" applyFont="1" applyBorder="1" applyAlignment="1">
      <alignment horizontal="center" vertical="center" wrapText="1"/>
    </xf>
    <xf numFmtId="169" fontId="54" fillId="0" borderId="0" xfId="27" applyFont="1" applyAlignment="1">
      <alignment horizontal="center" vertical="center" wrapText="1"/>
    </xf>
    <xf numFmtId="0" fontId="72" fillId="0" borderId="1" xfId="28" applyFont="1" applyBorder="1" applyAlignment="1">
      <alignment horizontal="center" vertical="center" wrapText="1"/>
    </xf>
    <xf numFmtId="0" fontId="8" fillId="0" borderId="1" xfId="28" applyFont="1" applyBorder="1" applyAlignment="1">
      <alignment horizontal="center" vertical="center" wrapText="1"/>
    </xf>
    <xf numFmtId="0" fontId="70" fillId="0" borderId="1" xfId="2" applyFont="1" applyBorder="1" applyAlignment="1">
      <alignment horizontal="center" vertical="center" wrapText="1"/>
    </xf>
    <xf numFmtId="0" fontId="14" fillId="0" borderId="1" xfId="28" applyFont="1" applyBorder="1" applyAlignment="1">
      <alignment horizontal="center" vertical="center" wrapText="1"/>
    </xf>
    <xf numFmtId="173" fontId="71" fillId="0" borderId="1" xfId="31" applyNumberFormat="1" applyFont="1" applyFill="1" applyBorder="1" applyAlignment="1">
      <alignment horizontal="center" vertical="center" wrapText="1"/>
    </xf>
    <xf numFmtId="0" fontId="14" fillId="45" borderId="1" xfId="28" applyFont="1" applyFill="1" applyBorder="1" applyAlignment="1">
      <alignment horizontal="center" vertical="center" wrapText="1"/>
    </xf>
    <xf numFmtId="173" fontId="71" fillId="5" borderId="1" xfId="31" applyNumberFormat="1" applyFont="1" applyFill="1" applyBorder="1" applyAlignment="1">
      <alignment horizontal="center" vertical="center" wrapText="1"/>
    </xf>
    <xf numFmtId="0" fontId="71" fillId="5" borderId="1" xfId="2" applyFont="1" applyFill="1" applyBorder="1" applyAlignment="1">
      <alignment horizontal="center" vertical="center" wrapText="1"/>
    </xf>
    <xf numFmtId="0" fontId="72" fillId="5" borderId="1" xfId="2" applyFont="1" applyFill="1" applyBorder="1" applyAlignment="1">
      <alignment horizontal="center" vertical="center" wrapText="1"/>
    </xf>
    <xf numFmtId="0" fontId="71" fillId="0" borderId="1" xfId="28" applyFont="1" applyBorder="1" applyAlignment="1">
      <alignment horizontal="center" vertical="center" wrapText="1"/>
    </xf>
    <xf numFmtId="0" fontId="50" fillId="0" borderId="1" xfId="0" applyFont="1" applyBorder="1" applyAlignment="1">
      <alignment horizontal="center" vertical="center" wrapText="1"/>
    </xf>
    <xf numFmtId="0" fontId="7" fillId="0" borderId="1" xfId="0" applyFont="1" applyBorder="1"/>
    <xf numFmtId="0" fontId="8" fillId="11" borderId="1" xfId="0" applyFont="1" applyFill="1" applyBorder="1" applyAlignment="1">
      <alignment horizontal="center" vertical="center" wrapText="1"/>
    </xf>
    <xf numFmtId="2" fontId="10" fillId="10" borderId="1" xfId="0" applyNumberFormat="1" applyFont="1" applyFill="1" applyBorder="1" applyAlignment="1">
      <alignment horizontal="center" vertical="center" wrapText="1"/>
    </xf>
    <xf numFmtId="4" fontId="8" fillId="10" borderId="1" xfId="0" applyNumberFormat="1" applyFont="1" applyFill="1" applyBorder="1" applyAlignment="1">
      <alignment horizontal="center" vertical="center"/>
    </xf>
    <xf numFmtId="1" fontId="8" fillId="10" borderId="1" xfId="0" applyNumberFormat="1" applyFont="1" applyFill="1" applyBorder="1" applyAlignment="1">
      <alignment horizontal="center" vertical="center" wrapText="1"/>
    </xf>
    <xf numFmtId="170" fontId="8"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center" vertical="center"/>
    </xf>
    <xf numFmtId="2" fontId="8" fillId="10" borderId="1" xfId="0" applyNumberFormat="1" applyFont="1" applyFill="1" applyBorder="1" applyAlignment="1">
      <alignment horizontal="center" vertical="center" wrapText="1"/>
    </xf>
    <xf numFmtId="0" fontId="8" fillId="5" borderId="1" xfId="2" applyFont="1" applyFill="1" applyBorder="1" applyAlignment="1">
      <alignment horizontal="center" vertical="center" wrapText="1"/>
    </xf>
    <xf numFmtId="174" fontId="64" fillId="0" borderId="0" xfId="14" applyNumberFormat="1" applyFont="1"/>
    <xf numFmtId="0" fontId="8" fillId="5" borderId="1" xfId="5" applyNumberFormat="1" applyFont="1" applyFill="1" applyBorder="1" applyAlignment="1">
      <alignment vertical="center"/>
    </xf>
    <xf numFmtId="0" fontId="51" fillId="0" borderId="1" xfId="0" applyFont="1" applyBorder="1" applyAlignment="1">
      <alignment horizontal="center" vertical="center" wrapText="1"/>
    </xf>
    <xf numFmtId="0" fontId="73" fillId="9" borderId="1" xfId="0" applyFont="1" applyFill="1" applyBorder="1" applyAlignment="1">
      <alignment horizontal="center" vertical="center" wrapText="1"/>
    </xf>
    <xf numFmtId="0" fontId="43" fillId="9" borderId="1" xfId="14" applyFont="1" applyFill="1" applyBorder="1" applyAlignment="1">
      <alignment horizontal="center" vertical="center"/>
    </xf>
    <xf numFmtId="4" fontId="8" fillId="9" borderId="1" xfId="0" applyNumberFormat="1" applyFont="1" applyFill="1" applyBorder="1" applyAlignment="1">
      <alignment horizontal="center" vertical="center"/>
    </xf>
    <xf numFmtId="1" fontId="8" fillId="9" borderId="1" xfId="0" applyNumberFormat="1" applyFont="1" applyFill="1" applyBorder="1" applyAlignment="1">
      <alignment horizontal="center" vertical="center"/>
    </xf>
    <xf numFmtId="2" fontId="8" fillId="9" borderId="1" xfId="0" applyNumberFormat="1" applyFont="1" applyFill="1" applyBorder="1" applyAlignment="1">
      <alignment horizontal="center" vertical="center" wrapText="1"/>
    </xf>
    <xf numFmtId="2" fontId="13" fillId="0" borderId="1" xfId="0" applyNumberFormat="1" applyFont="1" applyBorder="1" applyAlignment="1">
      <alignment horizontal="center" vertical="center"/>
    </xf>
    <xf numFmtId="166" fontId="8" fillId="8" borderId="18" xfId="0" applyNumberFormat="1" applyFont="1" applyFill="1" applyBorder="1" applyAlignment="1">
      <alignment horizontal="center" vertical="center" wrapText="1"/>
    </xf>
    <xf numFmtId="1" fontId="8" fillId="0" borderId="18" xfId="0" applyNumberFormat="1" applyFont="1" applyBorder="1" applyAlignment="1">
      <alignment horizontal="center" vertical="center" wrapText="1"/>
    </xf>
    <xf numFmtId="1" fontId="7" fillId="0" borderId="18" xfId="0" applyNumberFormat="1" applyFont="1" applyBorder="1" applyAlignment="1">
      <alignment horizontal="center" vertical="center" wrapText="1"/>
    </xf>
    <xf numFmtId="4" fontId="8" fillId="5" borderId="1" xfId="0" applyNumberFormat="1" applyFont="1" applyFill="1" applyBorder="1" applyAlignment="1">
      <alignment horizontal="center" vertical="center"/>
    </xf>
    <xf numFmtId="0" fontId="8" fillId="10" borderId="20" xfId="2" applyFont="1" applyFill="1" applyBorder="1" applyAlignment="1">
      <alignment horizontal="center" vertical="center"/>
    </xf>
    <xf numFmtId="0" fontId="8" fillId="0" borderId="20" xfId="0" applyFont="1" applyBorder="1" applyAlignment="1">
      <alignment horizontal="center" vertical="center" wrapText="1"/>
    </xf>
    <xf numFmtId="16" fontId="8" fillId="0" borderId="20" xfId="0" applyNumberFormat="1" applyFont="1" applyBorder="1" applyAlignment="1">
      <alignment horizontal="center" vertical="center"/>
    </xf>
    <xf numFmtId="166" fontId="8" fillId="8" borderId="20" xfId="0" applyNumberFormat="1" applyFont="1" applyFill="1" applyBorder="1" applyAlignment="1">
      <alignment horizontal="center" vertical="center" wrapText="1"/>
    </xf>
    <xf numFmtId="16" fontId="6" fillId="4" borderId="20" xfId="0" applyNumberFormat="1" applyFont="1" applyFill="1" applyBorder="1" applyAlignment="1">
      <alignment horizontal="center" vertical="center"/>
    </xf>
    <xf numFmtId="49" fontId="3" fillId="4" borderId="20" xfId="0" applyNumberFormat="1" applyFont="1" applyFill="1" applyBorder="1" applyAlignment="1">
      <alignment horizontal="center" vertical="center" wrapText="1"/>
    </xf>
    <xf numFmtId="0" fontId="3" fillId="4" borderId="20" xfId="0" applyFont="1" applyFill="1" applyBorder="1" applyAlignment="1">
      <alignment horizontal="center" vertical="center"/>
    </xf>
    <xf numFmtId="0" fontId="7" fillId="4" borderId="20" xfId="0" applyFont="1" applyFill="1" applyBorder="1" applyAlignment="1">
      <alignment horizontal="center" vertical="center" wrapText="1"/>
    </xf>
    <xf numFmtId="0" fontId="3" fillId="4" borderId="20" xfId="0" applyFont="1" applyFill="1" applyBorder="1" applyAlignment="1">
      <alignment horizontal="center" vertical="center" wrapText="1"/>
    </xf>
    <xf numFmtId="1" fontId="6" fillId="4" borderId="20" xfId="0" applyNumberFormat="1" applyFont="1" applyFill="1" applyBorder="1" applyAlignment="1">
      <alignment horizontal="center" vertical="center"/>
    </xf>
    <xf numFmtId="0" fontId="4" fillId="4" borderId="20" xfId="0" applyFont="1" applyFill="1" applyBorder="1" applyAlignment="1">
      <alignment horizontal="center" vertical="center" wrapText="1"/>
    </xf>
    <xf numFmtId="166" fontId="3" fillId="4" borderId="20" xfId="0" applyNumberFormat="1" applyFont="1" applyFill="1" applyBorder="1" applyAlignment="1">
      <alignment horizontal="center" vertical="center" wrapText="1"/>
    </xf>
    <xf numFmtId="166" fontId="3" fillId="4" borderId="20" xfId="0" applyNumberFormat="1" applyFont="1" applyFill="1" applyBorder="1" applyAlignment="1">
      <alignment horizontal="center" vertical="center"/>
    </xf>
    <xf numFmtId="16" fontId="3" fillId="4" borderId="20" xfId="0" applyNumberFormat="1" applyFont="1" applyFill="1" applyBorder="1" applyAlignment="1">
      <alignment horizontal="center" vertical="center"/>
    </xf>
    <xf numFmtId="1" fontId="3" fillId="4" borderId="20" xfId="0" applyNumberFormat="1" applyFont="1" applyFill="1" applyBorder="1" applyAlignment="1">
      <alignment horizontal="center" vertical="center"/>
    </xf>
    <xf numFmtId="2" fontId="3" fillId="4" borderId="20" xfId="0" applyNumberFormat="1" applyFont="1" applyFill="1" applyBorder="1" applyAlignment="1">
      <alignment horizontal="center" vertical="center" wrapText="1"/>
    </xf>
    <xf numFmtId="2" fontId="3" fillId="4" borderId="20" xfId="0" applyNumberFormat="1" applyFont="1" applyFill="1" applyBorder="1" applyAlignment="1">
      <alignment horizontal="center" vertical="center"/>
    </xf>
    <xf numFmtId="2" fontId="6" fillId="4" borderId="20" xfId="0" applyNumberFormat="1" applyFont="1" applyFill="1" applyBorder="1" applyAlignment="1">
      <alignment horizontal="center" vertical="center"/>
    </xf>
    <xf numFmtId="43" fontId="3" fillId="4" borderId="20" xfId="1" applyFont="1" applyFill="1" applyBorder="1" applyAlignment="1">
      <alignment vertical="center"/>
    </xf>
    <xf numFmtId="166" fontId="8" fillId="8" borderId="20" xfId="6" applyNumberFormat="1" applyFont="1" applyFill="1" applyBorder="1" applyAlignment="1">
      <alignment horizontal="center" vertical="center" wrapText="1"/>
    </xf>
    <xf numFmtId="167" fontId="8" fillId="0" borderId="20" xfId="0" applyNumberFormat="1" applyFont="1" applyBorder="1" applyAlignment="1">
      <alignment horizontal="center" vertical="center"/>
    </xf>
    <xf numFmtId="2" fontId="8" fillId="0" borderId="20" xfId="0" applyNumberFormat="1" applyFont="1" applyBorder="1" applyAlignment="1">
      <alignment horizontal="center" vertical="center"/>
    </xf>
    <xf numFmtId="166" fontId="8" fillId="10" borderId="20" xfId="6" applyNumberFormat="1" applyFont="1" applyFill="1" applyBorder="1" applyAlignment="1">
      <alignment horizontal="center" vertical="center" wrapText="1"/>
    </xf>
    <xf numFmtId="0" fontId="10" fillId="0" borderId="20" xfId="0" applyFont="1" applyBorder="1" applyAlignment="1">
      <alignment horizontal="center" vertical="center" wrapText="1"/>
    </xf>
    <xf numFmtId="4" fontId="3" fillId="4" borderId="20" xfId="0" applyNumberFormat="1" applyFont="1" applyFill="1" applyBorder="1" applyAlignment="1">
      <alignment horizontal="center" vertical="center"/>
    </xf>
    <xf numFmtId="16" fontId="6" fillId="4" borderId="20" xfId="0" applyNumberFormat="1" applyFont="1" applyFill="1" applyBorder="1" applyAlignment="1">
      <alignment horizontal="left" vertical="center"/>
    </xf>
    <xf numFmtId="0" fontId="7" fillId="0" borderId="20" xfId="2" applyFont="1" applyBorder="1" applyAlignment="1">
      <alignment horizontal="center" vertical="center" wrapText="1"/>
    </xf>
    <xf numFmtId="0" fontId="13" fillId="0" borderId="20" xfId="0" applyFont="1" applyBorder="1" applyAlignment="1">
      <alignment horizontal="center" vertical="center" wrapText="1"/>
    </xf>
    <xf numFmtId="49" fontId="8" fillId="0" borderId="20" xfId="0" applyNumberFormat="1" applyFont="1" applyBorder="1" applyAlignment="1">
      <alignment horizontal="center" vertical="center"/>
    </xf>
    <xf numFmtId="0" fontId="8" fillId="0" borderId="20" xfId="0" applyFont="1" applyBorder="1" applyAlignment="1">
      <alignment horizontal="center" vertical="center"/>
    </xf>
    <xf numFmtId="166" fontId="8" fillId="0" borderId="20" xfId="6" applyNumberFormat="1" applyFont="1" applyBorder="1" applyAlignment="1">
      <alignment horizontal="center" vertical="center" wrapText="1"/>
    </xf>
    <xf numFmtId="166" fontId="8" fillId="11" borderId="20" xfId="6" applyNumberFormat="1" applyFont="1" applyFill="1" applyBorder="1" applyAlignment="1">
      <alignment horizontal="center" vertical="center" wrapText="1"/>
    </xf>
    <xf numFmtId="0" fontId="7" fillId="0" borderId="20" xfId="0" applyFont="1" applyBorder="1" applyAlignment="1">
      <alignment horizontal="center" vertical="center" wrapText="1"/>
    </xf>
    <xf numFmtId="4" fontId="7" fillId="0" borderId="20" xfId="0" applyNumberFormat="1" applyFont="1" applyBorder="1" applyAlignment="1">
      <alignment horizontal="center" vertical="center"/>
    </xf>
    <xf numFmtId="4" fontId="7" fillId="0" borderId="20" xfId="0" applyNumberFormat="1" applyFont="1" applyBorder="1" applyAlignment="1">
      <alignment vertical="center"/>
    </xf>
    <xf numFmtId="0" fontId="10" fillId="0" borderId="20" xfId="0" applyFont="1" applyBorder="1" applyAlignment="1">
      <alignment horizontal="center" vertical="center"/>
    </xf>
    <xf numFmtId="0" fontId="7" fillId="0" borderId="20" xfId="0" applyFont="1" applyBorder="1" applyAlignment="1">
      <alignment horizontal="center" vertical="center"/>
    </xf>
    <xf numFmtId="0" fontId="8" fillId="5" borderId="20" xfId="0" applyFont="1" applyFill="1" applyBorder="1" applyAlignment="1">
      <alignment horizontal="center" vertical="center" wrapText="1"/>
    </xf>
    <xf numFmtId="170" fontId="7" fillId="0" borderId="20" xfId="0" applyNumberFormat="1" applyFont="1" applyBorder="1" applyAlignment="1">
      <alignment horizontal="center" vertical="center" wrapText="1"/>
    </xf>
    <xf numFmtId="0" fontId="8" fillId="0" borderId="20" xfId="6" applyFont="1" applyBorder="1" applyAlignment="1">
      <alignment horizontal="center" vertical="center" wrapText="1"/>
    </xf>
    <xf numFmtId="0" fontId="7" fillId="0" borderId="20" xfId="6" applyFont="1" applyBorder="1" applyAlignment="1">
      <alignment horizontal="center" vertical="center" wrapText="1"/>
    </xf>
    <xf numFmtId="167" fontId="7" fillId="0" borderId="20" xfId="0" applyNumberFormat="1" applyFont="1" applyBorder="1" applyAlignment="1">
      <alignment horizontal="center" vertical="center" wrapText="1"/>
    </xf>
    <xf numFmtId="1" fontId="8" fillId="0" borderId="20" xfId="0" applyNumberFormat="1" applyFont="1" applyBorder="1" applyAlignment="1">
      <alignment horizontal="center" vertical="center"/>
    </xf>
    <xf numFmtId="166" fontId="8" fillId="0" borderId="20" xfId="0" applyNumberFormat="1" applyFont="1" applyBorder="1" applyAlignment="1">
      <alignment horizontal="center" vertical="center" wrapText="1"/>
    </xf>
    <xf numFmtId="166" fontId="7" fillId="8" borderId="20" xfId="0" applyNumberFormat="1" applyFont="1" applyFill="1" applyBorder="1" applyAlignment="1">
      <alignment horizontal="center" vertical="center" wrapText="1"/>
    </xf>
    <xf numFmtId="0" fontId="8" fillId="0" borderId="20" xfId="6" applyFont="1" applyBorder="1" applyAlignment="1">
      <alignment horizontal="center" vertical="center"/>
    </xf>
    <xf numFmtId="167" fontId="7" fillId="0" borderId="20" xfId="0" applyNumberFormat="1" applyFont="1" applyBorder="1" applyAlignment="1">
      <alignment horizontal="center" vertical="center"/>
    </xf>
    <xf numFmtId="0" fontId="8" fillId="0" borderId="20" xfId="2" applyFont="1" applyBorder="1" applyAlignment="1">
      <alignment horizontal="center" vertical="center"/>
    </xf>
    <xf numFmtId="166" fontId="8" fillId="0" borderId="20" xfId="0" applyNumberFormat="1" applyFont="1" applyBorder="1" applyAlignment="1">
      <alignment horizontal="center" vertical="center"/>
    </xf>
    <xf numFmtId="166" fontId="8" fillId="11" borderId="20" xfId="0"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xf>
    <xf numFmtId="2" fontId="7" fillId="0" borderId="20" xfId="0" applyNumberFormat="1" applyFont="1" applyBorder="1" applyAlignment="1">
      <alignment horizontal="center" vertical="center" wrapText="1"/>
    </xf>
    <xf numFmtId="172" fontId="7" fillId="0" borderId="20" xfId="0" applyNumberFormat="1" applyFont="1" applyBorder="1" applyAlignment="1">
      <alignment horizontal="center" vertical="center" wrapText="1"/>
    </xf>
    <xf numFmtId="1" fontId="8" fillId="6" borderId="20" xfId="6" applyNumberFormat="1" applyFont="1" applyFill="1" applyBorder="1" applyAlignment="1">
      <alignment horizontal="center" vertical="center"/>
    </xf>
    <xf numFmtId="1" fontId="8" fillId="0" borderId="20" xfId="6" applyNumberFormat="1" applyFont="1" applyBorder="1" applyAlignment="1">
      <alignment horizontal="center" vertical="center"/>
    </xf>
    <xf numFmtId="16" fontId="7" fillId="0" borderId="20" xfId="6" applyNumberFormat="1" applyFont="1" applyBorder="1" applyAlignment="1">
      <alignment horizontal="center" vertical="center" wrapText="1"/>
    </xf>
    <xf numFmtId="166" fontId="8" fillId="0" borderId="20" xfId="12" applyNumberFormat="1" applyFont="1" applyBorder="1" applyAlignment="1">
      <alignment horizontal="center" vertical="center" wrapText="1"/>
    </xf>
    <xf numFmtId="16" fontId="7" fillId="5" borderId="20" xfId="0" applyNumberFormat="1" applyFont="1" applyFill="1" applyBorder="1" applyAlignment="1">
      <alignment horizontal="center" vertical="center"/>
    </xf>
    <xf numFmtId="0" fontId="10" fillId="5" borderId="20" xfId="6" applyFont="1" applyFill="1" applyBorder="1" applyAlignment="1">
      <alignment horizontal="center" vertical="center" wrapText="1"/>
    </xf>
    <xf numFmtId="2" fontId="8" fillId="0" borderId="20" xfId="6" applyNumberFormat="1" applyFont="1" applyBorder="1" applyAlignment="1">
      <alignment horizontal="center" vertical="center" wrapText="1"/>
    </xf>
    <xf numFmtId="2" fontId="8" fillId="0" borderId="20" xfId="0" applyNumberFormat="1" applyFont="1" applyBorder="1" applyAlignment="1">
      <alignment horizontal="center" vertical="center" wrapText="1"/>
    </xf>
    <xf numFmtId="167" fontId="8" fillId="5" borderId="20" xfId="0" applyNumberFormat="1" applyFont="1" applyFill="1" applyBorder="1" applyAlignment="1">
      <alignment horizontal="center" vertical="center" wrapText="1"/>
    </xf>
    <xf numFmtId="170" fontId="8" fillId="0" borderId="20" xfId="0" applyNumberFormat="1" applyFont="1" applyBorder="1" applyAlignment="1">
      <alignment horizontal="center" vertical="center" wrapText="1"/>
    </xf>
    <xf numFmtId="1" fontId="10" fillId="0" borderId="20" xfId="0" applyNumberFormat="1" applyFont="1" applyBorder="1" applyAlignment="1">
      <alignment horizontal="center" vertical="center"/>
    </xf>
    <xf numFmtId="16" fontId="8" fillId="0" borderId="20" xfId="6" applyNumberFormat="1" applyFont="1" applyBorder="1" applyAlignment="1">
      <alignment horizontal="center" vertical="center" wrapText="1"/>
    </xf>
    <xf numFmtId="0" fontId="7" fillId="5" borderId="20" xfId="2" applyFont="1" applyFill="1" applyBorder="1" applyAlignment="1">
      <alignment horizontal="center" vertical="center" wrapText="1"/>
    </xf>
    <xf numFmtId="0" fontId="8" fillId="5" borderId="20" xfId="6" applyFont="1" applyFill="1" applyBorder="1" applyAlignment="1">
      <alignment horizontal="center" vertical="center" wrapText="1"/>
    </xf>
    <xf numFmtId="0" fontId="7" fillId="5" borderId="20" xfId="0" applyFont="1" applyFill="1" applyBorder="1" applyAlignment="1">
      <alignment horizontal="center" vertical="center" wrapText="1"/>
    </xf>
    <xf numFmtId="166" fontId="7" fillId="0" borderId="20" xfId="0" applyNumberFormat="1" applyFont="1" applyBorder="1" applyAlignment="1">
      <alignment horizontal="center" vertical="center" wrapText="1"/>
    </xf>
    <xf numFmtId="16" fontId="8" fillId="0" borderId="20" xfId="0" applyNumberFormat="1" applyFont="1" applyBorder="1" applyAlignment="1">
      <alignment horizontal="center" vertical="center" wrapText="1"/>
    </xf>
    <xf numFmtId="0" fontId="8" fillId="5" borderId="20" xfId="0" applyFont="1" applyFill="1" applyBorder="1" applyAlignment="1">
      <alignment horizontal="center" vertical="center"/>
    </xf>
    <xf numFmtId="0" fontId="7" fillId="5" borderId="20" xfId="0" applyFont="1" applyFill="1" applyBorder="1" applyAlignment="1">
      <alignment horizontal="center" vertical="center"/>
    </xf>
    <xf numFmtId="167" fontId="8" fillId="0" borderId="20" xfId="12" applyNumberFormat="1" applyFont="1" applyBorder="1" applyAlignment="1">
      <alignment horizontal="center" vertical="center" wrapText="1"/>
    </xf>
    <xf numFmtId="0" fontId="13" fillId="5" borderId="20" xfId="0" applyFont="1" applyFill="1" applyBorder="1" applyAlignment="1">
      <alignment horizontal="center" vertical="center" wrapText="1"/>
    </xf>
    <xf numFmtId="2" fontId="8" fillId="5" borderId="20" xfId="9" applyNumberFormat="1" applyFont="1" applyFill="1" applyBorder="1" applyAlignment="1">
      <alignment horizontal="center" vertical="center"/>
    </xf>
    <xf numFmtId="1" fontId="8" fillId="5" borderId="20" xfId="0" applyNumberFormat="1" applyFont="1" applyFill="1" applyBorder="1" applyAlignment="1">
      <alignment horizontal="center" vertical="center"/>
    </xf>
    <xf numFmtId="0" fontId="8" fillId="5" borderId="20" xfId="2" applyFont="1" applyFill="1" applyBorder="1" applyAlignment="1">
      <alignment horizontal="center" vertical="center" wrapText="1"/>
    </xf>
    <xf numFmtId="16" fontId="11" fillId="9" borderId="20" xfId="0" applyNumberFormat="1" applyFont="1" applyFill="1" applyBorder="1" applyAlignment="1">
      <alignment horizontal="center" vertical="center"/>
    </xf>
    <xf numFmtId="0" fontId="10" fillId="5" borderId="20" xfId="0" applyFont="1" applyFill="1" applyBorder="1" applyAlignment="1">
      <alignment horizontal="center" vertical="center" wrapText="1"/>
    </xf>
    <xf numFmtId="0" fontId="8" fillId="8" borderId="20" xfId="0" applyFont="1" applyFill="1" applyBorder="1" applyAlignment="1">
      <alignment horizontal="center" vertical="center" wrapText="1"/>
    </xf>
    <xf numFmtId="16" fontId="7" fillId="0" borderId="20" xfId="0" applyNumberFormat="1" applyFont="1" applyBorder="1" applyAlignment="1">
      <alignment horizontal="center" vertical="center"/>
    </xf>
    <xf numFmtId="1" fontId="8" fillId="0" borderId="20" xfId="0" applyNumberFormat="1" applyFont="1" applyBorder="1" applyAlignment="1">
      <alignment horizontal="center" vertical="center" wrapText="1"/>
    </xf>
    <xf numFmtId="4" fontId="8" fillId="0" borderId="20" xfId="0" applyNumberFormat="1" applyFont="1" applyBorder="1" applyAlignment="1">
      <alignment horizontal="center" vertical="center"/>
    </xf>
    <xf numFmtId="166" fontId="8" fillId="0" borderId="20" xfId="6" applyNumberFormat="1" applyFont="1" applyBorder="1" applyAlignment="1">
      <alignment horizontal="center" vertical="center"/>
    </xf>
    <xf numFmtId="43" fontId="8" fillId="0" borderId="20" xfId="5" applyFont="1" applyBorder="1" applyAlignment="1">
      <alignment vertical="center"/>
    </xf>
    <xf numFmtId="4" fontId="8" fillId="0" borderId="20" xfId="0" applyNumberFormat="1" applyFont="1" applyBorder="1" applyAlignment="1">
      <alignment horizontal="right" vertical="center"/>
    </xf>
    <xf numFmtId="16" fontId="8" fillId="8" borderId="20" xfId="6" applyNumberFormat="1" applyFont="1" applyFill="1" applyBorder="1" applyAlignment="1">
      <alignment horizontal="center" vertical="center" wrapText="1"/>
    </xf>
    <xf numFmtId="2" fontId="8" fillId="5" borderId="20" xfId="0" applyNumberFormat="1" applyFont="1" applyFill="1" applyBorder="1" applyAlignment="1">
      <alignment horizontal="center" vertical="center" wrapText="1"/>
    </xf>
    <xf numFmtId="2" fontId="10" fillId="0" borderId="20" xfId="0" applyNumberFormat="1" applyFont="1" applyBorder="1" applyAlignment="1">
      <alignment horizontal="center" vertical="center"/>
    </xf>
    <xf numFmtId="166" fontId="8" fillId="8" borderId="20" xfId="0" applyNumberFormat="1" applyFont="1" applyFill="1" applyBorder="1" applyAlignment="1">
      <alignment vertical="center"/>
    </xf>
    <xf numFmtId="16" fontId="8" fillId="5" borderId="20" xfId="0" applyNumberFormat="1" applyFont="1" applyFill="1" applyBorder="1" applyAlignment="1">
      <alignment horizontal="center" vertical="center"/>
    </xf>
    <xf numFmtId="16" fontId="8" fillId="5" borderId="20" xfId="6"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wrapText="1" readingOrder="1"/>
    </xf>
    <xf numFmtId="167" fontId="8" fillId="5" borderId="20" xfId="0" applyNumberFormat="1" applyFont="1" applyFill="1" applyBorder="1" applyAlignment="1">
      <alignment horizontal="center" vertical="center"/>
    </xf>
    <xf numFmtId="2" fontId="8" fillId="0" borderId="20" xfId="6" applyNumberFormat="1" applyFont="1" applyBorder="1" applyAlignment="1">
      <alignment horizontal="center" vertical="center"/>
    </xf>
    <xf numFmtId="0" fontId="8" fillId="5" borderId="20" xfId="6" applyFont="1" applyFill="1" applyBorder="1" applyAlignment="1">
      <alignment horizontal="center" vertical="center"/>
    </xf>
    <xf numFmtId="1" fontId="8" fillId="0" borderId="20" xfId="2" applyNumberFormat="1" applyFont="1" applyBorder="1" applyAlignment="1">
      <alignment horizontal="center" vertical="center"/>
    </xf>
    <xf numFmtId="166" fontId="8" fillId="0" borderId="20" xfId="15" applyNumberFormat="1" applyBorder="1" applyAlignment="1">
      <alignment horizontal="center" vertical="center" wrapText="1"/>
    </xf>
    <xf numFmtId="2" fontId="10" fillId="0" borderId="20" xfId="0" applyNumberFormat="1" applyFont="1" applyBorder="1" applyAlignment="1">
      <alignment horizontal="center" vertical="center" wrapText="1"/>
    </xf>
    <xf numFmtId="166" fontId="8" fillId="5"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wrapText="1"/>
    </xf>
    <xf numFmtId="166" fontId="7" fillId="5" borderId="20" xfId="0" applyNumberFormat="1" applyFont="1" applyFill="1" applyBorder="1" applyAlignment="1">
      <alignment horizontal="center" vertical="center" wrapText="1"/>
    </xf>
    <xf numFmtId="1" fontId="7" fillId="5" borderId="20" xfId="0" applyNumberFormat="1" applyFont="1" applyFill="1" applyBorder="1" applyAlignment="1">
      <alignment horizontal="center" vertical="center"/>
    </xf>
    <xf numFmtId="169" fontId="3" fillId="0" borderId="1" xfId="27" applyFont="1" applyBorder="1" applyAlignment="1">
      <alignment horizontal="center" vertical="center" wrapText="1"/>
    </xf>
    <xf numFmtId="0" fontId="3"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167" fontId="4" fillId="0" borderId="1" xfId="20" applyFont="1" applyFill="1" applyBorder="1" applyAlignment="1">
      <alignment horizontal="center" vertical="center" wrapText="1"/>
    </xf>
    <xf numFmtId="0" fontId="3" fillId="0" borderId="20" xfId="0" applyFont="1" applyBorder="1" applyAlignment="1">
      <alignment horizontal="center" vertical="center" wrapText="1"/>
    </xf>
    <xf numFmtId="1" fontId="4" fillId="0" borderId="20" xfId="0" applyNumberFormat="1" applyFont="1" applyBorder="1" applyAlignment="1">
      <alignment horizontal="center" vertical="center" wrapText="1"/>
    </xf>
    <xf numFmtId="0" fontId="4" fillId="0" borderId="20" xfId="0" applyFont="1" applyBorder="1" applyAlignment="1">
      <alignment horizontal="center" vertical="center" wrapText="1"/>
    </xf>
    <xf numFmtId="0" fontId="8" fillId="5" borderId="20" xfId="2" applyFont="1" applyFill="1" applyBorder="1" applyAlignment="1">
      <alignment horizontal="center" vertical="center"/>
    </xf>
    <xf numFmtId="0" fontId="10" fillId="5" borderId="20" xfId="0" applyFont="1" applyFill="1" applyBorder="1" applyAlignment="1">
      <alignment horizontal="center" vertical="center"/>
    </xf>
    <xf numFmtId="0" fontId="8" fillId="5" borderId="1" xfId="2" applyFont="1" applyFill="1" applyBorder="1" applyAlignment="1">
      <alignment horizontal="center" vertical="center"/>
    </xf>
    <xf numFmtId="166" fontId="3" fillId="0" borderId="20" xfId="0" applyNumberFormat="1" applyFont="1" applyBorder="1" applyAlignment="1">
      <alignment horizontal="center" vertical="center" wrapText="1"/>
    </xf>
    <xf numFmtId="0" fontId="81" fillId="0" borderId="20" xfId="0" applyFont="1" applyBorder="1" applyAlignment="1">
      <alignment horizontal="center" vertical="center" wrapText="1"/>
    </xf>
    <xf numFmtId="169" fontId="3" fillId="0" borderId="20" xfId="27" applyFont="1" applyBorder="1" applyAlignment="1">
      <alignment horizontal="center" vertical="center" wrapText="1"/>
    </xf>
    <xf numFmtId="0" fontId="14" fillId="0" borderId="20" xfId="0" applyFont="1" applyBorder="1" applyAlignment="1">
      <alignment horizontal="center" vertical="center" wrapText="1"/>
    </xf>
    <xf numFmtId="0" fontId="3" fillId="5" borderId="1" xfId="2" applyFont="1" applyFill="1" applyBorder="1" applyAlignment="1">
      <alignment horizontal="center" vertical="center"/>
    </xf>
    <xf numFmtId="49" fontId="7" fillId="5" borderId="20" xfId="0" applyNumberFormat="1" applyFont="1" applyFill="1" applyBorder="1" applyAlignment="1">
      <alignment horizontal="center" vertical="center" wrapText="1"/>
    </xf>
    <xf numFmtId="166" fontId="8" fillId="5" borderId="20" xfId="0" applyNumberFormat="1" applyFont="1" applyFill="1" applyBorder="1" applyAlignment="1">
      <alignment horizontal="center" vertical="center" wrapText="1"/>
    </xf>
    <xf numFmtId="49" fontId="8" fillId="5" borderId="20" xfId="0" applyNumberFormat="1" applyFont="1" applyFill="1" applyBorder="1" applyAlignment="1">
      <alignment horizontal="center" vertical="center"/>
    </xf>
    <xf numFmtId="169" fontId="63" fillId="9" borderId="1" xfId="27" applyFont="1" applyFill="1" applyBorder="1" applyAlignment="1">
      <alignment vertical="center" wrapText="1"/>
    </xf>
    <xf numFmtId="174" fontId="7" fillId="0" borderId="20" xfId="27" applyNumberFormat="1" applyFont="1" applyBorder="1" applyAlignment="1">
      <alignment horizontal="center" vertical="center" wrapText="1"/>
    </xf>
    <xf numFmtId="169" fontId="8" fillId="6" borderId="20" xfId="27" applyFont="1" applyFill="1" applyBorder="1" applyAlignment="1">
      <alignment vertical="center" wrapText="1"/>
    </xf>
    <xf numFmtId="16" fontId="8" fillId="0" borderId="20" xfId="27" applyNumberFormat="1" applyFont="1" applyBorder="1" applyAlignment="1">
      <alignment horizontal="center" vertical="center" wrapText="1"/>
    </xf>
    <xf numFmtId="174" fontId="64" fillId="0" borderId="20" xfId="27" applyNumberFormat="1" applyFont="1" applyBorder="1" applyAlignment="1">
      <alignment horizontal="center" vertical="center" wrapText="1"/>
    </xf>
    <xf numFmtId="169" fontId="67" fillId="6" borderId="20" xfId="27" applyFont="1" applyFill="1" applyBorder="1" applyAlignment="1">
      <alignment vertical="center" wrapText="1"/>
    </xf>
    <xf numFmtId="16" fontId="67" fillId="0" borderId="20" xfId="27" applyNumberFormat="1" applyFont="1" applyBorder="1" applyAlignment="1">
      <alignment horizontal="center" vertical="center" wrapText="1"/>
    </xf>
    <xf numFmtId="174" fontId="13" fillId="9" borderId="20" xfId="27" applyNumberFormat="1" applyFont="1" applyFill="1" applyBorder="1" applyAlignment="1">
      <alignment horizontal="center" vertical="center" wrapText="1"/>
    </xf>
    <xf numFmtId="174" fontId="8" fillId="0" borderId="20" xfId="27" applyNumberFormat="1" applyFont="1" applyBorder="1" applyAlignment="1">
      <alignment horizontal="center" vertical="center" wrapText="1"/>
    </xf>
    <xf numFmtId="169" fontId="8" fillId="0" borderId="20" xfId="27" applyFont="1" applyBorder="1" applyAlignment="1">
      <alignment horizontal="center" vertical="center" wrapText="1"/>
    </xf>
    <xf numFmtId="16" fontId="8" fillId="0" borderId="20" xfId="27" applyNumberFormat="1" applyFont="1" applyBorder="1" applyAlignment="1">
      <alignment horizontal="left" vertical="center" wrapText="1"/>
    </xf>
    <xf numFmtId="0" fontId="7" fillId="0" borderId="20" xfId="0" applyFont="1" applyBorder="1" applyAlignment="1">
      <alignment horizontal="left" wrapText="1"/>
    </xf>
    <xf numFmtId="0" fontId="8" fillId="0" borderId="20" xfId="0" applyFont="1" applyBorder="1" applyAlignment="1">
      <alignment horizontal="left" wrapText="1"/>
    </xf>
    <xf numFmtId="174" fontId="8" fillId="0" borderId="20" xfId="0" applyNumberFormat="1" applyFont="1" applyBorder="1" applyAlignment="1">
      <alignment horizontal="center" vertical="center" wrapText="1"/>
    </xf>
    <xf numFmtId="174" fontId="8" fillId="0" borderId="20" xfId="0" applyNumberFormat="1" applyFont="1" applyBorder="1" applyAlignment="1">
      <alignment horizontal="left" wrapText="1"/>
    </xf>
    <xf numFmtId="174" fontId="8" fillId="0" borderId="20" xfId="27" applyNumberFormat="1" applyFont="1" applyBorder="1" applyAlignment="1">
      <alignment horizontal="left" vertical="center" wrapText="1"/>
    </xf>
    <xf numFmtId="174" fontId="64" fillId="0" borderId="20" xfId="14" applyNumberFormat="1" applyFont="1" applyBorder="1"/>
    <xf numFmtId="0" fontId="64" fillId="0" borderId="20" xfId="14" applyFont="1" applyBorder="1"/>
    <xf numFmtId="174" fontId="14" fillId="0" borderId="20" xfId="0" applyNumberFormat="1" applyFont="1" applyBorder="1" applyAlignment="1">
      <alignment horizontal="left" wrapText="1"/>
    </xf>
    <xf numFmtId="169" fontId="14" fillId="0" borderId="20" xfId="27" applyFont="1" applyBorder="1" applyAlignment="1">
      <alignment horizontal="center" vertical="center" wrapText="1"/>
    </xf>
    <xf numFmtId="16" fontId="14" fillId="0" borderId="20" xfId="27" applyNumberFormat="1" applyFont="1" applyBorder="1" applyAlignment="1">
      <alignment horizontal="center" vertical="center" wrapText="1"/>
    </xf>
    <xf numFmtId="174" fontId="15" fillId="0" borderId="20" xfId="20" applyNumberFormat="1" applyFont="1" applyFill="1" applyBorder="1" applyAlignment="1">
      <alignment horizontal="center" vertical="center" wrapText="1"/>
    </xf>
    <xf numFmtId="0" fontId="14" fillId="0" borderId="20" xfId="0" applyFont="1" applyBorder="1" applyAlignment="1">
      <alignment horizontal="left" wrapText="1"/>
    </xf>
    <xf numFmtId="166" fontId="14" fillId="0" borderId="20" xfId="0" applyNumberFormat="1" applyFont="1" applyBorder="1" applyAlignment="1">
      <alignment horizontal="center" vertical="center" wrapText="1"/>
    </xf>
    <xf numFmtId="166" fontId="15" fillId="0" borderId="20" xfId="20" applyNumberFormat="1" applyFont="1" applyFill="1" applyBorder="1" applyAlignment="1">
      <alignment horizontal="center" vertical="center" wrapText="1"/>
    </xf>
    <xf numFmtId="0" fontId="14" fillId="0" borderId="20" xfId="0" applyFont="1" applyBorder="1" applyAlignment="1">
      <alignment horizontal="left"/>
    </xf>
    <xf numFmtId="0" fontId="8" fillId="0" borderId="20" xfId="235" applyFont="1" applyBorder="1" applyAlignment="1">
      <alignment horizontal="center" vertical="center" wrapText="1"/>
    </xf>
    <xf numFmtId="0" fontId="8" fillId="0" borderId="20" xfId="433" applyBorder="1" applyAlignment="1">
      <alignment horizontal="center" vertical="center" wrapText="1"/>
    </xf>
    <xf numFmtId="0" fontId="8" fillId="0" borderId="20" xfId="434" applyBorder="1" applyAlignment="1">
      <alignment horizontal="center" vertical="center" wrapText="1"/>
    </xf>
    <xf numFmtId="167" fontId="8" fillId="6" borderId="20" xfId="433" applyNumberFormat="1" applyFill="1" applyBorder="1" applyAlignment="1">
      <alignment horizontal="center" vertical="center" wrapText="1"/>
    </xf>
    <xf numFmtId="167" fontId="8" fillId="0" borderId="20" xfId="433" applyNumberFormat="1" applyBorder="1" applyAlignment="1">
      <alignment horizontal="center" vertical="center"/>
    </xf>
    <xf numFmtId="8" fontId="11" fillId="0" borderId="20" xfId="433" applyNumberFormat="1" applyFont="1" applyBorder="1" applyAlignment="1">
      <alignment horizontal="center" vertical="center" wrapText="1"/>
    </xf>
    <xf numFmtId="0" fontId="9" fillId="0" borderId="0" xfId="433" applyFont="1" applyAlignment="1">
      <alignment vertical="center"/>
    </xf>
    <xf numFmtId="16" fontId="8" fillId="0" borderId="20" xfId="235" applyNumberFormat="1" applyFont="1" applyBorder="1" applyAlignment="1">
      <alignment horizontal="center" vertical="center" wrapText="1"/>
    </xf>
    <xf numFmtId="16" fontId="8" fillId="5" borderId="1" xfId="2" applyNumberFormat="1" applyFont="1" applyFill="1" applyBorder="1" applyAlignment="1">
      <alignment horizontal="center" vertical="center"/>
    </xf>
    <xf numFmtId="49" fontId="8" fillId="5" borderId="20" xfId="0" applyNumberFormat="1" applyFont="1" applyFill="1" applyBorder="1" applyAlignment="1">
      <alignment horizontal="center" vertical="center" wrapText="1"/>
    </xf>
    <xf numFmtId="167" fontId="7" fillId="5" borderId="20" xfId="0" applyNumberFormat="1" applyFont="1" applyFill="1" applyBorder="1" applyAlignment="1">
      <alignment horizontal="center" vertical="center" wrapText="1"/>
    </xf>
    <xf numFmtId="167" fontId="8" fillId="5" borderId="20" xfId="6" applyNumberFormat="1" applyFont="1" applyFill="1" applyBorder="1" applyAlignment="1">
      <alignment horizontal="center" vertical="center" wrapText="1"/>
    </xf>
    <xf numFmtId="0" fontId="7" fillId="5" borderId="20" xfId="6" applyFont="1" applyFill="1" applyBorder="1" applyAlignment="1">
      <alignment horizontal="center" vertical="center" wrapText="1"/>
    </xf>
    <xf numFmtId="16" fontId="10" fillId="5" borderId="20" xfId="2" applyNumberFormat="1" applyFont="1" applyFill="1" applyBorder="1" applyAlignment="1">
      <alignment horizontal="center" vertical="center"/>
    </xf>
    <xf numFmtId="0" fontId="13" fillId="5" borderId="20" xfId="6" applyFont="1" applyFill="1" applyBorder="1" applyAlignment="1">
      <alignment horizontal="center" vertical="center" wrapText="1"/>
    </xf>
    <xf numFmtId="16" fontId="7" fillId="5" borderId="20" xfId="6" applyNumberFormat="1" applyFont="1" applyFill="1" applyBorder="1" applyAlignment="1">
      <alignment horizontal="center" vertical="center" wrapText="1"/>
    </xf>
    <xf numFmtId="16" fontId="8" fillId="5" borderId="20" xfId="2" applyNumberFormat="1" applyFont="1" applyFill="1" applyBorder="1" applyAlignment="1">
      <alignment horizontal="center" vertical="center"/>
    </xf>
    <xf numFmtId="0" fontId="81" fillId="9" borderId="20" xfId="0" applyFont="1" applyFill="1" applyBorder="1" applyAlignment="1">
      <alignment horizontal="center" vertical="center" wrapText="1"/>
    </xf>
    <xf numFmtId="0" fontId="82" fillId="9" borderId="20" xfId="0" applyFont="1" applyFill="1" applyBorder="1" applyAlignment="1">
      <alignment horizontal="center" vertical="center" wrapText="1"/>
    </xf>
    <xf numFmtId="16" fontId="11" fillId="5" borderId="1" xfId="0" applyNumberFormat="1" applyFont="1" applyFill="1" applyBorder="1" applyAlignment="1">
      <alignment horizontal="center" vertical="center"/>
    </xf>
    <xf numFmtId="166" fontId="8" fillId="5" borderId="20" xfId="0" applyNumberFormat="1" applyFont="1" applyFill="1" applyBorder="1" applyAlignment="1">
      <alignment horizontal="center" vertical="center"/>
    </xf>
    <xf numFmtId="16" fontId="8" fillId="5" borderId="20" xfId="0" applyNumberFormat="1" applyFont="1" applyFill="1" applyBorder="1" applyAlignment="1">
      <alignment horizontal="center" vertical="center" wrapText="1"/>
    </xf>
    <xf numFmtId="2" fontId="7" fillId="5" borderId="20" xfId="0" applyNumberFormat="1" applyFont="1" applyFill="1" applyBorder="1" applyAlignment="1">
      <alignment horizontal="center" vertical="center"/>
    </xf>
    <xf numFmtId="0" fontId="7" fillId="47" borderId="20" xfId="0" applyFont="1" applyFill="1" applyBorder="1" applyAlignment="1">
      <alignment horizontal="center" vertical="center" wrapText="1"/>
    </xf>
    <xf numFmtId="0" fontId="8" fillId="47" borderId="20" xfId="0" applyFont="1" applyFill="1" applyBorder="1" applyAlignment="1">
      <alignment horizontal="center" vertical="center" wrapText="1"/>
    </xf>
    <xf numFmtId="16" fontId="8" fillId="5" borderId="20" xfId="6" applyNumberFormat="1" applyFont="1" applyFill="1" applyBorder="1" applyAlignment="1">
      <alignment horizontal="center" vertical="center"/>
    </xf>
    <xf numFmtId="1" fontId="8" fillId="5" borderId="20" xfId="6" applyNumberFormat="1" applyFont="1" applyFill="1" applyBorder="1" applyAlignment="1">
      <alignment horizontal="center" vertical="center"/>
    </xf>
    <xf numFmtId="0" fontId="8" fillId="10" borderId="20" xfId="6" applyFont="1" applyFill="1" applyBorder="1" applyAlignment="1">
      <alignment horizontal="center" vertical="center"/>
    </xf>
    <xf numFmtId="8" fontId="83" fillId="0" borderId="20" xfId="433" applyNumberFormat="1" applyFont="1" applyBorder="1" applyAlignment="1">
      <alignment horizontal="center" vertical="center" wrapText="1"/>
    </xf>
    <xf numFmtId="16" fontId="8" fillId="10" borderId="20" xfId="6" applyNumberFormat="1" applyFont="1" applyFill="1" applyBorder="1" applyAlignment="1">
      <alignment horizontal="center" vertical="center" wrapText="1"/>
    </xf>
    <xf numFmtId="49" fontId="8" fillId="5" borderId="20" xfId="6" applyNumberFormat="1" applyFont="1" applyFill="1" applyBorder="1" applyAlignment="1">
      <alignment horizontal="center" vertical="center" wrapText="1"/>
    </xf>
    <xf numFmtId="16" fontId="43" fillId="5" borderId="20" xfId="0" applyNumberFormat="1" applyFont="1" applyFill="1" applyBorder="1" applyAlignment="1">
      <alignment horizontal="center" vertical="center"/>
    </xf>
    <xf numFmtId="16" fontId="86" fillId="0" borderId="20" xfId="27" applyNumberFormat="1" applyFont="1" applyBorder="1" applyAlignment="1">
      <alignment horizontal="center" vertical="center" wrapText="1"/>
    </xf>
    <xf numFmtId="169" fontId="86" fillId="0" borderId="20" xfId="27" applyFont="1" applyBorder="1" applyAlignment="1">
      <alignment horizontal="center" vertical="center" wrapText="1"/>
    </xf>
    <xf numFmtId="0" fontId="86" fillId="0" borderId="20" xfId="0" applyFont="1" applyBorder="1" applyAlignment="1">
      <alignment horizontal="center" vertical="center" wrapText="1"/>
    </xf>
    <xf numFmtId="0" fontId="8" fillId="47" borderId="1" xfId="0" applyFont="1" applyFill="1" applyBorder="1" applyAlignment="1">
      <alignment horizontal="center" vertical="center" wrapText="1"/>
    </xf>
    <xf numFmtId="167" fontId="8" fillId="0" borderId="20" xfId="29" applyFont="1" applyBorder="1" applyAlignment="1">
      <alignment horizontal="center" vertical="center" wrapText="1"/>
    </xf>
    <xf numFmtId="0" fontId="8" fillId="0" borderId="20" xfId="37" applyFont="1" applyFill="1" applyBorder="1" applyAlignment="1" applyProtection="1">
      <alignment horizontal="center" vertical="center" wrapText="1"/>
    </xf>
    <xf numFmtId="0" fontId="87" fillId="0" borderId="20" xfId="0" applyFont="1" applyBorder="1" applyAlignment="1">
      <alignment horizontal="center" vertical="center" wrapText="1"/>
    </xf>
    <xf numFmtId="167" fontId="0" fillId="0" borderId="4" xfId="0" applyNumberFormat="1" applyBorder="1" applyAlignment="1">
      <alignment horizontal="center" vertical="center" wrapText="1"/>
    </xf>
    <xf numFmtId="3" fontId="21" fillId="0" borderId="20" xfId="32" applyNumberFormat="1" applyFont="1" applyBorder="1" applyAlignment="1">
      <alignment horizontal="center" vertical="center"/>
    </xf>
    <xf numFmtId="2" fontId="22" fillId="0" borderId="20" xfId="30" applyNumberFormat="1" applyFont="1" applyBorder="1" applyAlignment="1">
      <alignment horizontal="center" vertical="center" wrapText="1"/>
    </xf>
    <xf numFmtId="0" fontId="1" fillId="8" borderId="20" xfId="14" applyFill="1" applyBorder="1"/>
    <xf numFmtId="4" fontId="8" fillId="0" borderId="20" xfId="6" applyNumberFormat="1" applyFont="1" applyBorder="1" applyAlignment="1">
      <alignment horizontal="center" vertical="center"/>
    </xf>
    <xf numFmtId="170" fontId="8" fillId="0" borderId="20" xfId="6" applyNumberFormat="1" applyFont="1" applyBorder="1" applyAlignment="1">
      <alignment horizontal="center" vertical="center" wrapText="1"/>
    </xf>
    <xf numFmtId="49" fontId="7" fillId="0" borderId="20" xfId="0" applyNumberFormat="1" applyFont="1" applyBorder="1" applyAlignment="1">
      <alignment horizontal="center" vertical="center"/>
    </xf>
    <xf numFmtId="166" fontId="8" fillId="8" borderId="20" xfId="6" applyNumberFormat="1" applyFont="1" applyFill="1" applyBorder="1" applyAlignment="1">
      <alignment horizontal="center" vertical="center"/>
    </xf>
    <xf numFmtId="167" fontId="8" fillId="5" borderId="20" xfId="6" applyNumberFormat="1" applyFont="1" applyFill="1" applyBorder="1" applyAlignment="1">
      <alignment horizontal="center" vertical="center"/>
    </xf>
    <xf numFmtId="0" fontId="88" fillId="5" borderId="20" xfId="0" applyFont="1" applyFill="1" applyBorder="1" applyAlignment="1">
      <alignment horizontal="center" vertical="center" wrapText="1"/>
    </xf>
    <xf numFmtId="0" fontId="53" fillId="0" borderId="20" xfId="0" applyFont="1" applyBorder="1" applyAlignment="1">
      <alignment horizontal="center" vertical="center" wrapText="1"/>
    </xf>
    <xf numFmtId="1" fontId="3" fillId="4" borderId="20" xfId="0" applyNumberFormat="1" applyFont="1" applyFill="1" applyBorder="1" applyAlignment="1">
      <alignment horizontal="center" vertical="center" wrapText="1"/>
    </xf>
    <xf numFmtId="0" fontId="84" fillId="5" borderId="20" xfId="0" applyFont="1" applyFill="1" applyBorder="1" applyAlignment="1">
      <alignment horizontal="center" vertical="center" wrapText="1"/>
    </xf>
    <xf numFmtId="0" fontId="8" fillId="10" borderId="20" xfId="0" applyFont="1" applyFill="1" applyBorder="1" applyAlignment="1">
      <alignment horizontal="center" vertical="center"/>
    </xf>
    <xf numFmtId="0" fontId="7" fillId="47" borderId="20" xfId="6" applyFont="1" applyFill="1" applyBorder="1" applyAlignment="1">
      <alignment horizontal="center" vertical="center" wrapText="1"/>
    </xf>
    <xf numFmtId="2" fontId="7" fillId="0" borderId="20" xfId="2" applyNumberFormat="1" applyFont="1" applyBorder="1" applyAlignment="1">
      <alignment horizontal="center" vertical="center" wrapText="1"/>
    </xf>
    <xf numFmtId="0" fontId="11" fillId="9" borderId="20" xfId="0" applyFont="1" applyFill="1" applyBorder="1" applyAlignment="1">
      <alignment horizontal="center" vertical="center"/>
    </xf>
    <xf numFmtId="0" fontId="7" fillId="11" borderId="20" xfId="0" applyFont="1" applyFill="1" applyBorder="1"/>
    <xf numFmtId="0" fontId="7" fillId="8" borderId="20" xfId="0" applyFont="1" applyFill="1" applyBorder="1"/>
    <xf numFmtId="1" fontId="10" fillId="0" borderId="20" xfId="0" applyNumberFormat="1" applyFont="1" applyBorder="1" applyAlignment="1">
      <alignment horizontal="center" vertical="center" wrapText="1"/>
    </xf>
    <xf numFmtId="1" fontId="13" fillId="0" borderId="20" xfId="0" applyNumberFormat="1" applyFont="1" applyBorder="1" applyAlignment="1">
      <alignment horizontal="center" vertical="center" wrapText="1"/>
    </xf>
    <xf numFmtId="167" fontId="7" fillId="5" borderId="20" xfId="6" applyNumberFormat="1" applyFont="1" applyFill="1" applyBorder="1" applyAlignment="1">
      <alignment horizontal="center" vertical="center" wrapText="1"/>
    </xf>
    <xf numFmtId="166" fontId="8" fillId="10" borderId="20" xfId="0" applyNumberFormat="1" applyFont="1" applyFill="1" applyBorder="1" applyAlignment="1">
      <alignment horizontal="center" vertical="center" wrapText="1"/>
    </xf>
    <xf numFmtId="1" fontId="3" fillId="2" borderId="20" xfId="0" applyNumberFormat="1" applyFont="1" applyFill="1" applyBorder="1" applyAlignment="1">
      <alignment horizontal="center" vertical="center"/>
    </xf>
    <xf numFmtId="2" fontId="14" fillId="2" borderId="20" xfId="0" applyNumberFormat="1"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0" xfId="0" applyFont="1" applyFill="1" applyBorder="1" applyAlignment="1">
      <alignment horizontal="center" vertical="center"/>
    </xf>
    <xf numFmtId="0" fontId="16" fillId="5" borderId="20" xfId="0" applyFont="1" applyFill="1" applyBorder="1" applyAlignment="1">
      <alignment horizontal="center" vertical="center" wrapText="1"/>
    </xf>
    <xf numFmtId="43" fontId="8" fillId="6" borderId="20" xfId="5" applyFont="1" applyFill="1" applyBorder="1" applyAlignment="1">
      <alignment horizontal="right" vertical="center"/>
    </xf>
    <xf numFmtId="0" fontId="81" fillId="5" borderId="20" xfId="0" applyFont="1" applyFill="1" applyBorder="1" applyAlignment="1">
      <alignment horizontal="center" vertical="center" wrapText="1"/>
    </xf>
    <xf numFmtId="1" fontId="8" fillId="5" borderId="20" xfId="0" applyNumberFormat="1" applyFont="1" applyFill="1" applyBorder="1" applyAlignment="1">
      <alignment horizontal="center" vertical="center" wrapText="1"/>
    </xf>
    <xf numFmtId="1" fontId="13" fillId="5" borderId="20" xfId="0" applyNumberFormat="1" applyFont="1" applyFill="1" applyBorder="1" applyAlignment="1">
      <alignment horizontal="center" vertical="center"/>
    </xf>
    <xf numFmtId="166" fontId="13" fillId="5" borderId="20" xfId="0" applyNumberFormat="1" applyFont="1" applyFill="1" applyBorder="1" applyAlignment="1">
      <alignment horizontal="center" vertical="center" wrapText="1"/>
    </xf>
    <xf numFmtId="166" fontId="8" fillId="44" borderId="20" xfId="6" applyNumberFormat="1" applyFont="1" applyFill="1" applyBorder="1" applyAlignment="1">
      <alignment horizontal="center" vertical="center" wrapText="1"/>
    </xf>
    <xf numFmtId="16" fontId="8" fillId="11" borderId="20" xfId="6" applyNumberFormat="1" applyFont="1" applyFill="1" applyBorder="1" applyAlignment="1">
      <alignment horizontal="center" vertical="center" wrapText="1"/>
    </xf>
    <xf numFmtId="166" fontId="91" fillId="0" borderId="20" xfId="20" applyNumberFormat="1" applyFont="1" applyFill="1" applyBorder="1" applyAlignment="1">
      <alignment horizontal="center" vertical="center" wrapText="1"/>
    </xf>
    <xf numFmtId="1" fontId="10" fillId="0" borderId="20" xfId="6" applyNumberFormat="1" applyFont="1" applyBorder="1" applyAlignment="1">
      <alignment horizontal="center" vertical="center" wrapText="1"/>
    </xf>
    <xf numFmtId="167" fontId="10" fillId="5" borderId="20" xfId="24" applyFont="1" applyFill="1" applyBorder="1" applyAlignment="1">
      <alignment horizontal="center" vertical="center" wrapText="1"/>
    </xf>
    <xf numFmtId="0" fontId="7" fillId="9" borderId="20" xfId="0" applyFont="1" applyFill="1" applyBorder="1" applyAlignment="1">
      <alignment horizontal="center" vertical="center" wrapText="1"/>
    </xf>
    <xf numFmtId="16" fontId="6" fillId="9" borderId="20" xfId="0" applyNumberFormat="1" applyFont="1" applyFill="1" applyBorder="1" applyAlignment="1">
      <alignment horizontal="left" vertical="center"/>
    </xf>
    <xf numFmtId="49" fontId="3" fillId="9" borderId="20" xfId="0" applyNumberFormat="1" applyFont="1" applyFill="1" applyBorder="1" applyAlignment="1">
      <alignment horizontal="center" vertical="center" wrapText="1"/>
    </xf>
    <xf numFmtId="0" fontId="3" fillId="9" borderId="20" xfId="0" applyFont="1" applyFill="1" applyBorder="1" applyAlignment="1">
      <alignment horizontal="center" vertical="center"/>
    </xf>
    <xf numFmtId="0" fontId="3" fillId="9" borderId="20" xfId="0" applyFont="1" applyFill="1" applyBorder="1" applyAlignment="1">
      <alignment horizontal="center" vertical="center" wrapText="1"/>
    </xf>
    <xf numFmtId="0" fontId="13" fillId="5" borderId="20" xfId="2" applyFont="1" applyFill="1" applyBorder="1" applyAlignment="1">
      <alignment horizontal="center" vertical="center" wrapText="1"/>
    </xf>
    <xf numFmtId="0" fontId="90" fillId="5" borderId="20" xfId="0" applyFont="1" applyFill="1" applyBorder="1" applyAlignment="1">
      <alignment horizontal="center" vertical="center" wrapText="1"/>
    </xf>
    <xf numFmtId="0" fontId="14" fillId="5" borderId="20" xfId="0" applyFont="1" applyFill="1" applyBorder="1" applyAlignment="1">
      <alignment horizontal="center" vertical="center" wrapText="1"/>
    </xf>
    <xf numFmtId="169" fontId="69" fillId="48" borderId="20" xfId="27" applyFont="1" applyFill="1" applyBorder="1" applyAlignment="1">
      <alignment horizontal="center" vertical="center" wrapText="1"/>
    </xf>
    <xf numFmtId="0" fontId="53" fillId="48" borderId="20" xfId="0" applyFont="1" applyFill="1" applyBorder="1" applyAlignment="1">
      <alignment horizontal="center" vertical="center" wrapText="1"/>
    </xf>
    <xf numFmtId="0" fontId="54" fillId="48" borderId="20" xfId="0" applyFont="1" applyFill="1" applyBorder="1" applyAlignment="1">
      <alignment horizontal="center" vertical="center" wrapText="1"/>
    </xf>
    <xf numFmtId="0" fontId="15" fillId="48" borderId="20" xfId="0" applyFont="1" applyFill="1" applyBorder="1" applyAlignment="1">
      <alignment horizontal="center" vertical="center" wrapText="1"/>
    </xf>
    <xf numFmtId="16" fontId="54" fillId="48" borderId="20" xfId="0" applyNumberFormat="1" applyFont="1" applyFill="1" applyBorder="1" applyAlignment="1">
      <alignment horizontal="center" vertical="center" wrapText="1"/>
    </xf>
    <xf numFmtId="169" fontId="62" fillId="48" borderId="20" xfId="27" applyFont="1" applyFill="1" applyBorder="1" applyAlignment="1">
      <alignment horizontal="center" vertical="center" wrapText="1"/>
    </xf>
    <xf numFmtId="1" fontId="15" fillId="48" borderId="20" xfId="0" applyNumberFormat="1" applyFont="1" applyFill="1" applyBorder="1" applyAlignment="1">
      <alignment horizontal="center" vertical="center" wrapText="1"/>
    </xf>
    <xf numFmtId="169" fontId="63" fillId="48" borderId="20" xfId="27" applyFont="1" applyFill="1" applyBorder="1" applyAlignment="1">
      <alignment horizontal="center" vertical="center" wrapText="1"/>
    </xf>
    <xf numFmtId="169" fontId="63" fillId="48" borderId="20" xfId="27" applyFont="1" applyFill="1" applyBorder="1" applyAlignment="1">
      <alignment vertical="center" wrapText="1"/>
    </xf>
    <xf numFmtId="0" fontId="14" fillId="48" borderId="20" xfId="0" applyFont="1" applyFill="1" applyBorder="1" applyAlignment="1">
      <alignment horizontal="center" vertical="center" wrapText="1"/>
    </xf>
    <xf numFmtId="14" fontId="14" fillId="0" borderId="20" xfId="0" applyNumberFormat="1" applyFont="1" applyBorder="1" applyAlignment="1">
      <alignment horizontal="center" vertical="center" wrapText="1"/>
    </xf>
    <xf numFmtId="1" fontId="15" fillId="0" borderId="20" xfId="0" applyNumberFormat="1" applyFont="1" applyBorder="1" applyAlignment="1">
      <alignment horizontal="center" vertical="center" wrapText="1"/>
    </xf>
    <xf numFmtId="0" fontId="15" fillId="0" borderId="20" xfId="0" applyFont="1" applyBorder="1" applyAlignment="1">
      <alignment horizontal="center" vertical="center" wrapText="1"/>
    </xf>
    <xf numFmtId="167" fontId="15" fillId="0" borderId="20" xfId="20" applyFont="1" applyFill="1" applyBorder="1" applyAlignment="1">
      <alignment horizontal="center" vertical="center" wrapText="1"/>
    </xf>
    <xf numFmtId="0" fontId="44" fillId="0" borderId="20" xfId="0" applyFont="1" applyBorder="1" applyAlignment="1">
      <alignment horizontal="center" vertical="center" wrapText="1"/>
    </xf>
    <xf numFmtId="0" fontId="65" fillId="0" borderId="20" xfId="2" applyFont="1" applyBorder="1" applyAlignment="1">
      <alignment horizontal="center" vertical="center"/>
    </xf>
    <xf numFmtId="167" fontId="4" fillId="0" borderId="20" xfId="20" applyFont="1" applyFill="1" applyBorder="1" applyAlignment="1">
      <alignment horizontal="center" vertical="center" wrapText="1"/>
    </xf>
    <xf numFmtId="166" fontId="4" fillId="0" borderId="20" xfId="20" applyNumberFormat="1" applyFont="1" applyFill="1" applyBorder="1" applyAlignment="1">
      <alignment horizontal="center" vertical="center" wrapText="1"/>
    </xf>
    <xf numFmtId="0" fontId="4" fillId="0" borderId="20" xfId="6" applyFont="1" applyBorder="1" applyAlignment="1">
      <alignment horizontal="center" vertical="center" wrapText="1"/>
    </xf>
    <xf numFmtId="167" fontId="4" fillId="0" borderId="20" xfId="7" applyNumberFormat="1" applyFont="1" applyFill="1" applyBorder="1" applyAlignment="1">
      <alignment horizontal="center" vertical="center" wrapText="1"/>
    </xf>
    <xf numFmtId="167" fontId="4" fillId="6" borderId="20" xfId="10" applyNumberFormat="1" applyFont="1" applyFill="1" applyBorder="1" applyAlignment="1">
      <alignment horizontal="center" vertical="center" wrapText="1"/>
    </xf>
    <xf numFmtId="169" fontId="4" fillId="0" borderId="20" xfId="15" applyFont="1" applyBorder="1" applyAlignment="1">
      <alignment horizontal="center" vertical="center" wrapText="1"/>
    </xf>
    <xf numFmtId="0" fontId="14" fillId="0" borderId="0" xfId="0" applyFont="1" applyAlignment="1">
      <alignment vertical="center" wrapText="1"/>
    </xf>
    <xf numFmtId="16" fontId="54" fillId="0" borderId="20" xfId="0" applyNumberFormat="1" applyFont="1" applyBorder="1" applyAlignment="1">
      <alignment horizontal="center" vertical="center" wrapText="1"/>
    </xf>
    <xf numFmtId="0" fontId="82" fillId="5" borderId="20" xfId="0" applyFont="1" applyFill="1" applyBorder="1" applyAlignment="1">
      <alignment horizontal="center" vertical="center" wrapText="1"/>
    </xf>
    <xf numFmtId="0" fontId="89" fillId="9" borderId="20" xfId="0" applyFont="1" applyFill="1" applyBorder="1" applyAlignment="1">
      <alignment horizontal="center" vertical="center" wrapText="1"/>
    </xf>
    <xf numFmtId="0" fontId="90" fillId="9" borderId="20" xfId="0" applyFont="1" applyFill="1" applyBorder="1" applyAlignment="1">
      <alignment horizontal="center" vertical="center" wrapText="1"/>
    </xf>
    <xf numFmtId="166" fontId="3" fillId="0" borderId="20" xfId="20" applyNumberFormat="1" applyFont="1" applyFill="1" applyBorder="1" applyAlignment="1">
      <alignment horizontal="center" vertical="center" wrapText="1"/>
    </xf>
    <xf numFmtId="166" fontId="3" fillId="5" borderId="20" xfId="0" applyNumberFormat="1"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1" xfId="0" applyFont="1" applyFill="1" applyBorder="1" applyAlignment="1">
      <alignment horizontal="center" vertical="center" wrapText="1"/>
    </xf>
    <xf numFmtId="1" fontId="4" fillId="5" borderId="1" xfId="0" applyNumberFormat="1" applyFont="1" applyFill="1" applyBorder="1" applyAlignment="1">
      <alignment horizontal="center" vertical="center" wrapText="1"/>
    </xf>
    <xf numFmtId="0" fontId="4" fillId="5" borderId="1" xfId="0" applyFont="1" applyFill="1" applyBorder="1" applyAlignment="1">
      <alignment horizontal="center" vertical="center" wrapText="1"/>
    </xf>
    <xf numFmtId="167" fontId="4" fillId="5" borderId="1" xfId="20" applyFont="1" applyFill="1" applyBorder="1" applyAlignment="1">
      <alignment horizontal="center" vertical="center" wrapText="1"/>
    </xf>
    <xf numFmtId="166" fontId="91" fillId="5" borderId="20" xfId="20" applyNumberFormat="1" applyFont="1" applyFill="1" applyBorder="1" applyAlignment="1">
      <alignment horizontal="center" vertical="center" wrapText="1"/>
    </xf>
    <xf numFmtId="169" fontId="17" fillId="5" borderId="0" xfId="27" applyFont="1" applyFill="1" applyAlignment="1">
      <alignment horizontal="center" vertical="center" wrapText="1"/>
    </xf>
    <xf numFmtId="1" fontId="17" fillId="5" borderId="0" xfId="27" applyNumberFormat="1" applyFont="1" applyFill="1" applyAlignment="1">
      <alignment vertical="center" wrapText="1"/>
    </xf>
    <xf numFmtId="2" fontId="17" fillId="5" borderId="0" xfId="27" applyNumberFormat="1" applyFont="1" applyFill="1" applyAlignment="1">
      <alignment horizontal="center" vertical="center" wrapText="1"/>
    </xf>
    <xf numFmtId="169" fontId="17" fillId="5" borderId="0" xfId="27" applyFont="1" applyFill="1" applyAlignment="1">
      <alignment vertical="center" wrapText="1"/>
    </xf>
    <xf numFmtId="169" fontId="17" fillId="5" borderId="0" xfId="27" applyFont="1" applyFill="1" applyAlignment="1">
      <alignment horizontal="right" vertical="center" wrapText="1"/>
    </xf>
    <xf numFmtId="166" fontId="8" fillId="9" borderId="1" xfId="6" applyNumberFormat="1" applyFont="1" applyFill="1" applyBorder="1" applyAlignment="1">
      <alignment horizontal="center" vertical="center" wrapText="1"/>
    </xf>
    <xf numFmtId="167" fontId="8" fillId="5" borderId="20" xfId="24" applyFont="1" applyFill="1" applyBorder="1" applyAlignment="1">
      <alignment horizontal="center" vertical="center" wrapText="1"/>
    </xf>
    <xf numFmtId="0" fontId="10" fillId="0" borderId="20" xfId="6" applyFont="1" applyBorder="1" applyAlignment="1">
      <alignment horizontal="center" vertical="center" wrapText="1"/>
    </xf>
    <xf numFmtId="0" fontId="43" fillId="9" borderId="20" xfId="0" applyFont="1" applyFill="1" applyBorder="1" applyAlignment="1">
      <alignment horizontal="center" vertical="center"/>
    </xf>
    <xf numFmtId="169" fontId="8" fillId="5" borderId="20" xfId="0" applyNumberFormat="1" applyFont="1" applyFill="1" applyBorder="1" applyAlignment="1">
      <alignment horizontal="center" vertical="center" wrapText="1"/>
    </xf>
    <xf numFmtId="0" fontId="89" fillId="5" borderId="20" xfId="0" applyFont="1" applyFill="1" applyBorder="1" applyAlignment="1">
      <alignment horizontal="center" vertical="center" wrapText="1"/>
    </xf>
    <xf numFmtId="0" fontId="13" fillId="5" borderId="4" xfId="2" applyFont="1" applyFill="1" applyBorder="1" applyAlignment="1">
      <alignment horizontal="center" vertical="center" wrapText="1"/>
    </xf>
    <xf numFmtId="2" fontId="8" fillId="9" borderId="20" xfId="0" applyNumberFormat="1" applyFont="1" applyFill="1" applyBorder="1" applyAlignment="1">
      <alignment horizontal="center" vertical="center"/>
    </xf>
    <xf numFmtId="169" fontId="3" fillId="5" borderId="20" xfId="27" applyFont="1" applyFill="1" applyBorder="1" applyAlignment="1">
      <alignment horizontal="center" vertical="center" wrapText="1"/>
    </xf>
    <xf numFmtId="2" fontId="8" fillId="10" borderId="20" xfId="0" applyNumberFormat="1" applyFont="1" applyFill="1" applyBorder="1" applyAlignment="1">
      <alignment horizontal="center" vertical="center"/>
    </xf>
    <xf numFmtId="0" fontId="13" fillId="9" borderId="20" xfId="0" applyFont="1" applyFill="1" applyBorder="1" applyAlignment="1">
      <alignment horizontal="center" vertical="center" wrapText="1"/>
    </xf>
    <xf numFmtId="0" fontId="13" fillId="9" borderId="20" xfId="2" applyFont="1" applyFill="1" applyBorder="1" applyAlignment="1">
      <alignment horizontal="center" vertical="center" wrapText="1"/>
    </xf>
    <xf numFmtId="8" fontId="15" fillId="0" borderId="0" xfId="14" applyNumberFormat="1" applyFont="1" applyAlignment="1">
      <alignment horizontal="center" vertical="center"/>
    </xf>
    <xf numFmtId="2" fontId="8" fillId="48" borderId="20" xfId="0" applyNumberFormat="1" applyFont="1" applyFill="1" applyBorder="1" applyAlignment="1">
      <alignment horizontal="center" vertical="center"/>
    </xf>
    <xf numFmtId="16" fontId="13" fillId="5" borderId="20" xfId="0" applyNumberFormat="1" applyFont="1" applyFill="1" applyBorder="1" applyAlignment="1">
      <alignment horizontal="center" vertical="center"/>
    </xf>
    <xf numFmtId="166" fontId="7" fillId="10" borderId="20" xfId="0"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wrapText="1"/>
    </xf>
    <xf numFmtId="0" fontId="7" fillId="10" borderId="20" xfId="0" applyFont="1" applyFill="1" applyBorder="1" applyAlignment="1">
      <alignment horizontal="center" vertical="center" wrapText="1"/>
    </xf>
    <xf numFmtId="0" fontId="13" fillId="9" borderId="1" xfId="2" applyFont="1" applyFill="1" applyBorder="1" applyAlignment="1">
      <alignment horizontal="center" vertical="center" wrapText="1"/>
    </xf>
    <xf numFmtId="0" fontId="8" fillId="5" borderId="20" xfId="113" applyFont="1" applyFill="1" applyBorder="1" applyAlignment="1">
      <alignment horizontal="center" vertical="center" wrapText="1"/>
    </xf>
    <xf numFmtId="0" fontId="81" fillId="5" borderId="22" xfId="0" applyFont="1" applyFill="1" applyBorder="1" applyAlignment="1">
      <alignment horizontal="center" vertical="center" wrapText="1"/>
    </xf>
    <xf numFmtId="0" fontId="81" fillId="5" borderId="26" xfId="0" applyFont="1" applyFill="1" applyBorder="1" applyAlignment="1">
      <alignment horizontal="center" vertical="center" wrapText="1"/>
    </xf>
    <xf numFmtId="0" fontId="81" fillId="5" borderId="4" xfId="0" applyFont="1" applyFill="1" applyBorder="1" applyAlignment="1">
      <alignment horizontal="center" vertical="center" wrapText="1"/>
    </xf>
    <xf numFmtId="166" fontId="91" fillId="5" borderId="22" xfId="20" applyNumberFormat="1" applyFont="1" applyFill="1" applyBorder="1" applyAlignment="1">
      <alignment horizontal="center" vertical="center" wrapText="1"/>
    </xf>
    <xf numFmtId="1" fontId="4" fillId="0" borderId="20" xfId="27" applyNumberFormat="1" applyFont="1" applyBorder="1" applyAlignment="1">
      <alignment horizontal="center" vertical="center" wrapText="1"/>
    </xf>
    <xf numFmtId="169" fontId="4" fillId="0" borderId="20" xfId="27" applyFont="1" applyBorder="1" applyAlignment="1">
      <alignment horizontal="center" vertical="center" wrapText="1"/>
    </xf>
    <xf numFmtId="166" fontId="11" fillId="0" borderId="20" xfId="0" applyNumberFormat="1" applyFont="1" applyBorder="1" applyAlignment="1">
      <alignment vertical="center"/>
    </xf>
    <xf numFmtId="0" fontId="8" fillId="5" borderId="20" xfId="474" applyFill="1" applyBorder="1" applyAlignment="1">
      <alignment horizontal="center" vertical="center" wrapText="1"/>
    </xf>
    <xf numFmtId="2" fontId="8" fillId="5" borderId="20" xfId="6" applyNumberFormat="1" applyFont="1" applyFill="1" applyBorder="1" applyAlignment="1">
      <alignment horizontal="center" vertical="center" wrapText="1"/>
    </xf>
    <xf numFmtId="166" fontId="10" fillId="0" borderId="20" xfId="6" applyNumberFormat="1" applyFont="1" applyBorder="1" applyAlignment="1">
      <alignment horizontal="center" vertical="center" wrapText="1"/>
    </xf>
    <xf numFmtId="2" fontId="7" fillId="5" borderId="20" xfId="2" applyNumberFormat="1" applyFont="1" applyFill="1" applyBorder="1" applyAlignment="1">
      <alignment horizontal="center" vertical="center" wrapText="1"/>
    </xf>
    <xf numFmtId="1" fontId="7" fillId="5" borderId="20" xfId="6" applyNumberFormat="1" applyFont="1" applyFill="1" applyBorder="1" applyAlignment="1">
      <alignment horizontal="center" vertical="center"/>
    </xf>
    <xf numFmtId="167" fontId="7" fillId="47" borderId="20" xfId="0" applyNumberFormat="1" applyFont="1" applyFill="1" applyBorder="1" applyAlignment="1">
      <alignment horizontal="center" vertical="center" wrapText="1"/>
    </xf>
    <xf numFmtId="170" fontId="8" fillId="5" borderId="20" xfId="0" applyNumberFormat="1" applyFont="1" applyFill="1" applyBorder="1" applyAlignment="1">
      <alignment horizontal="center" vertical="center" wrapText="1"/>
    </xf>
    <xf numFmtId="166" fontId="8" fillId="0" borderId="20" xfId="2" applyNumberFormat="1" applyFont="1" applyBorder="1" applyAlignment="1">
      <alignment horizontal="center" vertical="center" wrapText="1"/>
    </xf>
    <xf numFmtId="166" fontId="93" fillId="0" borderId="20" xfId="20" applyNumberFormat="1" applyFont="1" applyFill="1" applyBorder="1" applyAlignment="1">
      <alignment horizontal="center" vertical="center" wrapText="1"/>
    </xf>
    <xf numFmtId="0" fontId="81" fillId="5" borderId="20" xfId="0" applyFont="1" applyFill="1" applyBorder="1" applyAlignment="1">
      <alignment vertical="center" wrapText="1"/>
    </xf>
    <xf numFmtId="166" fontId="7" fillId="9" borderId="20" xfId="0" applyNumberFormat="1" applyFont="1" applyFill="1" applyBorder="1" applyAlignment="1">
      <alignment horizontal="center" vertical="center" wrapText="1"/>
    </xf>
    <xf numFmtId="0" fontId="13" fillId="9" borderId="20" xfId="6" applyFont="1" applyFill="1" applyBorder="1" applyAlignment="1">
      <alignment horizontal="center" vertical="center" wrapText="1"/>
    </xf>
    <xf numFmtId="166" fontId="13" fillId="9" borderId="20" xfId="0" applyNumberFormat="1" applyFont="1" applyFill="1" applyBorder="1" applyAlignment="1">
      <alignment horizontal="center" vertical="center" wrapText="1"/>
    </xf>
    <xf numFmtId="1" fontId="8" fillId="9" borderId="20" xfId="0" applyNumberFormat="1" applyFont="1" applyFill="1" applyBorder="1" applyAlignment="1">
      <alignment horizontal="center" vertical="center" wrapText="1"/>
    </xf>
    <xf numFmtId="0" fontId="8" fillId="9" borderId="20" xfId="2" applyFont="1" applyFill="1" applyBorder="1" applyAlignment="1">
      <alignment horizontal="center" vertical="center"/>
    </xf>
    <xf numFmtId="2" fontId="8" fillId="0" borderId="20" xfId="9" applyNumberFormat="1" applyFont="1" applyFill="1" applyBorder="1" applyAlignment="1">
      <alignment horizontal="center" vertical="center"/>
    </xf>
    <xf numFmtId="169" fontId="80" fillId="2" borderId="20" xfId="27" applyFont="1" applyFill="1" applyBorder="1" applyAlignment="1">
      <alignment horizontal="center" vertical="center" wrapText="1"/>
    </xf>
    <xf numFmtId="16" fontId="8" fillId="0" borderId="20" xfId="0" quotePrefix="1" applyNumberFormat="1" applyFont="1" applyBorder="1" applyAlignment="1">
      <alignment horizontal="center" vertical="center"/>
    </xf>
    <xf numFmtId="167" fontId="10" fillId="5" borderId="20" xfId="6" applyNumberFormat="1" applyFont="1" applyFill="1" applyBorder="1" applyAlignment="1">
      <alignment horizontal="center" vertical="center" wrapText="1"/>
    </xf>
    <xf numFmtId="167" fontId="7" fillId="47" borderId="20" xfId="6" applyNumberFormat="1" applyFont="1" applyFill="1" applyBorder="1" applyAlignment="1">
      <alignment horizontal="center" vertical="center" wrapText="1"/>
    </xf>
    <xf numFmtId="16" fontId="8" fillId="0" borderId="20" xfId="2" applyNumberFormat="1" applyFont="1" applyBorder="1" applyAlignment="1">
      <alignment horizontal="center" vertical="center"/>
    </xf>
    <xf numFmtId="0" fontId="84" fillId="0" borderId="20" xfId="0" applyFont="1" applyBorder="1" applyAlignment="1">
      <alignment horizontal="center" vertical="center" wrapText="1"/>
    </xf>
    <xf numFmtId="0" fontId="81" fillId="5" borderId="4" xfId="0" applyFont="1" applyFill="1" applyBorder="1" applyAlignment="1">
      <alignment vertical="center" wrapText="1"/>
    </xf>
    <xf numFmtId="1" fontId="6" fillId="4" borderId="20" xfId="0" applyNumberFormat="1" applyFont="1" applyFill="1" applyBorder="1" applyAlignment="1">
      <alignment horizontal="center" vertical="center" wrapText="1"/>
    </xf>
    <xf numFmtId="0" fontId="10" fillId="9" borderId="20" xfId="0" applyFont="1" applyFill="1" applyBorder="1" applyAlignment="1">
      <alignment horizontal="center" vertical="center"/>
    </xf>
    <xf numFmtId="0" fontId="8" fillId="9" borderId="20" xfId="0" applyFont="1" applyFill="1" applyBorder="1" applyAlignment="1">
      <alignment horizontal="center" vertical="center"/>
    </xf>
    <xf numFmtId="1" fontId="7" fillId="9" borderId="20" xfId="0" applyNumberFormat="1" applyFont="1" applyFill="1" applyBorder="1" applyAlignment="1">
      <alignment horizontal="center" vertical="center"/>
    </xf>
    <xf numFmtId="0" fontId="87" fillId="5" borderId="20" xfId="0" applyFont="1" applyFill="1" applyBorder="1" applyAlignment="1">
      <alignment horizontal="center" vertical="center" wrapText="1"/>
    </xf>
    <xf numFmtId="0" fontId="3" fillId="11" borderId="1" xfId="2" applyFont="1" applyFill="1" applyBorder="1" applyAlignment="1">
      <alignment horizontal="center" vertical="center"/>
    </xf>
    <xf numFmtId="16" fontId="11" fillId="5" borderId="20" xfId="0" applyNumberFormat="1" applyFont="1" applyFill="1" applyBorder="1" applyAlignment="1">
      <alignment horizontal="center" vertical="center"/>
    </xf>
    <xf numFmtId="16" fontId="43" fillId="5" borderId="22" xfId="0" applyNumberFormat="1" applyFont="1" applyFill="1" applyBorder="1" applyAlignment="1">
      <alignment horizontal="center" vertical="center"/>
    </xf>
    <xf numFmtId="2" fontId="10" fillId="7" borderId="20" xfId="6" applyNumberFormat="1" applyFont="1" applyFill="1" applyBorder="1" applyAlignment="1">
      <alignment horizontal="center" vertical="center" wrapText="1"/>
    </xf>
    <xf numFmtId="16" fontId="7" fillId="10" borderId="22" xfId="0" applyNumberFormat="1" applyFont="1" applyFill="1" applyBorder="1" applyAlignment="1">
      <alignment horizontal="center" vertical="center"/>
    </xf>
    <xf numFmtId="16" fontId="13" fillId="5" borderId="20" xfId="2" applyNumberFormat="1" applyFont="1" applyFill="1" applyBorder="1" applyAlignment="1">
      <alignment horizontal="center" vertical="center"/>
    </xf>
    <xf numFmtId="0" fontId="7" fillId="5" borderId="20" xfId="6" applyFont="1" applyFill="1" applyBorder="1" applyAlignment="1">
      <alignment horizontal="center" vertical="center"/>
    </xf>
    <xf numFmtId="0" fontId="8" fillId="49" borderId="20" xfId="0" applyFont="1" applyFill="1" applyBorder="1" applyAlignment="1">
      <alignment horizontal="center" vertical="center"/>
    </xf>
    <xf numFmtId="0" fontId="8" fillId="50" borderId="20" xfId="0" applyFont="1" applyFill="1" applyBorder="1" applyAlignment="1">
      <alignment horizontal="center" vertical="center"/>
    </xf>
    <xf numFmtId="0" fontId="8" fillId="50" borderId="20" xfId="0" applyFont="1" applyFill="1" applyBorder="1" applyAlignment="1">
      <alignment horizontal="center" vertical="center" wrapText="1"/>
    </xf>
    <xf numFmtId="0" fontId="87" fillId="50" borderId="20" xfId="0" applyFont="1" applyFill="1" applyBorder="1" applyAlignment="1">
      <alignment horizontal="center" vertical="center" wrapText="1"/>
    </xf>
    <xf numFmtId="0" fontId="94" fillId="51" borderId="22" xfId="0" applyFont="1" applyFill="1" applyBorder="1" applyAlignment="1">
      <alignment horizontal="center" vertical="center"/>
    </xf>
    <xf numFmtId="0" fontId="3" fillId="52" borderId="20" xfId="0" applyFont="1" applyFill="1" applyBorder="1" applyAlignment="1">
      <alignment horizontal="center" vertical="center" wrapText="1"/>
    </xf>
    <xf numFmtId="0" fontId="3" fillId="52" borderId="20" xfId="0" applyFont="1" applyFill="1" applyBorder="1" applyAlignment="1">
      <alignment horizontal="center" vertical="center"/>
    </xf>
    <xf numFmtId="0" fontId="95" fillId="52" borderId="20" xfId="0" applyFont="1" applyFill="1" applyBorder="1" applyAlignment="1">
      <alignment horizontal="center" vertical="center" wrapText="1"/>
    </xf>
    <xf numFmtId="0" fontId="3" fillId="52" borderId="20" xfId="0" applyFont="1" applyFill="1" applyBorder="1" applyAlignment="1">
      <alignment vertical="center"/>
    </xf>
    <xf numFmtId="167" fontId="8" fillId="47" borderId="20" xfId="0" applyNumberFormat="1" applyFont="1" applyFill="1" applyBorder="1" applyAlignment="1">
      <alignment horizontal="center" vertical="center" wrapText="1"/>
    </xf>
    <xf numFmtId="0" fontId="8" fillId="53" borderId="20" xfId="0" applyFont="1" applyFill="1" applyBorder="1" applyAlignment="1">
      <alignment horizontal="center" vertical="center" wrapText="1"/>
    </xf>
    <xf numFmtId="0" fontId="6" fillId="51" borderId="20" xfId="0" applyFont="1" applyFill="1" applyBorder="1" applyAlignment="1">
      <alignment horizontal="left" vertical="center"/>
    </xf>
    <xf numFmtId="0" fontId="3" fillId="51" borderId="20" xfId="0" applyFont="1" applyFill="1" applyBorder="1" applyAlignment="1">
      <alignment horizontal="center" vertical="center" wrapText="1"/>
    </xf>
    <xf numFmtId="0" fontId="3" fillId="51" borderId="20" xfId="0" applyFont="1" applyFill="1" applyBorder="1" applyAlignment="1">
      <alignment horizontal="center" vertical="center"/>
    </xf>
    <xf numFmtId="0" fontId="87" fillId="51" borderId="20" xfId="0" applyFont="1" applyFill="1" applyBorder="1" applyAlignment="1">
      <alignment horizontal="center" vertical="center" wrapText="1"/>
    </xf>
    <xf numFmtId="0" fontId="87" fillId="0" borderId="20" xfId="0" applyFont="1" applyBorder="1"/>
    <xf numFmtId="0" fontId="7" fillId="0" borderId="20" xfId="14" applyFont="1" applyBorder="1"/>
    <xf numFmtId="0" fontId="8" fillId="54" borderId="20" xfId="2" applyFont="1" applyFill="1" applyBorder="1" applyAlignment="1">
      <alignment horizontal="center" vertical="center"/>
    </xf>
    <xf numFmtId="16" fontId="8" fillId="0" borderId="20" xfId="6" applyNumberFormat="1" applyFont="1" applyBorder="1" applyAlignment="1">
      <alignment horizontal="center" vertical="center"/>
    </xf>
    <xf numFmtId="0" fontId="7" fillId="6" borderId="20" xfId="0" applyFont="1" applyFill="1" applyBorder="1" applyAlignment="1">
      <alignment horizontal="center" vertical="center" wrapText="1"/>
    </xf>
    <xf numFmtId="0" fontId="96" fillId="5" borderId="20" xfId="0" applyFont="1" applyFill="1" applyBorder="1" applyAlignment="1">
      <alignment horizontal="center" vertical="center" wrapText="1"/>
    </xf>
    <xf numFmtId="49" fontId="7" fillId="0" borderId="20" xfId="6" applyNumberFormat="1" applyFont="1" applyBorder="1" applyAlignment="1">
      <alignment horizontal="center" vertical="center" wrapText="1"/>
    </xf>
    <xf numFmtId="1" fontId="7" fillId="0" borderId="20" xfId="0" applyNumberFormat="1" applyFont="1" applyBorder="1" applyAlignment="1">
      <alignment horizontal="center" vertical="center"/>
    </xf>
    <xf numFmtId="0" fontId="8" fillId="5" borderId="20" xfId="474" applyFill="1" applyBorder="1" applyAlignment="1">
      <alignment horizontal="center" vertical="center"/>
    </xf>
    <xf numFmtId="1" fontId="4" fillId="5" borderId="20" xfId="0" applyNumberFormat="1" applyFont="1" applyFill="1" applyBorder="1" applyAlignment="1">
      <alignment horizontal="center" vertical="center" wrapText="1"/>
    </xf>
    <xf numFmtId="0" fontId="8" fillId="47" borderId="20" xfId="113" applyFont="1" applyFill="1" applyBorder="1" applyAlignment="1">
      <alignment horizontal="center" vertical="center" wrapText="1"/>
    </xf>
    <xf numFmtId="167" fontId="8" fillId="6" borderId="20" xfId="0" applyNumberFormat="1" applyFont="1" applyFill="1" applyBorder="1" applyAlignment="1">
      <alignment horizontal="center" vertical="center"/>
    </xf>
    <xf numFmtId="43" fontId="10" fillId="0" borderId="20" xfId="5" applyFont="1" applyFill="1" applyBorder="1" applyAlignment="1">
      <alignment vertical="center"/>
    </xf>
    <xf numFmtId="166" fontId="7" fillId="0" borderId="20" xfId="0" applyNumberFormat="1" applyFont="1" applyBorder="1" applyAlignment="1">
      <alignment horizontal="center" vertical="center"/>
    </xf>
    <xf numFmtId="0" fontId="8" fillId="0" borderId="20" xfId="2" applyFont="1" applyBorder="1" applyAlignment="1">
      <alignment horizontal="center" vertical="center" wrapText="1"/>
    </xf>
    <xf numFmtId="16" fontId="10" fillId="55" borderId="20" xfId="2" applyNumberFormat="1" applyFont="1" applyFill="1" applyBorder="1" applyAlignment="1">
      <alignment horizontal="center" vertical="center"/>
    </xf>
    <xf numFmtId="16" fontId="8" fillId="9" borderId="20" xfId="6" applyNumberFormat="1" applyFont="1" applyFill="1" applyBorder="1" applyAlignment="1">
      <alignment horizontal="center" vertical="center"/>
    </xf>
    <xf numFmtId="16" fontId="43" fillId="9" borderId="20" xfId="0" applyNumberFormat="1" applyFont="1" applyFill="1" applyBorder="1" applyAlignment="1">
      <alignment horizontal="center" vertical="center"/>
    </xf>
    <xf numFmtId="2" fontId="7" fillId="0" borderId="20" xfId="6" applyNumberFormat="1" applyFont="1" applyBorder="1" applyAlignment="1">
      <alignment horizontal="center" vertical="center" wrapText="1"/>
    </xf>
    <xf numFmtId="1" fontId="7" fillId="0" borderId="20" xfId="6" applyNumberFormat="1" applyFont="1" applyBorder="1" applyAlignment="1">
      <alignment horizontal="center" vertical="center"/>
    </xf>
    <xf numFmtId="1" fontId="7" fillId="0" borderId="20" xfId="0" applyNumberFormat="1" applyFont="1" applyBorder="1" applyAlignment="1">
      <alignment horizontal="center" vertical="center" wrapText="1"/>
    </xf>
    <xf numFmtId="166" fontId="7" fillId="0" borderId="20" xfId="6" applyNumberFormat="1" applyFont="1" applyBorder="1" applyAlignment="1">
      <alignment horizontal="center" vertical="center" wrapText="1"/>
    </xf>
    <xf numFmtId="2" fontId="7" fillId="0" borderId="20" xfId="0" applyNumberFormat="1" applyFont="1" applyBorder="1" applyAlignment="1">
      <alignment horizontal="center" vertical="center"/>
    </xf>
    <xf numFmtId="0" fontId="8" fillId="8" borderId="20" xfId="0" applyFont="1" applyFill="1" applyBorder="1" applyAlignment="1">
      <alignment horizontal="center" vertical="center"/>
    </xf>
    <xf numFmtId="43" fontId="8" fillId="0" borderId="20" xfId="1" applyFont="1" applyFill="1" applyBorder="1" applyAlignment="1">
      <alignment vertical="center"/>
    </xf>
    <xf numFmtId="0" fontId="7" fillId="47" borderId="20" xfId="2" applyFont="1" applyFill="1" applyBorder="1" applyAlignment="1">
      <alignment horizontal="center" vertical="center" wrapText="1"/>
    </xf>
    <xf numFmtId="0" fontId="7" fillId="47" borderId="20" xfId="0" applyFont="1" applyFill="1" applyBorder="1" applyAlignment="1">
      <alignment horizontal="center" vertical="center"/>
    </xf>
    <xf numFmtId="0" fontId="90" fillId="5" borderId="26" xfId="0" applyFont="1" applyFill="1" applyBorder="1" applyAlignment="1">
      <alignment horizontal="center" vertical="center" wrapText="1"/>
    </xf>
    <xf numFmtId="0" fontId="90" fillId="5" borderId="26" xfId="0" applyFont="1" applyFill="1" applyBorder="1" applyAlignment="1">
      <alignment vertical="center" wrapText="1"/>
    </xf>
    <xf numFmtId="0" fontId="90" fillId="5" borderId="4" xfId="0" applyFont="1" applyFill="1" applyBorder="1" applyAlignment="1">
      <alignment vertical="center" wrapText="1"/>
    </xf>
    <xf numFmtId="0" fontId="7" fillId="0" borderId="20" xfId="0" applyFont="1" applyBorder="1" applyAlignment="1">
      <alignment horizontal="center" vertical="center" wrapText="1" readingOrder="1"/>
    </xf>
    <xf numFmtId="49" fontId="7" fillId="56" borderId="20" xfId="0" applyNumberFormat="1" applyFont="1" applyFill="1" applyBorder="1" applyAlignment="1">
      <alignment horizontal="center" vertical="center" wrapText="1" readingOrder="1"/>
    </xf>
    <xf numFmtId="14" fontId="1" fillId="0" borderId="20" xfId="14" applyNumberFormat="1" applyBorder="1" applyAlignment="1">
      <alignment horizontal="center" vertical="center"/>
    </xf>
    <xf numFmtId="49" fontId="8" fillId="56" borderId="20" xfId="0" applyNumberFormat="1" applyFont="1" applyFill="1" applyBorder="1" applyAlignment="1">
      <alignment horizontal="center" vertical="center" wrapText="1" readingOrder="1"/>
    </xf>
    <xf numFmtId="49" fontId="97" fillId="47" borderId="20" xfId="0" applyNumberFormat="1" applyFont="1" applyFill="1" applyBorder="1" applyAlignment="1">
      <alignment horizontal="center" vertical="center" wrapText="1" readingOrder="1"/>
    </xf>
    <xf numFmtId="49" fontId="97" fillId="5" borderId="20" xfId="0" applyNumberFormat="1" applyFont="1" applyFill="1" applyBorder="1" applyAlignment="1">
      <alignment horizontal="center" vertical="center" wrapText="1" readingOrder="1"/>
    </xf>
    <xf numFmtId="0" fontId="87" fillId="49" borderId="20" xfId="0" applyFont="1" applyFill="1" applyBorder="1" applyAlignment="1">
      <alignment horizontal="center" vertical="center"/>
    </xf>
    <xf numFmtId="4" fontId="87" fillId="0" borderId="20" xfId="0" applyNumberFormat="1" applyFont="1" applyBorder="1" applyAlignment="1">
      <alignment vertical="center"/>
    </xf>
    <xf numFmtId="166" fontId="7" fillId="0" borderId="20" xfId="2" applyNumberFormat="1" applyFont="1" applyBorder="1" applyAlignment="1">
      <alignment horizontal="center" vertical="center" wrapText="1"/>
    </xf>
    <xf numFmtId="166" fontId="10" fillId="0" borderId="20" xfId="0" applyNumberFormat="1" applyFont="1" applyBorder="1" applyAlignment="1">
      <alignment horizontal="center" vertical="center"/>
    </xf>
    <xf numFmtId="167" fontId="10" fillId="0" borderId="20" xfId="0" applyNumberFormat="1" applyFont="1" applyBorder="1" applyAlignment="1">
      <alignment horizontal="center" vertical="center"/>
    </xf>
    <xf numFmtId="0" fontId="10" fillId="0" borderId="20" xfId="0" applyFont="1" applyBorder="1" applyAlignment="1">
      <alignment vertical="center"/>
    </xf>
    <xf numFmtId="1" fontId="8" fillId="0" borderId="20" xfId="6" applyNumberFormat="1" applyFont="1" applyBorder="1" applyAlignment="1">
      <alignment horizontal="center" vertical="center" wrapText="1"/>
    </xf>
    <xf numFmtId="1" fontId="54" fillId="48" borderId="20" xfId="0" applyNumberFormat="1" applyFont="1" applyFill="1" applyBorder="1" applyAlignment="1">
      <alignment horizontal="center" vertical="center" wrapText="1"/>
    </xf>
    <xf numFmtId="166" fontId="8" fillId="9" borderId="20" xfId="0" applyNumberFormat="1" applyFont="1" applyFill="1" applyBorder="1" applyAlignment="1">
      <alignment horizontal="center" vertical="center" wrapText="1"/>
    </xf>
    <xf numFmtId="0" fontId="87" fillId="53" borderId="20" xfId="0" applyFont="1" applyFill="1" applyBorder="1" applyAlignment="1">
      <alignment horizontal="center" vertical="center" wrapText="1"/>
    </xf>
    <xf numFmtId="169" fontId="8" fillId="0" borderId="20" xfId="15" applyBorder="1" applyAlignment="1">
      <alignment horizontal="center" vertical="center" wrapText="1"/>
    </xf>
    <xf numFmtId="0" fontId="8" fillId="5" borderId="20" xfId="7" applyNumberFormat="1" applyFont="1" applyFill="1" applyBorder="1" applyAlignment="1">
      <alignment horizontal="center" vertical="center"/>
    </xf>
    <xf numFmtId="167" fontId="8" fillId="0" borderId="20" xfId="0" applyNumberFormat="1" applyFont="1" applyBorder="1" applyAlignment="1">
      <alignment horizontal="center" vertical="center" wrapText="1"/>
    </xf>
    <xf numFmtId="0" fontId="8" fillId="6" borderId="20" xfId="6" applyFont="1" applyFill="1" applyBorder="1" applyAlignment="1">
      <alignment horizontal="center" vertical="center"/>
    </xf>
    <xf numFmtId="166" fontId="11" fillId="0" borderId="20" xfId="0" applyNumberFormat="1" applyFont="1" applyBorder="1" applyAlignment="1">
      <alignment horizontal="left" vertical="center"/>
    </xf>
    <xf numFmtId="0" fontId="8" fillId="5" borderId="20" xfId="5" applyNumberFormat="1" applyFont="1" applyFill="1" applyBorder="1" applyAlignment="1">
      <alignment vertical="center"/>
    </xf>
    <xf numFmtId="0" fontId="90" fillId="5" borderId="4" xfId="0" applyFont="1" applyFill="1" applyBorder="1" applyAlignment="1">
      <alignment horizontal="center" vertical="center" wrapText="1"/>
    </xf>
    <xf numFmtId="167" fontId="7" fillId="5" borderId="20" xfId="2" applyNumberFormat="1" applyFont="1" applyFill="1" applyBorder="1" applyAlignment="1">
      <alignment horizontal="center" vertical="center" wrapText="1"/>
    </xf>
    <xf numFmtId="0" fontId="8" fillId="47" borderId="20" xfId="0" applyFont="1" applyFill="1" applyBorder="1" applyAlignment="1">
      <alignment horizontal="center" vertical="center"/>
    </xf>
    <xf numFmtId="16" fontId="8" fillId="50"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wrapText="1"/>
    </xf>
    <xf numFmtId="0" fontId="7" fillId="0" borderId="20" xfId="0" applyFont="1" applyBorder="1"/>
    <xf numFmtId="0" fontId="70" fillId="5" borderId="20" xfId="0" applyFont="1" applyFill="1" applyBorder="1" applyAlignment="1">
      <alignment horizontal="center" vertical="center" wrapText="1"/>
    </xf>
    <xf numFmtId="0" fontId="13" fillId="0" borderId="20" xfId="2" applyFont="1" applyBorder="1" applyAlignment="1">
      <alignment horizontal="center" vertical="center" wrapText="1"/>
    </xf>
    <xf numFmtId="0" fontId="13" fillId="6" borderId="20" xfId="0" applyFont="1" applyFill="1" applyBorder="1" applyAlignment="1">
      <alignment horizontal="center" vertical="center" wrapText="1"/>
    </xf>
    <xf numFmtId="43" fontId="8" fillId="0" borderId="20" xfId="5" applyFont="1" applyBorder="1" applyAlignment="1">
      <alignment horizontal="right" vertical="center"/>
    </xf>
    <xf numFmtId="1" fontId="8" fillId="0" borderId="20" xfId="2" applyNumberFormat="1" applyFont="1" applyBorder="1" applyAlignment="1">
      <alignment horizontal="center" vertical="center" wrapText="1"/>
    </xf>
    <xf numFmtId="169" fontId="63" fillId="9" borderId="20" xfId="27" applyFont="1" applyFill="1" applyBorder="1" applyAlignment="1">
      <alignment horizontal="center" vertical="center" wrapText="1"/>
    </xf>
    <xf numFmtId="169" fontId="62" fillId="9" borderId="20" xfId="27" applyFont="1" applyFill="1" applyBorder="1" applyAlignment="1">
      <alignment horizontal="center" vertical="center" wrapText="1"/>
    </xf>
    <xf numFmtId="169" fontId="69" fillId="9" borderId="20" xfId="27" applyFont="1" applyFill="1" applyBorder="1" applyAlignment="1">
      <alignment horizontal="center" vertical="center" wrapText="1"/>
    </xf>
    <xf numFmtId="169" fontId="63" fillId="9" borderId="20" xfId="27" applyFont="1" applyFill="1" applyBorder="1" applyAlignment="1">
      <alignment vertical="center" wrapText="1"/>
    </xf>
    <xf numFmtId="0" fontId="8" fillId="5" borderId="20" xfId="9" applyNumberFormat="1" applyFont="1" applyFill="1" applyBorder="1" applyAlignment="1">
      <alignment horizontal="center" vertical="center"/>
    </xf>
    <xf numFmtId="169" fontId="10" fillId="0" borderId="20" xfId="15" applyFont="1" applyBorder="1" applyAlignment="1">
      <alignment horizontal="center" vertical="center" wrapText="1"/>
    </xf>
    <xf numFmtId="16" fontId="8" fillId="6" borderId="20" xfId="6" applyNumberFormat="1" applyFont="1" applyFill="1" applyBorder="1" applyAlignment="1">
      <alignment horizontal="center" vertical="center" wrapText="1"/>
    </xf>
    <xf numFmtId="2" fontId="8" fillId="6" borderId="20" xfId="0" applyNumberFormat="1" applyFont="1" applyFill="1" applyBorder="1" applyAlignment="1">
      <alignment horizontal="center" vertical="center"/>
    </xf>
    <xf numFmtId="1" fontId="8" fillId="6" borderId="20" xfId="0" applyNumberFormat="1" applyFont="1" applyFill="1" applyBorder="1" applyAlignment="1">
      <alignment horizontal="center" vertical="center"/>
    </xf>
    <xf numFmtId="16" fontId="8" fillId="6" borderId="20" xfId="0" applyNumberFormat="1" applyFont="1" applyFill="1" applyBorder="1" applyAlignment="1">
      <alignment horizontal="center" vertical="center"/>
    </xf>
    <xf numFmtId="167" fontId="7" fillId="6" borderId="20" xfId="0" applyNumberFormat="1" applyFont="1" applyFill="1" applyBorder="1" applyAlignment="1">
      <alignment horizontal="center" vertical="center"/>
    </xf>
    <xf numFmtId="16" fontId="7" fillId="0" borderId="20" xfId="2" applyNumberFormat="1" applyFont="1" applyBorder="1" applyAlignment="1">
      <alignment horizontal="center" vertical="center" wrapText="1"/>
    </xf>
    <xf numFmtId="0" fontId="7" fillId="5" borderId="20" xfId="2" applyFont="1" applyFill="1" applyBorder="1" applyAlignment="1">
      <alignment horizontal="center" vertical="center"/>
    </xf>
    <xf numFmtId="16" fontId="8" fillId="10" borderId="20" xfId="2" applyNumberFormat="1" applyFont="1" applyFill="1" applyBorder="1" applyAlignment="1">
      <alignment horizontal="center" vertical="center"/>
    </xf>
    <xf numFmtId="170" fontId="8" fillId="0" borderId="20" xfId="0" applyNumberFormat="1" applyFont="1" applyBorder="1" applyAlignment="1">
      <alignment horizontal="center" vertical="center"/>
    </xf>
    <xf numFmtId="0" fontId="13" fillId="5" borderId="20" xfId="6" applyFont="1" applyFill="1" applyBorder="1" applyAlignment="1">
      <alignment horizontal="center" vertical="center"/>
    </xf>
    <xf numFmtId="0" fontId="13" fillId="47" borderId="20" xfId="2" applyFont="1" applyFill="1" applyBorder="1" applyAlignment="1">
      <alignment horizontal="center" vertical="center" wrapText="1"/>
    </xf>
    <xf numFmtId="2" fontId="10" fillId="0" borderId="20" xfId="6" applyNumberFormat="1" applyFont="1" applyBorder="1" applyAlignment="1">
      <alignment horizontal="center" vertical="center" wrapText="1"/>
    </xf>
    <xf numFmtId="2" fontId="8" fillId="6" borderId="20" xfId="6" applyNumberFormat="1" applyFont="1" applyFill="1" applyBorder="1" applyAlignment="1">
      <alignment horizontal="center" vertical="center"/>
    </xf>
    <xf numFmtId="169" fontId="8" fillId="0" borderId="20" xfId="6" applyNumberFormat="1" applyFont="1" applyBorder="1" applyAlignment="1">
      <alignment horizontal="center" vertical="center" wrapText="1"/>
    </xf>
    <xf numFmtId="167" fontId="8" fillId="5" borderId="20" xfId="2" applyNumberFormat="1" applyFont="1" applyFill="1" applyBorder="1" applyAlignment="1">
      <alignment horizontal="center" vertical="center" wrapText="1"/>
    </xf>
    <xf numFmtId="1" fontId="10" fillId="6" borderId="20" xfId="6" applyNumberFormat="1" applyFont="1" applyFill="1" applyBorder="1" applyAlignment="1">
      <alignment horizontal="center" vertical="center"/>
    </xf>
    <xf numFmtId="2" fontId="8" fillId="7" borderId="20" xfId="0" applyNumberFormat="1" applyFont="1" applyFill="1" applyBorder="1" applyAlignment="1">
      <alignment horizontal="center" vertical="center"/>
    </xf>
    <xf numFmtId="166" fontId="8" fillId="0" borderId="20" xfId="0" applyNumberFormat="1" applyFont="1" applyBorder="1" applyAlignment="1">
      <alignment vertical="center"/>
    </xf>
    <xf numFmtId="16" fontId="10" fillId="0" borderId="20" xfId="6" applyNumberFormat="1" applyFont="1" applyBorder="1" applyAlignment="1">
      <alignment horizontal="center" vertical="center" wrapText="1"/>
    </xf>
    <xf numFmtId="167" fontId="8" fillId="0" borderId="20" xfId="6" applyNumberFormat="1" applyFont="1" applyBorder="1" applyAlignment="1">
      <alignment horizontal="center" vertical="center" wrapText="1"/>
    </xf>
    <xf numFmtId="4" fontId="8" fillId="5" borderId="20" xfId="0" applyNumberFormat="1" applyFont="1" applyFill="1" applyBorder="1" applyAlignment="1">
      <alignment horizontal="right" vertical="center"/>
    </xf>
    <xf numFmtId="4" fontId="8" fillId="5" borderId="20" xfId="6" applyNumberFormat="1" applyFont="1" applyFill="1" applyBorder="1" applyAlignment="1">
      <alignment horizontal="center" vertical="center"/>
    </xf>
    <xf numFmtId="169" fontId="7" fillId="5" borderId="20" xfId="8" applyFont="1" applyFill="1" applyBorder="1" applyAlignment="1">
      <alignment horizontal="center" vertical="center" wrapText="1"/>
    </xf>
    <xf numFmtId="4" fontId="7" fillId="5" borderId="20" xfId="0" applyNumberFormat="1" applyFont="1" applyFill="1" applyBorder="1" applyAlignment="1">
      <alignment horizontal="center" vertical="center"/>
    </xf>
    <xf numFmtId="4" fontId="8" fillId="5" borderId="20" xfId="0" applyNumberFormat="1" applyFont="1" applyFill="1" applyBorder="1" applyAlignment="1">
      <alignment horizontal="center" vertical="center"/>
    </xf>
    <xf numFmtId="167" fontId="8" fillId="5" borderId="20" xfId="25" applyNumberFormat="1" applyFont="1" applyFill="1" applyBorder="1" applyAlignment="1">
      <alignment horizontal="center" vertical="center" wrapText="1"/>
    </xf>
    <xf numFmtId="4" fontId="8" fillId="5" borderId="20" xfId="5" applyNumberFormat="1" applyFont="1" applyFill="1" applyBorder="1" applyAlignment="1">
      <alignment vertical="center"/>
    </xf>
    <xf numFmtId="2" fontId="10" fillId="5" borderId="20" xfId="6" applyNumberFormat="1" applyFont="1" applyFill="1" applyBorder="1" applyAlignment="1">
      <alignment horizontal="center" vertical="center" wrapText="1"/>
    </xf>
    <xf numFmtId="166" fontId="87" fillId="0" borderId="20" xfId="0" applyNumberFormat="1" applyFont="1" applyBorder="1" applyAlignment="1">
      <alignment horizontal="center" vertical="center" wrapText="1"/>
    </xf>
    <xf numFmtId="2" fontId="8" fillId="5" borderId="20" xfId="13" applyNumberFormat="1" applyFill="1" applyBorder="1" applyAlignment="1">
      <alignment horizontal="center" vertical="center" wrapText="1"/>
    </xf>
    <xf numFmtId="4" fontId="7" fillId="6" borderId="20" xfId="0" applyNumberFormat="1" applyFont="1" applyFill="1" applyBorder="1" applyAlignment="1">
      <alignment vertical="center"/>
    </xf>
    <xf numFmtId="4" fontId="10" fillId="0" borderId="20" xfId="0" applyNumberFormat="1" applyFont="1" applyBorder="1" applyAlignment="1">
      <alignment horizontal="center" vertical="center"/>
    </xf>
    <xf numFmtId="170" fontId="10" fillId="0" borderId="20" xfId="0" applyNumberFormat="1" applyFont="1" applyBorder="1" applyAlignment="1">
      <alignment horizontal="center" vertical="center" wrapText="1"/>
    </xf>
    <xf numFmtId="4" fontId="7" fillId="5" borderId="20" xfId="0" applyNumberFormat="1" applyFont="1" applyFill="1" applyBorder="1" applyAlignment="1">
      <alignment vertical="center"/>
    </xf>
    <xf numFmtId="1" fontId="10" fillId="5" borderId="20" xfId="0" applyNumberFormat="1" applyFont="1" applyFill="1" applyBorder="1" applyAlignment="1">
      <alignment horizontal="center" vertical="center"/>
    </xf>
    <xf numFmtId="4" fontId="8" fillId="0" borderId="20" xfId="2" applyNumberFormat="1" applyFont="1" applyBorder="1" applyAlignment="1">
      <alignment horizontal="right" vertical="center"/>
    </xf>
    <xf numFmtId="49" fontId="100" fillId="5" borderId="20" xfId="0" applyNumberFormat="1" applyFont="1" applyFill="1" applyBorder="1" applyAlignment="1">
      <alignment horizontal="center" vertical="center" wrapText="1" readingOrder="1"/>
    </xf>
    <xf numFmtId="169" fontId="8" fillId="0" borderId="20" xfId="0" applyNumberFormat="1" applyFont="1" applyBorder="1" applyAlignment="1">
      <alignment horizontal="center" vertical="center"/>
    </xf>
    <xf numFmtId="169" fontId="8" fillId="0" borderId="20" xfId="0" applyNumberFormat="1" applyFont="1" applyBorder="1" applyAlignment="1">
      <alignment horizontal="center" vertical="center" wrapText="1"/>
    </xf>
    <xf numFmtId="16" fontId="10" fillId="0" borderId="20" xfId="2" applyNumberFormat="1" applyFont="1" applyBorder="1" applyAlignment="1">
      <alignment horizontal="center" vertical="center" wrapText="1"/>
    </xf>
    <xf numFmtId="0" fontId="8" fillId="0" borderId="20" xfId="474" applyBorder="1" applyAlignment="1">
      <alignment horizontal="center" vertical="center" wrapText="1"/>
    </xf>
    <xf numFmtId="2" fontId="8" fillId="5" borderId="20" xfId="474" applyNumberFormat="1" applyFill="1" applyBorder="1" applyAlignment="1">
      <alignment horizontal="center" vertical="center" wrapText="1"/>
    </xf>
    <xf numFmtId="0" fontId="8" fillId="5" borderId="20" xfId="475" applyFill="1" applyBorder="1" applyAlignment="1">
      <alignment horizontal="center" vertical="center" wrapText="1"/>
    </xf>
    <xf numFmtId="43" fontId="8" fillId="0" borderId="20" xfId="5" applyFont="1" applyBorder="1" applyAlignment="1">
      <alignment horizontal="center" vertical="center"/>
    </xf>
    <xf numFmtId="0" fontId="10" fillId="5" borderId="20" xfId="6" applyFont="1" applyFill="1" applyBorder="1" applyAlignment="1">
      <alignment horizontal="center" vertical="center"/>
    </xf>
    <xf numFmtId="0" fontId="8" fillId="58" borderId="20" xfId="0" applyFont="1" applyFill="1" applyBorder="1" applyAlignment="1">
      <alignment horizontal="center" vertical="center" wrapText="1"/>
    </xf>
    <xf numFmtId="4" fontId="8" fillId="0" borderId="20" xfId="0" applyNumberFormat="1" applyFont="1" applyBorder="1" applyAlignment="1">
      <alignment horizontal="center" vertical="center" wrapText="1"/>
    </xf>
    <xf numFmtId="2" fontId="10" fillId="0" borderId="20" xfId="6" applyNumberFormat="1" applyFont="1" applyBorder="1" applyAlignment="1">
      <alignment horizontal="center" vertical="center"/>
    </xf>
    <xf numFmtId="0" fontId="7" fillId="0" borderId="0" xfId="0" applyFont="1" applyAlignment="1">
      <alignment vertical="center"/>
    </xf>
    <xf numFmtId="0" fontId="13" fillId="47" borderId="20" xfId="0" applyFont="1" applyFill="1" applyBorder="1" applyAlignment="1">
      <alignment horizontal="center" vertical="center" wrapText="1"/>
    </xf>
    <xf numFmtId="0" fontId="13" fillId="47" borderId="20" xfId="0" applyFont="1" applyFill="1" applyBorder="1" applyAlignment="1">
      <alignment horizontal="center" vertical="center"/>
    </xf>
    <xf numFmtId="16" fontId="10" fillId="59" borderId="20" xfId="2" applyNumberFormat="1" applyFont="1" applyFill="1" applyBorder="1" applyAlignment="1">
      <alignment horizontal="center" vertical="center"/>
    </xf>
    <xf numFmtId="49" fontId="7" fillId="59" borderId="20" xfId="0" applyNumberFormat="1" applyFont="1" applyFill="1" applyBorder="1" applyAlignment="1">
      <alignment horizontal="center" vertical="center" wrapText="1"/>
    </xf>
    <xf numFmtId="166" fontId="7" fillId="5" borderId="20" xfId="0" applyNumberFormat="1" applyFont="1" applyFill="1" applyBorder="1" applyAlignment="1">
      <alignment horizontal="center" vertical="center"/>
    </xf>
    <xf numFmtId="0" fontId="7" fillId="8" borderId="20" xfId="0" applyFont="1" applyFill="1" applyBorder="1" applyAlignment="1">
      <alignment horizontal="center" vertical="center" wrapText="1"/>
    </xf>
    <xf numFmtId="4" fontId="10" fillId="0" borderId="20" xfId="2" applyNumberFormat="1" applyFont="1" applyBorder="1" applyAlignment="1">
      <alignment horizontal="center" vertical="center"/>
    </xf>
    <xf numFmtId="166" fontId="7" fillId="0" borderId="20" xfId="0" applyNumberFormat="1" applyFont="1" applyBorder="1" applyAlignment="1">
      <alignment vertical="center" wrapText="1"/>
    </xf>
    <xf numFmtId="0" fontId="8" fillId="0" borderId="20" xfId="0" applyFont="1" applyBorder="1" applyAlignment="1">
      <alignment vertical="center" wrapText="1"/>
    </xf>
    <xf numFmtId="0" fontId="8" fillId="6" borderId="20" xfId="2" applyFont="1" applyFill="1" applyBorder="1" applyAlignment="1">
      <alignment horizontal="center" vertical="center"/>
    </xf>
    <xf numFmtId="43" fontId="10" fillId="0" borderId="20" xfId="5" applyFont="1" applyBorder="1" applyAlignment="1">
      <alignment horizontal="right" vertical="center"/>
    </xf>
    <xf numFmtId="170" fontId="10" fillId="0" borderId="20" xfId="2" applyNumberFormat="1" applyFont="1" applyBorder="1" applyAlignment="1">
      <alignment horizontal="center" vertical="center"/>
    </xf>
    <xf numFmtId="2" fontId="10" fillId="0" borderId="20" xfId="2" applyNumberFormat="1" applyFont="1" applyBorder="1" applyAlignment="1">
      <alignment horizontal="center" vertical="center" wrapText="1"/>
    </xf>
    <xf numFmtId="1" fontId="10" fillId="0" borderId="20" xfId="2" applyNumberFormat="1" applyFont="1" applyBorder="1" applyAlignment="1">
      <alignment horizontal="center" vertical="center"/>
    </xf>
    <xf numFmtId="16" fontId="7" fillId="0" borderId="20" xfId="0" applyNumberFormat="1" applyFont="1" applyBorder="1" applyAlignment="1">
      <alignment horizontal="center" vertical="center" wrapText="1"/>
    </xf>
    <xf numFmtId="0" fontId="8" fillId="6" borderId="20" xfId="0" applyFont="1" applyFill="1" applyBorder="1" applyAlignment="1">
      <alignment horizontal="center" vertical="center" wrapText="1"/>
    </xf>
    <xf numFmtId="166" fontId="8" fillId="6" borderId="20" xfId="6" applyNumberFormat="1" applyFont="1" applyFill="1" applyBorder="1" applyAlignment="1">
      <alignment horizontal="center" vertical="center" wrapText="1"/>
    </xf>
    <xf numFmtId="166" fontId="10" fillId="0" borderId="20" xfId="12" applyNumberFormat="1" applyFont="1" applyBorder="1" applyAlignment="1">
      <alignment horizontal="center" vertical="center" wrapText="1"/>
    </xf>
    <xf numFmtId="167" fontId="13" fillId="47" borderId="20" xfId="0" applyNumberFormat="1" applyFont="1" applyFill="1" applyBorder="1" applyAlignment="1">
      <alignment horizontal="center" vertical="center" wrapText="1"/>
    </xf>
    <xf numFmtId="0" fontId="7" fillId="5" borderId="20" xfId="14" applyFont="1" applyFill="1" applyBorder="1"/>
    <xf numFmtId="16" fontId="8" fillId="5" borderId="20" xfId="2" applyNumberFormat="1" applyFont="1" applyFill="1" applyBorder="1" applyAlignment="1">
      <alignment horizontal="center" vertical="center" wrapText="1"/>
    </xf>
    <xf numFmtId="43" fontId="8" fillId="5" borderId="20" xfId="5" applyFont="1" applyFill="1" applyBorder="1" applyAlignment="1">
      <alignment vertical="center"/>
    </xf>
    <xf numFmtId="0" fontId="13" fillId="0" borderId="20" xfId="6" applyFont="1" applyBorder="1" applyAlignment="1">
      <alignment horizontal="center" vertical="center" wrapText="1"/>
    </xf>
    <xf numFmtId="0" fontId="94" fillId="51" borderId="20" xfId="0" applyFont="1" applyFill="1" applyBorder="1" applyAlignment="1">
      <alignment horizontal="center" vertical="center"/>
    </xf>
    <xf numFmtId="169" fontId="8" fillId="5" borderId="20" xfId="2" applyNumberFormat="1" applyFont="1" applyFill="1" applyBorder="1" applyAlignment="1">
      <alignment horizontal="center" vertical="center" wrapText="1"/>
    </xf>
    <xf numFmtId="167" fontId="8" fillId="5" borderId="20" xfId="12" applyNumberFormat="1" applyFont="1" applyFill="1" applyBorder="1" applyAlignment="1">
      <alignment horizontal="center" vertical="center" wrapText="1"/>
    </xf>
    <xf numFmtId="167" fontId="7" fillId="5" borderId="20" xfId="12" applyNumberFormat="1" applyFont="1" applyFill="1" applyBorder="1" applyAlignment="1">
      <alignment horizontal="center" vertical="center" wrapText="1"/>
    </xf>
    <xf numFmtId="166" fontId="8" fillId="0" borderId="20" xfId="4" applyNumberFormat="1" applyFont="1" applyBorder="1" applyAlignment="1">
      <alignment horizontal="center" vertical="center" wrapText="1"/>
    </xf>
    <xf numFmtId="166" fontId="8" fillId="0" borderId="20" xfId="6" applyNumberFormat="1" applyFont="1" applyBorder="1" applyAlignment="1">
      <alignment horizontal="left" vertical="center"/>
    </xf>
    <xf numFmtId="169" fontId="8" fillId="0" borderId="20" xfId="2" applyNumberFormat="1" applyFont="1" applyBorder="1" applyAlignment="1">
      <alignment horizontal="center" vertical="center" wrapText="1"/>
    </xf>
    <xf numFmtId="169" fontId="8" fillId="5" borderId="20" xfId="6" applyNumberFormat="1" applyFont="1" applyFill="1" applyBorder="1" applyAlignment="1">
      <alignment horizontal="center" vertical="center" wrapText="1"/>
    </xf>
    <xf numFmtId="1" fontId="8" fillId="5" borderId="20" xfId="4" applyNumberFormat="1" applyFont="1" applyFill="1" applyBorder="1" applyAlignment="1">
      <alignment horizontal="center" vertical="center"/>
    </xf>
    <xf numFmtId="166" fontId="8" fillId="0" borderId="20" xfId="4" applyNumberFormat="1" applyFont="1" applyBorder="1" applyAlignment="1">
      <alignment horizontal="center" vertical="center"/>
    </xf>
    <xf numFmtId="166" fontId="7" fillId="0" borderId="20" xfId="0" applyNumberFormat="1" applyFont="1" applyBorder="1"/>
    <xf numFmtId="0" fontId="8" fillId="47" borderId="20" xfId="6" applyFont="1" applyFill="1" applyBorder="1" applyAlignment="1">
      <alignment horizontal="center" vertical="center" wrapText="1"/>
    </xf>
    <xf numFmtId="0" fontId="7" fillId="5" borderId="20" xfId="113" applyFont="1" applyFill="1" applyBorder="1" applyAlignment="1">
      <alignment horizontal="center" vertical="center" wrapText="1"/>
    </xf>
    <xf numFmtId="0" fontId="8" fillId="47" borderId="23" xfId="113" applyFont="1" applyFill="1" applyBorder="1" applyAlignment="1">
      <alignment horizontal="center" vertical="center" wrapText="1"/>
    </xf>
    <xf numFmtId="167" fontId="7" fillId="5" borderId="20" xfId="374" applyNumberFormat="1" applyFont="1" applyFill="1" applyBorder="1" applyAlignment="1">
      <alignment horizontal="center" vertical="center" wrapText="1"/>
    </xf>
    <xf numFmtId="1" fontId="7" fillId="0" borderId="20" xfId="113" applyNumberFormat="1" applyFont="1" applyBorder="1" applyAlignment="1">
      <alignment horizontal="center" vertical="center"/>
    </xf>
    <xf numFmtId="4" fontId="7" fillId="0" borderId="4" xfId="0" applyNumberFormat="1" applyFont="1" applyBorder="1" applyAlignment="1">
      <alignment horizontal="center" vertical="center"/>
    </xf>
    <xf numFmtId="0" fontId="7" fillId="0" borderId="0" xfId="113" applyFont="1" applyAlignment="1">
      <alignment horizontal="left" vertical="center"/>
    </xf>
    <xf numFmtId="169" fontId="7" fillId="0" borderId="20" xfId="2" applyNumberFormat="1" applyFont="1" applyBorder="1" applyAlignment="1">
      <alignment horizontal="center" vertical="center" wrapText="1"/>
    </xf>
    <xf numFmtId="0" fontId="8" fillId="47" borderId="20" xfId="2" applyFont="1" applyFill="1" applyBorder="1" applyAlignment="1">
      <alignment horizontal="center" vertical="center" wrapText="1"/>
    </xf>
    <xf numFmtId="167" fontId="7" fillId="0" borderId="20" xfId="12" applyNumberFormat="1" applyFont="1" applyBorder="1" applyAlignment="1">
      <alignment horizontal="center" vertical="center" wrapText="1"/>
    </xf>
    <xf numFmtId="0" fontId="0" fillId="0" borderId="0" xfId="14" applyFont="1"/>
    <xf numFmtId="167" fontId="7" fillId="0" borderId="20" xfId="12" applyNumberFormat="1" applyFont="1" applyFill="1" applyBorder="1" applyAlignment="1">
      <alignment horizontal="center" vertical="center" wrapText="1"/>
    </xf>
    <xf numFmtId="169" fontId="7" fillId="5" borderId="20" xfId="2" applyNumberFormat="1" applyFont="1" applyFill="1" applyBorder="1" applyAlignment="1">
      <alignment horizontal="center" vertical="center" wrapText="1"/>
    </xf>
    <xf numFmtId="1" fontId="7" fillId="0" borderId="20" xfId="2" applyNumberFormat="1" applyFont="1" applyBorder="1" applyAlignment="1">
      <alignment horizontal="center" vertical="center"/>
    </xf>
    <xf numFmtId="166" fontId="7" fillId="0" borderId="20" xfId="6" applyNumberFormat="1" applyFont="1" applyBorder="1" applyAlignment="1">
      <alignment horizontal="left" vertical="center"/>
    </xf>
    <xf numFmtId="3" fontId="10" fillId="5" borderId="20" xfId="0" applyNumberFormat="1" applyFont="1" applyFill="1" applyBorder="1" applyAlignment="1">
      <alignment horizontal="center" vertical="center"/>
    </xf>
    <xf numFmtId="0" fontId="10" fillId="5" borderId="20" xfId="107" applyFill="1" applyBorder="1" applyAlignment="1">
      <alignment horizontal="center" vertical="center" wrapText="1"/>
    </xf>
    <xf numFmtId="167" fontId="8" fillId="0" borderId="20" xfId="4" applyFont="1" applyBorder="1" applyAlignment="1">
      <alignment horizontal="center" vertical="center" wrapText="1"/>
    </xf>
    <xf numFmtId="166" fontId="8" fillId="8" borderId="23" xfId="0" applyNumberFormat="1" applyFont="1" applyFill="1" applyBorder="1" applyAlignment="1">
      <alignment horizontal="center" vertical="center" wrapText="1"/>
    </xf>
    <xf numFmtId="1" fontId="8" fillId="0" borderId="20" xfId="4" applyNumberFormat="1" applyFont="1" applyFill="1" applyBorder="1" applyAlignment="1">
      <alignment horizontal="center" vertical="center"/>
    </xf>
    <xf numFmtId="169" fontId="8" fillId="5" borderId="20" xfId="113" applyNumberFormat="1" applyFont="1" applyFill="1" applyBorder="1" applyAlignment="1">
      <alignment horizontal="center" vertical="center" wrapText="1"/>
    </xf>
    <xf numFmtId="166" fontId="7" fillId="0" borderId="20" xfId="113" applyNumberFormat="1" applyFont="1" applyBorder="1" applyAlignment="1">
      <alignment horizontal="left" vertical="center"/>
    </xf>
    <xf numFmtId="1" fontId="13" fillId="0" borderId="20" xfId="6" applyNumberFormat="1" applyFont="1" applyBorder="1" applyAlignment="1">
      <alignment horizontal="center" vertical="center"/>
    </xf>
    <xf numFmtId="0" fontId="8" fillId="5" borderId="20" xfId="4" applyNumberFormat="1" applyFont="1" applyFill="1" applyBorder="1" applyAlignment="1">
      <alignment horizontal="center" vertical="center"/>
    </xf>
    <xf numFmtId="16" fontId="8" fillId="0" borderId="20" xfId="4" applyNumberFormat="1" applyFont="1" applyBorder="1" applyAlignment="1">
      <alignment horizontal="center" vertical="center" wrapText="1"/>
    </xf>
    <xf numFmtId="2" fontId="7" fillId="12" borderId="20" xfId="0" applyNumberFormat="1" applyFont="1" applyFill="1" applyBorder="1" applyAlignment="1">
      <alignment horizontal="center" vertical="center"/>
    </xf>
    <xf numFmtId="1" fontId="8" fillId="0" borderId="20" xfId="4" applyNumberFormat="1" applyFont="1" applyFill="1" applyBorder="1" applyAlignment="1">
      <alignment horizontal="center" vertical="center" wrapText="1"/>
    </xf>
    <xf numFmtId="170" fontId="8" fillId="0" borderId="20" xfId="4" applyNumberFormat="1" applyFont="1" applyBorder="1" applyAlignment="1">
      <alignment horizontal="center" vertical="center" wrapText="1"/>
    </xf>
    <xf numFmtId="167" fontId="8" fillId="0" borderId="20" xfId="12" applyNumberFormat="1" applyFont="1" applyFill="1" applyBorder="1" applyAlignment="1">
      <alignment horizontal="center" vertical="center" wrapText="1"/>
    </xf>
    <xf numFmtId="169" fontId="8" fillId="0" borderId="20" xfId="113" applyNumberFormat="1" applyFont="1" applyBorder="1" applyAlignment="1">
      <alignment horizontal="center" vertical="center" wrapText="1"/>
    </xf>
    <xf numFmtId="166" fontId="11" fillId="0" borderId="20" xfId="4" applyNumberFormat="1" applyFont="1" applyBorder="1" applyAlignment="1">
      <alignment horizontal="left" vertical="center"/>
    </xf>
    <xf numFmtId="0" fontId="8" fillId="0" borderId="20" xfId="113" applyFont="1" applyBorder="1" applyAlignment="1">
      <alignment horizontal="center" vertical="center" wrapText="1"/>
    </xf>
    <xf numFmtId="167" fontId="7" fillId="5" borderId="20" xfId="4" applyFont="1" applyFill="1" applyBorder="1" applyAlignment="1">
      <alignment horizontal="center" vertical="center" wrapText="1"/>
    </xf>
    <xf numFmtId="166" fontId="8" fillId="0" borderId="20" xfId="113" applyNumberFormat="1" applyFont="1" applyBorder="1" applyAlignment="1">
      <alignment horizontal="left" vertical="center"/>
    </xf>
    <xf numFmtId="167" fontId="13" fillId="0" borderId="20" xfId="0" applyNumberFormat="1" applyFont="1" applyBorder="1" applyAlignment="1">
      <alignment horizontal="center" vertical="center" wrapText="1"/>
    </xf>
    <xf numFmtId="0" fontId="1" fillId="0" borderId="20" xfId="14" applyBorder="1"/>
    <xf numFmtId="0" fontId="101" fillId="50" borderId="20" xfId="0" applyFont="1" applyFill="1" applyBorder="1" applyAlignment="1">
      <alignment horizontal="center" vertical="center" wrapText="1"/>
    </xf>
    <xf numFmtId="0" fontId="97" fillId="5" borderId="20" xfId="0" applyFont="1" applyFill="1" applyBorder="1" applyAlignment="1">
      <alignment horizontal="center" vertical="center" wrapText="1" readingOrder="1"/>
    </xf>
    <xf numFmtId="167" fontId="10" fillId="6" borderId="20" xfId="0" applyNumberFormat="1" applyFont="1" applyFill="1" applyBorder="1" applyAlignment="1">
      <alignment horizontal="center" vertical="center"/>
    </xf>
    <xf numFmtId="4" fontId="10" fillId="0" borderId="20" xfId="0" applyNumberFormat="1" applyFont="1" applyBorder="1" applyAlignment="1">
      <alignment horizontal="right" vertical="center"/>
    </xf>
    <xf numFmtId="167" fontId="10" fillId="0" borderId="20" xfId="6" applyNumberFormat="1" applyFont="1" applyBorder="1" applyAlignment="1">
      <alignment horizontal="center" vertical="center" wrapText="1"/>
    </xf>
    <xf numFmtId="0" fontId="70" fillId="0" borderId="20" xfId="0" applyFont="1" applyBorder="1" applyAlignment="1">
      <alignment horizontal="center" vertical="center" wrapText="1"/>
    </xf>
    <xf numFmtId="43" fontId="7" fillId="0" borderId="20" xfId="5" applyFont="1" applyFill="1" applyBorder="1" applyAlignment="1">
      <alignment horizontal="right" vertical="center"/>
    </xf>
    <xf numFmtId="4" fontId="7" fillId="6" borderId="20" xfId="2" applyNumberFormat="1" applyFont="1" applyFill="1" applyBorder="1" applyAlignment="1">
      <alignment horizontal="center" vertical="center"/>
    </xf>
    <xf numFmtId="2" fontId="7" fillId="6" borderId="20" xfId="2" applyNumberFormat="1" applyFont="1" applyFill="1" applyBorder="1" applyAlignment="1">
      <alignment horizontal="center" vertical="center" wrapText="1"/>
    </xf>
    <xf numFmtId="2" fontId="7" fillId="6" borderId="20" xfId="2" applyNumberFormat="1" applyFont="1" applyFill="1" applyBorder="1" applyAlignment="1">
      <alignment horizontal="center" vertical="center"/>
    </xf>
    <xf numFmtId="16" fontId="7" fillId="0" borderId="20" xfId="2" applyNumberFormat="1" applyFont="1" applyBorder="1" applyAlignment="1">
      <alignment horizontal="center" vertical="center"/>
    </xf>
    <xf numFmtId="0" fontId="7" fillId="6" borderId="20" xfId="2" applyFont="1" applyFill="1" applyBorder="1" applyAlignment="1">
      <alignment horizontal="center" vertical="center" wrapText="1"/>
    </xf>
    <xf numFmtId="2" fontId="8" fillId="5" borderId="20" xfId="476" applyNumberFormat="1" applyFont="1" applyFill="1" applyBorder="1" applyAlignment="1">
      <alignment horizontal="center" vertical="center" wrapText="1"/>
    </xf>
    <xf numFmtId="166" fontId="8" fillId="6" borderId="20" xfId="12" applyNumberFormat="1" applyFont="1" applyFill="1" applyBorder="1" applyAlignment="1">
      <alignment horizontal="center" vertical="center" wrapText="1"/>
    </xf>
    <xf numFmtId="0" fontId="87" fillId="0" borderId="20" xfId="0" applyFont="1" applyBorder="1" applyAlignment="1">
      <alignment horizontal="center" vertical="center"/>
    </xf>
    <xf numFmtId="0" fontId="8" fillId="7" borderId="20" xfId="0" applyFont="1" applyFill="1" applyBorder="1" applyAlignment="1">
      <alignment horizontal="center" vertical="center"/>
    </xf>
    <xf numFmtId="0" fontId="84" fillId="6" borderId="20" xfId="0" applyFont="1" applyFill="1" applyBorder="1" applyAlignment="1">
      <alignment horizontal="center" vertical="center" wrapText="1"/>
    </xf>
    <xf numFmtId="0" fontId="8" fillId="47" borderId="20" xfId="0" applyFont="1" applyFill="1" applyBorder="1" applyAlignment="1">
      <alignment horizontal="center" vertical="center" wrapText="1" readingOrder="1"/>
    </xf>
    <xf numFmtId="166" fontId="7" fillId="0" borderId="0" xfId="0" applyNumberFormat="1" applyFont="1" applyAlignment="1">
      <alignment horizontal="center" vertical="center" wrapText="1"/>
    </xf>
    <xf numFmtId="0" fontId="97" fillId="47" borderId="20" xfId="0" applyFont="1" applyFill="1" applyBorder="1" applyAlignment="1">
      <alignment horizontal="center" vertical="center" wrapText="1" readingOrder="1"/>
    </xf>
    <xf numFmtId="0" fontId="13" fillId="47" borderId="20" xfId="2" applyFont="1" applyFill="1" applyBorder="1" applyAlignment="1">
      <alignment horizontal="center" vertical="center"/>
    </xf>
    <xf numFmtId="167" fontId="7" fillId="47" borderId="20" xfId="12" applyNumberFormat="1" applyFont="1" applyFill="1" applyBorder="1" applyAlignment="1">
      <alignment horizontal="center" vertical="center" wrapText="1"/>
    </xf>
    <xf numFmtId="169" fontId="10" fillId="5" borderId="20" xfId="477" applyNumberFormat="1" applyFont="1" applyFill="1" applyBorder="1" applyAlignment="1">
      <alignment horizontal="center" vertical="center" wrapText="1"/>
    </xf>
    <xf numFmtId="166" fontId="8" fillId="0" borderId="20" xfId="0" applyNumberFormat="1" applyFont="1" applyBorder="1" applyAlignment="1">
      <alignment horizontal="center" vertical="center" wrapText="1" shrinkToFit="1"/>
    </xf>
    <xf numFmtId="170" fontId="8" fillId="6" borderId="20" xfId="0" applyNumberFormat="1" applyFont="1" applyFill="1" applyBorder="1" applyAlignment="1">
      <alignment horizontal="center" vertical="center"/>
    </xf>
    <xf numFmtId="2" fontId="7" fillId="5" borderId="20" xfId="0" applyNumberFormat="1" applyFont="1" applyFill="1" applyBorder="1" applyAlignment="1">
      <alignment horizontal="center" vertical="center" wrapText="1"/>
    </xf>
    <xf numFmtId="0" fontId="1" fillId="5" borderId="0" xfId="14" applyFill="1" applyAlignment="1">
      <alignment horizontal="center" vertical="center"/>
    </xf>
    <xf numFmtId="166" fontId="8" fillId="0" borderId="20" xfId="0" applyNumberFormat="1" applyFont="1" applyBorder="1" applyAlignment="1">
      <alignment horizontal="left" vertical="center" wrapText="1"/>
    </xf>
    <xf numFmtId="2" fontId="7" fillId="47" borderId="20" xfId="0" applyNumberFormat="1" applyFont="1" applyFill="1" applyBorder="1" applyAlignment="1">
      <alignment horizontal="center" vertical="center" wrapText="1"/>
    </xf>
    <xf numFmtId="16" fontId="8" fillId="0" borderId="20" xfId="0" applyNumberFormat="1" applyFont="1" applyBorder="1" applyAlignment="1">
      <alignment horizontal="center" vertical="center" wrapText="1" shrinkToFit="1"/>
    </xf>
    <xf numFmtId="0" fontId="87" fillId="50" borderId="20" xfId="0" applyFont="1" applyFill="1" applyBorder="1" applyAlignment="1">
      <alignment horizontal="center" vertical="center"/>
    </xf>
    <xf numFmtId="0" fontId="8" fillId="0" borderId="20" xfId="0" applyFont="1" applyBorder="1" applyAlignment="1">
      <alignment horizontal="left" vertical="center" wrapText="1"/>
    </xf>
    <xf numFmtId="0" fontId="87" fillId="58" borderId="20" xfId="0" applyFont="1" applyFill="1" applyBorder="1" applyAlignment="1">
      <alignment horizontal="center" vertical="center" wrapText="1"/>
    </xf>
    <xf numFmtId="2" fontId="8" fillId="45" borderId="20" xfId="0" applyNumberFormat="1" applyFont="1" applyFill="1" applyBorder="1" applyAlignment="1">
      <alignment horizontal="center" vertical="center"/>
    </xf>
    <xf numFmtId="2" fontId="7" fillId="57" borderId="20" xfId="0" applyNumberFormat="1" applyFont="1" applyFill="1" applyBorder="1" applyAlignment="1">
      <alignment horizontal="center" vertical="center" wrapText="1"/>
    </xf>
    <xf numFmtId="0" fontId="103" fillId="5" borderId="20" xfId="0" applyFont="1" applyFill="1" applyBorder="1" applyAlignment="1">
      <alignment horizontal="center" vertical="center" wrapText="1"/>
    </xf>
    <xf numFmtId="0" fontId="104" fillId="0" borderId="20" xfId="0" applyFont="1" applyBorder="1" applyAlignment="1">
      <alignment horizontal="center" vertical="center" wrapText="1"/>
    </xf>
    <xf numFmtId="0" fontId="104" fillId="5" borderId="20" xfId="0" applyFont="1" applyFill="1" applyBorder="1" applyAlignment="1">
      <alignment horizontal="center" vertical="center" wrapText="1"/>
    </xf>
    <xf numFmtId="43" fontId="6" fillId="4" borderId="20" xfId="1" applyFont="1" applyFill="1" applyBorder="1" applyAlignment="1">
      <alignment vertical="center"/>
    </xf>
    <xf numFmtId="1" fontId="54" fillId="4" borderId="20" xfId="0" applyNumberFormat="1" applyFont="1" applyFill="1" applyBorder="1" applyAlignment="1">
      <alignment horizontal="center" vertical="center" wrapText="1"/>
    </xf>
    <xf numFmtId="0" fontId="7" fillId="5" borderId="0" xfId="14" applyFont="1" applyFill="1"/>
    <xf numFmtId="43" fontId="11" fillId="5" borderId="20" xfId="5" applyFont="1" applyFill="1" applyBorder="1" applyAlignment="1">
      <alignment vertical="center"/>
    </xf>
    <xf numFmtId="2" fontId="43" fillId="5" borderId="20" xfId="0" applyNumberFormat="1" applyFont="1" applyFill="1" applyBorder="1" applyAlignment="1">
      <alignment horizontal="center" vertical="center"/>
    </xf>
    <xf numFmtId="167" fontId="8" fillId="5" borderId="20" xfId="10" applyNumberFormat="1" applyFont="1" applyFill="1" applyBorder="1" applyAlignment="1">
      <alignment horizontal="center" vertical="center" wrapText="1"/>
    </xf>
    <xf numFmtId="43" fontId="11" fillId="0" borderId="20" xfId="1" applyFont="1" applyFill="1" applyBorder="1" applyAlignment="1">
      <alignment vertical="center"/>
    </xf>
    <xf numFmtId="0" fontId="11" fillId="0" borderId="20" xfId="0" applyFont="1" applyBorder="1" applyAlignment="1">
      <alignment horizontal="center" vertical="center"/>
    </xf>
    <xf numFmtId="0" fontId="64" fillId="0" borderId="0" xfId="0" applyFont="1"/>
    <xf numFmtId="0" fontId="64" fillId="5" borderId="0" xfId="0" applyFont="1" applyFill="1"/>
    <xf numFmtId="0" fontId="13" fillId="5" borderId="20" xfId="4" applyNumberFormat="1" applyFont="1" applyFill="1" applyBorder="1" applyAlignment="1">
      <alignment horizontal="center" vertical="center"/>
    </xf>
    <xf numFmtId="0" fontId="8" fillId="0" borderId="20" xfId="5" applyNumberFormat="1" applyFont="1" applyFill="1" applyBorder="1" applyAlignment="1">
      <alignment horizontal="right" vertical="center"/>
    </xf>
    <xf numFmtId="167" fontId="10" fillId="5" borderId="20" xfId="0" applyNumberFormat="1" applyFont="1" applyFill="1" applyBorder="1" applyAlignment="1">
      <alignment horizontal="center" vertical="center" wrapText="1"/>
    </xf>
    <xf numFmtId="167" fontId="13" fillId="5" borderId="20" xfId="0" applyNumberFormat="1" applyFont="1" applyFill="1" applyBorder="1" applyAlignment="1">
      <alignment horizontal="center" vertical="center" wrapText="1"/>
    </xf>
    <xf numFmtId="0" fontId="102" fillId="0" borderId="20" xfId="0" applyFont="1" applyBorder="1" applyAlignment="1">
      <alignment horizontal="center" vertical="center" wrapText="1"/>
    </xf>
    <xf numFmtId="0" fontId="10" fillId="0" borderId="20" xfId="5" applyNumberFormat="1" applyFont="1" applyBorder="1" applyAlignment="1">
      <alignment horizontal="right" vertical="center"/>
    </xf>
    <xf numFmtId="0" fontId="7" fillId="0" borderId="20" xfId="0" applyFont="1" applyBorder="1" applyAlignment="1">
      <alignment horizontal="center" vertical="center" wrapText="1" shrinkToFit="1"/>
    </xf>
    <xf numFmtId="167" fontId="8" fillId="0" borderId="20" xfId="7" applyNumberFormat="1" applyFont="1" applyBorder="1" applyAlignment="1">
      <alignment horizontal="center" vertical="center" wrapText="1"/>
    </xf>
    <xf numFmtId="0" fontId="10" fillId="5" borderId="20" xfId="22" applyFont="1" applyFill="1" applyBorder="1" applyAlignment="1">
      <alignment horizontal="center" vertical="center" wrapText="1"/>
    </xf>
    <xf numFmtId="49" fontId="8" fillId="0" borderId="20" xfId="2" applyNumberFormat="1" applyFont="1" applyBorder="1" applyAlignment="1">
      <alignment horizontal="center" vertical="center"/>
    </xf>
    <xf numFmtId="170" fontId="8" fillId="0" borderId="20" xfId="6" applyNumberFormat="1" applyFont="1" applyBorder="1" applyAlignment="1">
      <alignment horizontal="center" vertical="center"/>
    </xf>
    <xf numFmtId="0" fontId="10" fillId="0" borderId="20" xfId="2" applyFont="1" applyBorder="1" applyAlignment="1">
      <alignment horizontal="center" vertical="center"/>
    </xf>
    <xf numFmtId="0" fontId="8" fillId="0" borderId="20" xfId="7" applyNumberFormat="1" applyFont="1" applyFill="1" applyBorder="1" applyAlignment="1">
      <alignment horizontal="center" vertical="center"/>
    </xf>
    <xf numFmtId="0" fontId="74" fillId="0" borderId="20" xfId="0" applyFont="1" applyBorder="1" applyAlignment="1">
      <alignment horizontal="center" vertical="center"/>
    </xf>
    <xf numFmtId="167" fontId="10" fillId="0" borderId="20" xfId="7" applyNumberFormat="1" applyFont="1" applyBorder="1" applyAlignment="1">
      <alignment horizontal="center" vertical="center" wrapText="1"/>
    </xf>
    <xf numFmtId="0" fontId="10" fillId="0" borderId="20" xfId="2" applyFont="1" applyBorder="1" applyAlignment="1">
      <alignment horizontal="center" vertical="center" wrapText="1"/>
    </xf>
    <xf numFmtId="0" fontId="10" fillId="0" borderId="20" xfId="7" applyNumberFormat="1" applyFont="1" applyFill="1" applyBorder="1" applyAlignment="1">
      <alignment horizontal="center" vertical="center"/>
    </xf>
    <xf numFmtId="183" fontId="7" fillId="0" borderId="20" xfId="0" applyNumberFormat="1" applyFont="1" applyBorder="1" applyAlignment="1">
      <alignment horizontal="center" vertical="center" wrapText="1"/>
    </xf>
    <xf numFmtId="2" fontId="10" fillId="5" borderId="20" xfId="0" applyNumberFormat="1" applyFont="1" applyFill="1" applyBorder="1" applyAlignment="1">
      <alignment horizontal="center" vertical="center"/>
    </xf>
    <xf numFmtId="0" fontId="8" fillId="60" borderId="20" xfId="0" applyFont="1" applyFill="1" applyBorder="1" applyAlignment="1">
      <alignment horizontal="center" vertical="center"/>
    </xf>
    <xf numFmtId="2" fontId="8" fillId="0" borderId="20" xfId="0" applyNumberFormat="1" applyFont="1" applyBorder="1" applyAlignment="1">
      <alignment horizontal="right" vertical="center"/>
    </xf>
    <xf numFmtId="16" fontId="8" fillId="10" borderId="20" xfId="0" applyNumberFormat="1" applyFont="1" applyFill="1" applyBorder="1" applyAlignment="1">
      <alignment horizontal="center" vertical="center"/>
    </xf>
    <xf numFmtId="0" fontId="13" fillId="5" borderId="20" xfId="0" applyFont="1" applyFill="1" applyBorder="1" applyAlignment="1">
      <alignment horizontal="center" vertical="center"/>
    </xf>
    <xf numFmtId="169" fontId="8" fillId="5" borderId="20" xfId="478" applyFill="1" applyBorder="1" applyAlignment="1">
      <alignment horizontal="center" vertical="center" wrapText="1"/>
    </xf>
    <xf numFmtId="16" fontId="10" fillId="0" borderId="20" xfId="0" applyNumberFormat="1" applyFont="1" applyBorder="1" applyAlignment="1">
      <alignment horizontal="center" vertical="center" wrapText="1"/>
    </xf>
    <xf numFmtId="1" fontId="8" fillId="5" borderId="20" xfId="6" applyNumberFormat="1" applyFont="1" applyFill="1" applyBorder="1" applyAlignment="1">
      <alignment horizontal="center" vertical="center" wrapText="1"/>
    </xf>
    <xf numFmtId="0" fontId="8" fillId="0" borderId="20" xfId="0" applyFont="1" applyBorder="1" applyAlignment="1">
      <alignment horizontal="right" vertical="center"/>
    </xf>
    <xf numFmtId="0" fontId="10" fillId="0" borderId="20" xfId="0" applyFont="1" applyBorder="1" applyAlignment="1">
      <alignment horizontal="right" vertical="center"/>
    </xf>
    <xf numFmtId="2" fontId="8" fillId="7" borderId="20" xfId="9" applyNumberFormat="1" applyFont="1" applyFill="1" applyBorder="1" applyAlignment="1">
      <alignment horizontal="center" vertical="center"/>
    </xf>
    <xf numFmtId="166" fontId="10" fillId="0" borderId="20" xfId="2" applyNumberFormat="1" applyFont="1" applyBorder="1" applyAlignment="1">
      <alignment horizontal="center" vertical="center" wrapText="1"/>
    </xf>
    <xf numFmtId="167" fontId="10" fillId="0" borderId="20" xfId="24" applyFont="1" applyBorder="1" applyAlignment="1">
      <alignment horizontal="center" vertical="center" wrapText="1"/>
    </xf>
    <xf numFmtId="16" fontId="7" fillId="10" borderId="20" xfId="6" applyNumberFormat="1" applyFont="1" applyFill="1" applyBorder="1" applyAlignment="1">
      <alignment horizontal="center" vertical="center" wrapText="1"/>
    </xf>
    <xf numFmtId="4" fontId="7" fillId="0" borderId="20" xfId="18" applyNumberFormat="1" applyFont="1" applyFill="1" applyBorder="1" applyAlignment="1">
      <alignment horizontal="right" vertical="center"/>
    </xf>
    <xf numFmtId="2" fontId="7" fillId="7" borderId="20" xfId="9" applyNumberFormat="1" applyFont="1" applyFill="1" applyBorder="1" applyAlignment="1">
      <alignment horizontal="center" vertical="center"/>
    </xf>
    <xf numFmtId="170" fontId="10" fillId="0" borderId="20" xfId="2" applyNumberFormat="1" applyFont="1" applyBorder="1" applyAlignment="1">
      <alignment horizontal="center" vertical="center" wrapText="1"/>
    </xf>
    <xf numFmtId="167" fontId="10" fillId="5" borderId="20" xfId="2" applyNumberFormat="1" applyFont="1" applyFill="1" applyBorder="1" applyAlignment="1">
      <alignment horizontal="center" vertical="center" wrapText="1"/>
    </xf>
    <xf numFmtId="1" fontId="8" fillId="48" borderId="20" xfId="0" applyNumberFormat="1" applyFont="1" applyFill="1" applyBorder="1" applyAlignment="1">
      <alignment horizontal="center" vertical="center" wrapText="1"/>
    </xf>
    <xf numFmtId="1" fontId="8" fillId="47" borderId="20" xfId="6" applyNumberFormat="1" applyFont="1" applyFill="1" applyBorder="1" applyAlignment="1">
      <alignment horizontal="center" vertical="center"/>
    </xf>
    <xf numFmtId="169" fontId="13" fillId="47" borderId="20" xfId="15" applyFont="1" applyFill="1" applyBorder="1" applyAlignment="1">
      <alignment horizontal="center" vertical="center" wrapText="1"/>
    </xf>
    <xf numFmtId="0" fontId="13" fillId="47" borderId="20" xfId="6" applyFont="1" applyFill="1" applyBorder="1" applyAlignment="1">
      <alignment horizontal="center" vertical="center" wrapText="1"/>
    </xf>
    <xf numFmtId="0" fontId="7" fillId="5" borderId="20" xfId="16" applyNumberFormat="1" applyFont="1" applyFill="1" applyBorder="1" applyAlignment="1">
      <alignment horizontal="center" vertical="center" wrapText="1"/>
    </xf>
    <xf numFmtId="4" fontId="7" fillId="5" borderId="20" xfId="2" applyNumberFormat="1" applyFont="1" applyFill="1" applyBorder="1" applyAlignment="1">
      <alignment horizontal="center" vertical="center"/>
    </xf>
    <xf numFmtId="1" fontId="8" fillId="61" borderId="20" xfId="0" applyNumberFormat="1" applyFont="1" applyFill="1" applyBorder="1" applyAlignment="1">
      <alignment horizontal="center" vertical="center"/>
    </xf>
    <xf numFmtId="1" fontId="8" fillId="6" borderId="20" xfId="2" applyNumberFormat="1" applyFont="1" applyFill="1" applyBorder="1" applyAlignment="1">
      <alignment horizontal="center" vertical="center"/>
    </xf>
    <xf numFmtId="1" fontId="8" fillId="47" borderId="20" xfId="0" applyNumberFormat="1" applyFont="1" applyFill="1" applyBorder="1" applyAlignment="1">
      <alignment horizontal="center" vertical="center" wrapText="1"/>
    </xf>
    <xf numFmtId="0" fontId="83" fillId="5" borderId="20" xfId="6" applyFont="1" applyFill="1" applyBorder="1" applyAlignment="1">
      <alignment horizontal="center" vertical="center" wrapText="1"/>
    </xf>
    <xf numFmtId="0" fontId="7" fillId="0" borderId="20" xfId="6" applyFont="1" applyBorder="1" applyAlignment="1">
      <alignment horizontal="center" vertical="center"/>
    </xf>
    <xf numFmtId="16" fontId="7" fillId="10" borderId="20" xfId="0" applyNumberFormat="1" applyFont="1" applyFill="1" applyBorder="1" applyAlignment="1">
      <alignment horizontal="center" vertical="center"/>
    </xf>
    <xf numFmtId="0" fontId="64" fillId="0" borderId="20" xfId="0" applyFont="1" applyBorder="1" applyAlignment="1">
      <alignment horizontal="center" vertical="center"/>
    </xf>
    <xf numFmtId="4" fontId="64" fillId="0" borderId="20" xfId="0" applyNumberFormat="1" applyFont="1" applyBorder="1" applyAlignment="1">
      <alignment horizontal="right" vertical="center"/>
    </xf>
    <xf numFmtId="4" fontId="7" fillId="0" borderId="20" xfId="113" applyNumberFormat="1" applyFont="1" applyBorder="1" applyAlignment="1">
      <alignment horizontal="center" vertical="center"/>
    </xf>
    <xf numFmtId="2" fontId="7" fillId="0" borderId="20" xfId="113" applyNumberFormat="1" applyFont="1" applyBorder="1" applyAlignment="1">
      <alignment horizontal="center" vertical="center" wrapText="1"/>
    </xf>
    <xf numFmtId="1" fontId="7" fillId="0" borderId="22" xfId="0" applyNumberFormat="1" applyFont="1" applyBorder="1" applyAlignment="1">
      <alignment horizontal="center" vertical="center"/>
    </xf>
    <xf numFmtId="16" fontId="7" fillId="10" borderId="22" xfId="113" applyNumberFormat="1" applyFont="1" applyFill="1" applyBorder="1" applyAlignment="1">
      <alignment horizontal="center" vertical="center" wrapText="1"/>
    </xf>
    <xf numFmtId="16" fontId="7" fillId="0" borderId="22" xfId="113" applyNumberFormat="1" applyFont="1" applyBorder="1" applyAlignment="1">
      <alignment horizontal="center" vertical="center" wrapText="1"/>
    </xf>
    <xf numFmtId="0" fontId="10" fillId="9" borderId="20" xfId="6" applyFont="1" applyFill="1" applyBorder="1" applyAlignment="1">
      <alignment horizontal="center" vertical="center" wrapText="1"/>
    </xf>
    <xf numFmtId="169" fontId="13" fillId="0" borderId="20" xfId="36" applyFont="1" applyBorder="1" applyAlignment="1">
      <alignment horizontal="center" vertical="center"/>
    </xf>
    <xf numFmtId="2" fontId="8" fillId="49" borderId="20" xfId="0" applyNumberFormat="1" applyFont="1" applyFill="1" applyBorder="1" applyAlignment="1">
      <alignment horizontal="center" vertical="center"/>
    </xf>
    <xf numFmtId="4" fontId="8" fillId="0" borderId="20" xfId="0" applyNumberFormat="1" applyFont="1" applyBorder="1" applyAlignment="1">
      <alignment vertical="center"/>
    </xf>
    <xf numFmtId="2" fontId="8" fillId="5" borderId="20" xfId="2" applyNumberFormat="1" applyFont="1" applyFill="1" applyBorder="1" applyAlignment="1">
      <alignment horizontal="center" vertical="center" wrapText="1"/>
    </xf>
    <xf numFmtId="0" fontId="13" fillId="0" borderId="20" xfId="14" applyFont="1" applyBorder="1" applyAlignment="1">
      <alignment horizontal="center" vertical="center"/>
    </xf>
    <xf numFmtId="170" fontId="8" fillId="6" borderId="20" xfId="6" applyNumberFormat="1" applyFont="1" applyFill="1" applyBorder="1" applyAlignment="1">
      <alignment horizontal="center" vertical="center"/>
    </xf>
    <xf numFmtId="0" fontId="13" fillId="9" borderId="20" xfId="14" applyFont="1" applyFill="1" applyBorder="1" applyAlignment="1">
      <alignment horizontal="center" vertical="center"/>
    </xf>
    <xf numFmtId="0" fontId="3" fillId="2" borderId="22" xfId="0" applyFont="1" applyFill="1" applyBorder="1" applyAlignment="1">
      <alignment horizontal="center" vertical="center" wrapText="1"/>
    </xf>
    <xf numFmtId="0" fontId="3" fillId="2" borderId="4" xfId="0" applyFont="1" applyFill="1" applyBorder="1" applyAlignment="1">
      <alignment horizontal="center" vertical="center" wrapText="1"/>
    </xf>
    <xf numFmtId="49" fontId="3" fillId="2" borderId="20"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166" fontId="3" fillId="2" borderId="22" xfId="0" applyNumberFormat="1" applyFont="1" applyFill="1" applyBorder="1" applyAlignment="1">
      <alignment horizontal="center" vertical="center" wrapText="1"/>
    </xf>
    <xf numFmtId="166" fontId="3" fillId="2" borderId="4" xfId="0" applyNumberFormat="1"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24" xfId="0" applyFont="1" applyFill="1" applyBorder="1" applyAlignment="1">
      <alignment horizontal="center" vertical="center" wrapText="1"/>
    </xf>
    <xf numFmtId="0" fontId="3" fillId="2" borderId="25" xfId="0" applyFont="1" applyFill="1" applyBorder="1" applyAlignment="1">
      <alignment horizontal="center" vertical="center" wrapText="1"/>
    </xf>
    <xf numFmtId="1" fontId="3" fillId="2" borderId="23" xfId="0" applyNumberFormat="1" applyFont="1" applyFill="1" applyBorder="1" applyAlignment="1">
      <alignment horizontal="center" vertical="center"/>
    </xf>
    <xf numFmtId="1" fontId="3" fillId="2" borderId="24" xfId="0" applyNumberFormat="1" applyFont="1" applyFill="1" applyBorder="1" applyAlignment="1">
      <alignment horizontal="center" vertical="center"/>
    </xf>
    <xf numFmtId="1" fontId="3" fillId="2" borderId="25" xfId="0" applyNumberFormat="1" applyFont="1" applyFill="1" applyBorder="1" applyAlignment="1">
      <alignment horizontal="center" vertical="center"/>
    </xf>
    <xf numFmtId="2" fontId="3" fillId="2" borderId="22" xfId="0" applyNumberFormat="1" applyFont="1" applyFill="1" applyBorder="1" applyAlignment="1">
      <alignment horizontal="center" vertical="center" wrapText="1"/>
    </xf>
    <xf numFmtId="2" fontId="3" fillId="2" borderId="4" xfId="0" applyNumberFormat="1" applyFont="1" applyFill="1" applyBorder="1" applyAlignment="1">
      <alignment horizontal="center" vertical="center" wrapText="1"/>
    </xf>
    <xf numFmtId="0" fontId="3" fillId="2" borderId="20" xfId="0" applyFont="1" applyFill="1" applyBorder="1" applyAlignment="1">
      <alignment horizontal="center" vertical="center" wrapText="1"/>
    </xf>
    <xf numFmtId="0" fontId="4" fillId="2" borderId="22"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84" fillId="9" borderId="22" xfId="0" applyFont="1" applyFill="1" applyBorder="1" applyAlignment="1">
      <alignment horizontal="center" vertical="center" wrapText="1"/>
    </xf>
    <xf numFmtId="0" fontId="84" fillId="9" borderId="4" xfId="0" applyFont="1" applyFill="1" applyBorder="1" applyAlignment="1">
      <alignment horizontal="center" vertical="center" wrapText="1"/>
    </xf>
    <xf numFmtId="0" fontId="13" fillId="5" borderId="22" xfId="0" applyFont="1" applyFill="1" applyBorder="1" applyAlignment="1">
      <alignment horizontal="center" vertical="center" wrapText="1"/>
    </xf>
    <xf numFmtId="0" fontId="13" fillId="5" borderId="4" xfId="0" applyFont="1" applyFill="1" applyBorder="1" applyAlignment="1">
      <alignment horizontal="center" vertical="center" wrapText="1"/>
    </xf>
    <xf numFmtId="169" fontId="79" fillId="2" borderId="1" xfId="27" applyFont="1" applyFill="1" applyBorder="1" applyAlignment="1">
      <alignment horizontal="center" vertical="center" wrapText="1"/>
    </xf>
    <xf numFmtId="169" fontId="80" fillId="2" borderId="1" xfId="27" applyFont="1" applyFill="1" applyBorder="1" applyAlignment="1">
      <alignment horizontal="center" vertical="center" wrapText="1"/>
    </xf>
    <xf numFmtId="169" fontId="80" fillId="2" borderId="27" xfId="27" applyFont="1" applyFill="1" applyBorder="1" applyAlignment="1">
      <alignment horizontal="center" vertical="center" wrapText="1"/>
    </xf>
    <xf numFmtId="169" fontId="80" fillId="2" borderId="28" xfId="27" applyFont="1" applyFill="1" applyBorder="1" applyAlignment="1">
      <alignment horizontal="center" vertical="center" wrapText="1"/>
    </xf>
    <xf numFmtId="169" fontId="80" fillId="2" borderId="29" xfId="27" applyFont="1" applyFill="1" applyBorder="1" applyAlignment="1">
      <alignment horizontal="center" vertical="center" wrapText="1"/>
    </xf>
    <xf numFmtId="169" fontId="6" fillId="2" borderId="1" xfId="27" applyFont="1" applyFill="1" applyBorder="1" applyAlignment="1">
      <alignment horizontal="center" vertical="center" wrapText="1"/>
    </xf>
    <xf numFmtId="169" fontId="92" fillId="48" borderId="23" xfId="27" applyFont="1" applyFill="1" applyBorder="1" applyAlignment="1">
      <alignment horizontal="center" vertical="center" wrapText="1"/>
    </xf>
    <xf numFmtId="169" fontId="92" fillId="48" borderId="24" xfId="27" applyFont="1" applyFill="1" applyBorder="1" applyAlignment="1">
      <alignment horizontal="center" vertical="center" wrapText="1"/>
    </xf>
    <xf numFmtId="169" fontId="92" fillId="48" borderId="25" xfId="27" applyFont="1" applyFill="1" applyBorder="1" applyAlignment="1">
      <alignment horizontal="center" vertical="center" wrapText="1"/>
    </xf>
    <xf numFmtId="14" fontId="54" fillId="48" borderId="23" xfId="0" applyNumberFormat="1" applyFont="1" applyFill="1" applyBorder="1" applyAlignment="1">
      <alignment horizontal="center" vertical="center" wrapText="1"/>
    </xf>
    <xf numFmtId="14" fontId="54" fillId="48" borderId="24" xfId="0" applyNumberFormat="1" applyFont="1" applyFill="1" applyBorder="1" applyAlignment="1">
      <alignment horizontal="center" vertical="center" wrapText="1"/>
    </xf>
    <xf numFmtId="14" fontId="54" fillId="48" borderId="25" xfId="0" applyNumberFormat="1" applyFont="1" applyFill="1" applyBorder="1" applyAlignment="1">
      <alignment horizontal="center" vertical="center" wrapText="1"/>
    </xf>
    <xf numFmtId="166" fontId="91" fillId="0" borderId="22" xfId="20" applyNumberFormat="1" applyFont="1" applyFill="1" applyBorder="1" applyAlignment="1">
      <alignment horizontal="center" vertical="center" wrapText="1"/>
    </xf>
    <xf numFmtId="166" fontId="91" fillId="0" borderId="26" xfId="20" applyNumberFormat="1" applyFont="1" applyFill="1" applyBorder="1" applyAlignment="1">
      <alignment horizontal="center" vertical="center" wrapText="1"/>
    </xf>
    <xf numFmtId="166" fontId="91" fillId="0" borderId="4" xfId="20" applyNumberFormat="1" applyFont="1" applyFill="1" applyBorder="1" applyAlignment="1">
      <alignment horizontal="center" vertical="center" wrapText="1"/>
    </xf>
    <xf numFmtId="169" fontId="63" fillId="9" borderId="21" xfId="27" applyFont="1" applyFill="1" applyBorder="1" applyAlignment="1">
      <alignment horizontal="center" vertical="center" wrapText="1"/>
    </xf>
    <xf numFmtId="169" fontId="63" fillId="9" borderId="0" xfId="27" applyFont="1" applyFill="1" applyAlignment="1">
      <alignment horizontal="center" vertical="center" wrapText="1"/>
    </xf>
    <xf numFmtId="169" fontId="69" fillId="2" borderId="1" xfId="27" applyFont="1" applyFill="1" applyBorder="1" applyAlignment="1">
      <alignment horizontal="center" vertical="center" wrapText="1"/>
    </xf>
    <xf numFmtId="169" fontId="8" fillId="0" borderId="1" xfId="27" applyFont="1" applyBorder="1" applyAlignment="1">
      <alignment horizontal="center" vertical="center" wrapText="1"/>
    </xf>
    <xf numFmtId="169" fontId="62" fillId="2" borderId="1" xfId="27" applyFont="1" applyFill="1" applyBorder="1" applyAlignment="1">
      <alignment horizontal="center" vertical="center" wrapText="1"/>
    </xf>
    <xf numFmtId="169" fontId="63" fillId="2" borderId="1" xfId="27" applyFont="1" applyFill="1" applyBorder="1" applyAlignment="1">
      <alignment horizontal="center" vertical="center" wrapText="1"/>
    </xf>
    <xf numFmtId="169" fontId="62" fillId="9" borderId="1" xfId="27" applyFont="1" applyFill="1" applyBorder="1" applyAlignment="1">
      <alignment horizontal="center" vertical="center" wrapText="1"/>
    </xf>
    <xf numFmtId="169" fontId="92" fillId="9" borderId="23" xfId="27" applyFont="1" applyFill="1" applyBorder="1" applyAlignment="1">
      <alignment horizontal="center" vertical="center" wrapText="1"/>
    </xf>
    <xf numFmtId="169" fontId="92" fillId="9" borderId="24" xfId="27" applyFont="1" applyFill="1" applyBorder="1" applyAlignment="1">
      <alignment horizontal="center" vertical="center" wrapText="1"/>
    </xf>
    <xf numFmtId="169" fontId="92" fillId="9" borderId="25" xfId="27" applyFont="1" applyFill="1" applyBorder="1" applyAlignment="1">
      <alignment horizontal="center" vertical="center" wrapText="1"/>
    </xf>
    <xf numFmtId="0" fontId="81" fillId="0" borderId="22" xfId="0" applyFont="1" applyBorder="1" applyAlignment="1">
      <alignment horizontal="center" vertical="center" wrapText="1"/>
    </xf>
    <xf numFmtId="0" fontId="81" fillId="0" borderId="26" xfId="0" applyFont="1" applyBorder="1" applyAlignment="1">
      <alignment horizontal="center" vertical="center" wrapText="1"/>
    </xf>
    <xf numFmtId="0" fontId="81" fillId="0" borderId="4" xfId="0" applyFont="1" applyBorder="1" applyAlignment="1">
      <alignment horizontal="center" vertical="center" wrapText="1"/>
    </xf>
    <xf numFmtId="0" fontId="81" fillId="5" borderId="22" xfId="0" applyFont="1" applyFill="1" applyBorder="1" applyAlignment="1">
      <alignment horizontal="center" vertical="center" wrapText="1"/>
    </xf>
    <xf numFmtId="0" fontId="81" fillId="5" borderId="4" xfId="0" applyFont="1" applyFill="1" applyBorder="1" applyAlignment="1">
      <alignment horizontal="center" vertical="center" wrapText="1"/>
    </xf>
    <xf numFmtId="0" fontId="81" fillId="5" borderId="26" xfId="0" applyFont="1" applyFill="1" applyBorder="1" applyAlignment="1">
      <alignment horizontal="center" vertical="center" wrapText="1"/>
    </xf>
    <xf numFmtId="166"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wrapText="1"/>
    </xf>
    <xf numFmtId="2" fontId="3" fillId="2" borderId="1"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xf>
    <xf numFmtId="49" fontId="3" fillId="2"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69" fontId="14" fillId="2" borderId="1" xfId="27" applyFont="1" applyFill="1" applyBorder="1" applyAlignment="1">
      <alignment horizontal="center" vertical="center" wrapText="1"/>
    </xf>
    <xf numFmtId="169" fontId="14" fillId="2" borderId="3" xfId="27" applyFont="1" applyFill="1" applyBorder="1" applyAlignment="1">
      <alignment horizontal="center" vertical="center" wrapText="1"/>
    </xf>
    <xf numFmtId="169" fontId="14" fillId="2" borderId="4" xfId="27" applyFont="1" applyFill="1" applyBorder="1" applyAlignment="1">
      <alignment horizontal="center" vertical="center" wrapText="1"/>
    </xf>
    <xf numFmtId="1" fontId="14" fillId="2" borderId="1" xfId="27" applyNumberFormat="1" applyFont="1" applyFill="1" applyBorder="1" applyAlignment="1">
      <alignment horizontal="center" vertical="center"/>
    </xf>
    <xf numFmtId="0" fontId="14" fillId="2" borderId="1" xfId="27" applyNumberFormat="1" applyFont="1" applyFill="1" applyBorder="1" applyAlignment="1">
      <alignment horizontal="center" vertical="center" wrapText="1"/>
    </xf>
    <xf numFmtId="2" fontId="14" fillId="2" borderId="1" xfId="27" applyNumberFormat="1" applyFont="1" applyFill="1" applyBorder="1" applyAlignment="1">
      <alignment horizontal="center" vertical="center" wrapText="1"/>
    </xf>
    <xf numFmtId="2" fontId="14" fillId="2" borderId="1" xfId="27" applyNumberFormat="1" applyFont="1" applyFill="1" applyBorder="1" applyAlignment="1">
      <alignment horizontal="center" vertical="center"/>
    </xf>
    <xf numFmtId="169" fontId="14" fillId="2" borderId="1" xfId="27" applyFont="1" applyFill="1" applyBorder="1" applyAlignment="1">
      <alignment horizontal="center" vertical="center"/>
    </xf>
    <xf numFmtId="169" fontId="15" fillId="2" borderId="1" xfId="27" applyFont="1" applyFill="1" applyBorder="1" applyAlignment="1">
      <alignment horizontal="center" vertical="center" wrapText="1"/>
    </xf>
    <xf numFmtId="16" fontId="14" fillId="2" borderId="1" xfId="27" applyNumberFormat="1" applyFont="1" applyFill="1" applyBorder="1" applyAlignment="1">
      <alignment horizontal="center" vertical="center" wrapText="1"/>
    </xf>
    <xf numFmtId="49" fontId="14" fillId="2" borderId="1" xfId="27" applyNumberFormat="1" applyFont="1" applyFill="1" applyBorder="1" applyAlignment="1">
      <alignment horizontal="center" vertical="center" wrapText="1"/>
    </xf>
    <xf numFmtId="0" fontId="14" fillId="3" borderId="1" xfId="27" applyNumberFormat="1" applyFont="1" applyFill="1" applyBorder="1" applyAlignment="1">
      <alignment horizontal="center" vertical="center" wrapText="1"/>
    </xf>
    <xf numFmtId="16" fontId="7" fillId="9" borderId="20" xfId="0" applyNumberFormat="1" applyFont="1" applyFill="1" applyBorder="1" applyAlignment="1">
      <alignment horizontal="center" vertical="center"/>
    </xf>
    <xf numFmtId="16" fontId="13" fillId="5" borderId="20" xfId="6" applyNumberFormat="1" applyFont="1" applyFill="1" applyBorder="1" applyAlignment="1">
      <alignment horizontal="center" vertical="center" wrapText="1"/>
    </xf>
    <xf numFmtId="1" fontId="8" fillId="0" borderId="20" xfId="34" applyNumberFormat="1" applyFont="1" applyBorder="1" applyAlignment="1">
      <alignment horizontal="center" vertical="center"/>
    </xf>
    <xf numFmtId="0" fontId="8" fillId="9" borderId="20" xfId="0" applyFont="1" applyFill="1" applyBorder="1" applyAlignment="1">
      <alignment horizontal="center" vertical="center" wrapText="1"/>
    </xf>
    <xf numFmtId="0" fontId="7" fillId="9" borderId="20" xfId="2" applyFont="1" applyFill="1" applyBorder="1" applyAlignment="1">
      <alignment horizontal="center" vertical="center" wrapText="1"/>
    </xf>
    <xf numFmtId="166" fontId="8" fillId="5" borderId="20" xfId="2" applyNumberFormat="1" applyFont="1" applyFill="1" applyBorder="1" applyAlignment="1">
      <alignment horizontal="center" vertical="center" wrapText="1"/>
    </xf>
    <xf numFmtId="0" fontId="84" fillId="7" borderId="20" xfId="0" applyFont="1" applyFill="1" applyBorder="1" applyAlignment="1">
      <alignment horizontal="center" vertical="center" wrapText="1"/>
    </xf>
    <xf numFmtId="0" fontId="87" fillId="47" borderId="20" xfId="0" applyFont="1" applyFill="1" applyBorder="1" applyAlignment="1">
      <alignment horizontal="center" vertical="center" wrapText="1"/>
    </xf>
  </cellXfs>
  <cellStyles count="479">
    <cellStyle name="_Book2" xfId="145" xr:uid="{E7E95981-0C40-44AE-9847-115897FEF079}"/>
    <cellStyle name="_Book4" xfId="91" xr:uid="{FFE379FE-E806-4533-B34D-BE0823C53953}"/>
    <cellStyle name="_Book4 2" xfId="268" xr:uid="{C2B5BD57-D7F3-4FB1-A249-7C74CD402ADF}"/>
    <cellStyle name="_Book4 2 2" xfId="373" xr:uid="{A336BF1D-02D9-4867-BDD0-256CE618D2AE}"/>
    <cellStyle name="_Book4 2 3" xfId="19" xr:uid="{3C6DA367-213F-4DA0-81B0-E0AF47ACD666}"/>
    <cellStyle name="_Book4 2 3 2" xfId="24" xr:uid="{3D98FD0C-94E1-480E-A850-8F580D3DB8EF}"/>
    <cellStyle name="_Book4 3" xfId="362" xr:uid="{3D3402CC-AC4D-4BF8-B19E-DBCE1079F7CE}"/>
    <cellStyle name="_Book4 4" xfId="127" xr:uid="{5DB7285F-4432-4FA7-ADE1-2A6E2BC46DF4}"/>
    <cellStyle name="_Book4 4 2" xfId="220" xr:uid="{C0C06062-02FC-4F50-96E2-BBCD9E09AE7A}"/>
    <cellStyle name="_Book4 4 3" xfId="105" xr:uid="{94C7FD1E-93B7-4520-9077-3CF27F750D48}"/>
    <cellStyle name="_Book4 5" xfId="12" xr:uid="{7E1958CA-409E-4871-B79A-07DF715805BD}"/>
    <cellStyle name="_Book4 6" xfId="374" xr:uid="{442F6CE3-1394-46E0-93DD-3367D3159224}"/>
    <cellStyle name="_Book4 7" xfId="122" xr:uid="{D9D93C29-38AE-48BF-BEEA-1C2439266CEE}"/>
    <cellStyle name="_C-131-1072-001(9) Shopping bag" xfId="146" xr:uid="{8FEFF028-2294-4FAE-9D00-001BAE265644}"/>
    <cellStyle name="_C-269-2700 MILITARY BAG" xfId="147" xr:uid="{B38B2D04-E7A1-4C98-B01E-B074652F423C}"/>
    <cellStyle name="_c-285-2780 scanner bag MC9500" xfId="148" xr:uid="{5B52806D-AC84-4193-B28C-5C98A8A99E17}"/>
    <cellStyle name="_C-288-2847 ATTACK GUN BAG" xfId="149" xr:uid="{24E8FA4E-B3B9-41AF-85F9-78B479F79919}"/>
    <cellStyle name="_C-288-2848 ATTACK FINS BAG" xfId="150" xr:uid="{EA6382A6-98A1-45BF-A137-22833DDD249E}"/>
    <cellStyle name="_C-288-2849 ATTACK JOURNEY BAG" xfId="151" xr:uid="{16DAEA6A-C729-41E3-BA3E-5A69F5E2B3D4}"/>
    <cellStyle name="_Copia di NEW SAMPLE RECEIVED 05 OCT 2010 (2)" xfId="152" xr:uid="{FC28F183-82B7-4696-81D7-AB98A8A4E1AA}"/>
    <cellStyle name="_DG - 2697-001 - LEFT HAND MOBILE TOOL BAG" xfId="153" xr:uid="{32E5445A-71AB-442B-AFA3-B5519CACC58C}"/>
    <cellStyle name="_DG - 2698-001 - RIGHT HAND MOBILE TOOL BAG" xfId="154" xr:uid="{8A0DB1DC-FCC2-4B92-A046-61D10C40C1F9}"/>
    <cellStyle name="_DG - 2699-001 -  TOOL BAG" xfId="155" xr:uid="{FE967ECB-7447-490D-B794-08163454BD3B}"/>
    <cellStyle name="_DG-1336-TOILET BAG" xfId="156" xr:uid="{CFD0BACC-F258-454D-83D3-0B6B6827980A}"/>
    <cellStyle name="_GREENFIELDS - 2703 - SCANNER BAG HERMES #00296" xfId="157" xr:uid="{07D12181-F45E-4B51-987E-6F1F51CEE86A}"/>
    <cellStyle name="_GREENFIELDS - 2704 - SCANNER BAG DPD #00270" xfId="158" xr:uid="{6736C55A-9491-4DF5-9BC8-DCA0B6E23199}"/>
    <cellStyle name="_GREENFIELDS - 2705 - WALLET DPD #00271" xfId="159" xr:uid="{0723A8AC-A249-46B7-BB67-783389649AF7}"/>
    <cellStyle name="_GREENFIELDS - 2706 - SCANNER SWISS PORT #00244" xfId="160" xr:uid="{47A6AB1B-252F-4A85-982C-6F388CE435DE}"/>
    <cellStyle name="_GREENFIELDS - 2707 - SCANNER BAG CH POST #00244" xfId="161" xr:uid="{126A2BE1-B1C0-4FAA-910E-7DB3C44C4D95}"/>
    <cellStyle name="_Mares-2799-001 Oval scuba mesh bag" xfId="162" xr:uid="{D3F89232-7C77-4981-B683-0256DDCEEEE1}"/>
    <cellStyle name="_Mares-2800-001 Rectangle scuba mesh bag" xfId="163" xr:uid="{DBD5EBFE-FE58-4136-8C65-1E6E4E48DF15}"/>
    <cellStyle name="_Quotation C-2044-01 Nicki Cap" xfId="123" xr:uid="{A905751D-98BE-4BA4-8102-878B215D04CC}"/>
    <cellStyle name="_Quotation C-2044-01 Nicki Cap 2" xfId="203" xr:uid="{60C848E5-739F-4F74-AB57-A264B63DF37E}"/>
    <cellStyle name="_Quotation C-2044-01 Nicki Cap 3" xfId="22" xr:uid="{A69E9FEE-1D93-4C0F-A8AF-31CDED6D0175}"/>
    <cellStyle name="_Quotation for Cap star- Slothwear" xfId="133" xr:uid="{7C98901E-0D49-4780-BA6A-095CB78CAA8D}"/>
    <cellStyle name="_Quotation for Cap star- Slothwear 2" xfId="197" xr:uid="{8FC7A157-6133-45A8-BF36-256A2399DAE4}"/>
    <cellStyle name="_Quotation for Cap star- Slothwear 3" xfId="11" xr:uid="{85A5D649-9080-4A9F-87AF-66CCF424F153}"/>
    <cellStyle name="_QUOTATION R-2060-2064-01 SCANNER BAGS - new" xfId="164" xr:uid="{1A3EE645-3B89-47E1-8605-A267EA753465}"/>
    <cellStyle name="_QUOTATION R-2060-2064-01 SCANNER BAGS - new 2" xfId="196" xr:uid="{B19E71D8-6EC6-4D80-B664-800EAB7EBE6E}"/>
    <cellStyle name="_QUOTATION R-2060-2064-01 SCANNER BAGS - new 3" xfId="238" xr:uid="{1ABBC9CB-B72C-4901-BAF0-9B247E34CD6A}"/>
    <cellStyle name="20% - Accent1" xfId="59" builtinId="30" customBuiltin="1"/>
    <cellStyle name="20% - Accent2" xfId="62" builtinId="34" customBuiltin="1"/>
    <cellStyle name="20% - Accent3" xfId="65" builtinId="38" customBuiltin="1"/>
    <cellStyle name="20% - Accent4" xfId="68" builtinId="42" customBuiltin="1"/>
    <cellStyle name="20% - Accent5" xfId="71" builtinId="46" customBuiltin="1"/>
    <cellStyle name="20% - Accent6" xfId="74" builtinId="50" customBuiltin="1"/>
    <cellStyle name="40% - Accent1" xfId="60" builtinId="31" customBuiltin="1"/>
    <cellStyle name="40% - Accent2" xfId="63" builtinId="35" customBuiltin="1"/>
    <cellStyle name="40% - Accent3" xfId="66" builtinId="39" customBuiltin="1"/>
    <cellStyle name="40% - Accent4" xfId="69" builtinId="43" customBuiltin="1"/>
    <cellStyle name="40% - Accent5" xfId="72" builtinId="47" customBuiltin="1"/>
    <cellStyle name="40% - Accent6" xfId="75" builtinId="51" customBuiltin="1"/>
    <cellStyle name="60% - Accent1 2" xfId="93" xr:uid="{4BD8524B-7BAF-48CC-832A-DBFAEE54D5C6}"/>
    <cellStyle name="60% - Accent2 2" xfId="94" xr:uid="{8C1C8474-DB5E-421C-B05E-E935959905F1}"/>
    <cellStyle name="60% - Accent3 2" xfId="95" xr:uid="{B06213F9-2C7F-465B-8A1E-5ECB6BD2809C}"/>
    <cellStyle name="60% - Accent4 2" xfId="96" xr:uid="{A30D3EEB-BFD5-439D-938B-B10D581089DA}"/>
    <cellStyle name="60% - Accent5 2" xfId="97" xr:uid="{9BEA8211-246B-42E4-B54A-A5384F82C6E1}"/>
    <cellStyle name="60% - Accent6 2" xfId="98" xr:uid="{F26C53A5-7CC4-4EBF-B405-29D67D89F03F}"/>
    <cellStyle name="Accent1" xfId="58" builtinId="29" customBuiltin="1"/>
    <cellStyle name="Accent2" xfId="61" builtinId="33" customBuiltin="1"/>
    <cellStyle name="Accent3" xfId="64" builtinId="37" customBuiltin="1"/>
    <cellStyle name="Accent4" xfId="67" builtinId="41" customBuiltin="1"/>
    <cellStyle name="Accent5" xfId="70" builtinId="45" customBuiltin="1"/>
    <cellStyle name="Accent6" xfId="73" builtinId="49" customBuiltin="1"/>
    <cellStyle name="Bad" xfId="48" builtinId="27" customBuiltin="1"/>
    <cellStyle name="Calculation" xfId="51" builtinId="22" customBuiltin="1"/>
    <cellStyle name="Check Cell" xfId="53" builtinId="23" customBuiltin="1"/>
    <cellStyle name="Comma" xfId="1" builtinId="3"/>
    <cellStyle name="Comma 10" xfId="115" xr:uid="{887237FF-0E81-45FA-BF5E-F777D75CD7A6}"/>
    <cellStyle name="Comma 11" xfId="363" xr:uid="{70C75C0F-0B4D-4ED8-A1D5-BAE9828DFE10}"/>
    <cellStyle name="Comma 2" xfId="18" xr:uid="{47FEA6B5-F0E7-4D09-9C9E-4E456A1BC0E3}"/>
    <cellStyle name="Comma 2 2" xfId="5" xr:uid="{BFF02CE3-189C-490E-B890-821DEA9814FA}"/>
    <cellStyle name="Comma 2 2 2" xfId="84" xr:uid="{8995F9D7-1C8A-4D49-B809-23118C10131F}"/>
    <cellStyle name="Comma 2 2 2 2" xfId="83" xr:uid="{A4D7E743-2C04-4461-ADF5-B72FD2D08F99}"/>
    <cellStyle name="Comma 2 2 2 2 2" xfId="340" xr:uid="{1B9FE6B0-8F3E-41C1-9687-3884666D3C9D}"/>
    <cellStyle name="Comma 2 2 2 3" xfId="99" xr:uid="{14A1D8B9-A67D-4971-9766-EA25DF11FAB7}"/>
    <cellStyle name="Comma 2 2 2 3 2" xfId="165" xr:uid="{F92206A2-2381-46DF-87F2-576046475836}"/>
    <cellStyle name="Comma 2 2 3" xfId="81" xr:uid="{936DFDC7-44B9-4732-A491-CCEAC98623B6}"/>
    <cellStyle name="Comma 2 2 3 2" xfId="336" xr:uid="{C8471163-55C2-4089-A867-7DC77E7F8E3C}"/>
    <cellStyle name="Comma 2 2 4" xfId="367" xr:uid="{660DEBB9-EC30-4856-96A5-C43D8880ED4D}"/>
    <cellStyle name="Comma 2 2 5" xfId="394" xr:uid="{70308ADD-3521-497B-B5B8-E5F03AED626E}"/>
    <cellStyle name="Comma 2 2 6" xfId="118" xr:uid="{C56F730E-36BF-4350-9F1B-D528A097297A}"/>
    <cellStyle name="Comma 2 3" xfId="176" xr:uid="{31705FAE-ADE4-4E6D-A680-B39A322A38E1}"/>
    <cellStyle name="Comma 2 3 2" xfId="90" xr:uid="{D779A88A-DF07-413B-9B13-B2F0F6FAD599}"/>
    <cellStyle name="Comma 2 3 2 2" xfId="345" xr:uid="{53C5DCB5-6227-447C-AF2D-6F0585A8FAD8}"/>
    <cellStyle name="Comma 2 3 3" xfId="429" xr:uid="{B87702F7-5342-46AF-960B-ACD00F77BF76}"/>
    <cellStyle name="Comma 2 4" xfId="337" xr:uid="{B76E47FE-2305-4951-A3B4-6D8CF9E58B86}"/>
    <cellStyle name="Comma 2 5" xfId="369" xr:uid="{2A4CF977-FD0C-4DAF-AD28-D408DAAFC70B}"/>
    <cellStyle name="Comma 2 6" xfId="125" xr:uid="{F0B72A75-610D-4507-89CF-78DCCFDE15F0}"/>
    <cellStyle name="Comma 2 6 2" xfId="393" xr:uid="{9D7BAB7F-4534-4779-A8E9-7C2D95EFDE7E}"/>
    <cellStyle name="Comma 3" xfId="166" xr:uid="{DEC14467-6A44-4BA3-82AE-065D7CE1C39B}"/>
    <cellStyle name="Comma 3 2" xfId="167" xr:uid="{B1397C89-93D7-4D0A-88CE-BDB0DC2EEC73}"/>
    <cellStyle name="Comma 3 2 2" xfId="342" xr:uid="{AA469C16-09A9-4E61-BA48-E0F28E3A2527}"/>
    <cellStyle name="Comma 3 2 3" xfId="428" xr:uid="{B27214D0-5DAC-43BF-B02E-AD297735C789}"/>
    <cellStyle name="Comma 3 3" xfId="264" xr:uid="{E6422976-4C77-4197-9103-A2969D654008}"/>
    <cellStyle name="Comma 3 3 2" xfId="349" xr:uid="{551A2A55-D51E-491F-AA42-0FCBFD036FB5}"/>
    <cellStyle name="Comma 3 4" xfId="271" xr:uid="{B6BAD4D2-C319-49DD-8035-D36E12724A86}"/>
    <cellStyle name="Comma 3 4 2" xfId="350" xr:uid="{C8C11B2C-C178-47EB-AC1A-C16CC24877B7}"/>
    <cellStyle name="Comma 3 5" xfId="341" xr:uid="{2E3F85D3-6866-4563-8408-A9D8E4CAD26D}"/>
    <cellStyle name="Comma 3 6" xfId="375" xr:uid="{222EE3A3-7796-458A-95CD-2C210D393D8E}"/>
    <cellStyle name="Comma 3 7" xfId="395" xr:uid="{A6AB0683-17A3-46D0-A19D-3F7E2D753BC5}"/>
    <cellStyle name="Comma 4" xfId="168" xr:uid="{720063BA-3A2A-456A-BB06-D48BA290C241}"/>
    <cellStyle name="Comma 4 2" xfId="343" xr:uid="{22EC51C2-858A-4D05-8683-598EA7C2C989}"/>
    <cellStyle name="Comma 4 3" xfId="396" xr:uid="{50E4A7BA-C5A8-4382-A99F-FFBDEEFF7CC7}"/>
    <cellStyle name="Comma 5" xfId="169" xr:uid="{D4E4E635-5316-4349-80C9-0FF759F87004}"/>
    <cellStyle name="Comma 5 2" xfId="344" xr:uid="{A3F399E8-AAB2-4FBE-B2DE-480429C881BA}"/>
    <cellStyle name="Comma 6" xfId="180" xr:uid="{DFB24828-64B6-428F-9B56-0E38319AECAF}"/>
    <cellStyle name="Comma 6 2" xfId="346" xr:uid="{573A141E-8B10-4CF2-A7B9-786691CD1E87}"/>
    <cellStyle name="Comma 7" xfId="182" xr:uid="{239C96DA-61D2-4C02-AE00-5BA31A5939E1}"/>
    <cellStyle name="Comma 7 2" xfId="347" xr:uid="{37E2666A-0046-409E-B3B2-706827F3E6FB}"/>
    <cellStyle name="Comma 8" xfId="187" xr:uid="{F8ACEE9C-275F-4C54-A536-D715BD7F90D2}"/>
    <cellStyle name="Comma 8 2" xfId="348" xr:uid="{92FCD66D-81A7-41F7-BA51-28C62E27E77C}"/>
    <cellStyle name="Comma 9" xfId="82" xr:uid="{6101C111-D4A7-4953-8D19-53E8F9AD64CC}"/>
    <cellStyle name="Comma 9 2" xfId="334" xr:uid="{9DB3E0F4-1371-4977-A90B-88DA84820069}"/>
    <cellStyle name="Currency 2" xfId="138" xr:uid="{5A13DA62-0ED2-46A7-ABFD-162CB88BC182}"/>
    <cellStyle name="Currency 2 2" xfId="339" xr:uid="{0E9839AA-7DFD-4BB0-96C7-073C13AD3F50}"/>
    <cellStyle name="Currency 3" xfId="335" xr:uid="{FD1A2731-16AF-4111-B855-27401A9D73ED}"/>
    <cellStyle name="Currency 4" xfId="116" xr:uid="{A1064549-9753-4D9C-B8C1-C3FD50B18C73}"/>
    <cellStyle name="Currency 5" xfId="370" xr:uid="{9F1BFCD4-1ED3-43A8-BA07-0A4E16EA64E7}"/>
    <cellStyle name="Euro" xfId="170" xr:uid="{A96095C7-F841-4756-8656-EC6CEC14E976}"/>
    <cellStyle name="Euro 2" xfId="217" xr:uid="{E0789941-8DC7-4159-B839-18E89C98478A}"/>
    <cellStyle name="Euro 3" xfId="239" xr:uid="{A9D2A140-B7AA-47CC-8549-600847A636EF}"/>
    <cellStyle name="Explanatory Text" xfId="56" builtinId="53" customBuiltin="1"/>
    <cellStyle name="Good" xfId="47" builtinId="26" customBuiltin="1"/>
    <cellStyle name="Heading 1" xfId="43" builtinId="16" customBuiltin="1"/>
    <cellStyle name="Heading 2" xfId="44" builtinId="17" customBuiltin="1"/>
    <cellStyle name="Heading 3" xfId="45" builtinId="18" customBuiltin="1"/>
    <cellStyle name="Heading 4" xfId="46" builtinId="19" customBuiltin="1"/>
    <cellStyle name="Hyperlink 2" xfId="37" xr:uid="{CCE666C3-E036-4C51-9D43-3F92C24781B4}"/>
    <cellStyle name="Hyperlink 2 2" xfId="40" xr:uid="{A5A9F225-7878-4F81-BB1C-56ABFBE55695}"/>
    <cellStyle name="Hyperlink 2 2 2" xfId="224" xr:uid="{D1EAE628-7F34-4192-8C23-1145C6C62C99}"/>
    <cellStyle name="Hyperlink 2 3" xfId="236" xr:uid="{BFAD74DB-94C3-4630-AD96-8D9CBD9F8FEC}"/>
    <cellStyle name="Hyperlink 2 4" xfId="17" xr:uid="{DEA75CE4-4B18-4F7F-8EF3-06C6806D1880}"/>
    <cellStyle name="Hyperlink 2 5" xfId="142" xr:uid="{3FA9FC96-65A3-46D6-A794-1DE7EF4DE562}"/>
    <cellStyle name="Hyperlink 3" xfId="140" xr:uid="{150E6ED8-80A8-402E-90E7-68FC002D0365}"/>
    <cellStyle name="Hyperlink 3 2" xfId="189" xr:uid="{76586E6C-D101-4BDE-9B28-C6F420C0A8B1}"/>
    <cellStyle name="Hyperlink 3 3" xfId="234" xr:uid="{3F7F7A08-75B0-40F9-8599-078DD7828F2E}"/>
    <cellStyle name="Hyperlink 4" xfId="179" xr:uid="{FDA34A1B-1F33-4610-B075-EC3E8D5414BF}"/>
    <cellStyle name="Hyperlink 5" xfId="181" xr:uid="{61797FC5-EB40-4B4A-A8D0-C5A93D6AC622}"/>
    <cellStyle name="Hyperlink 5 2" xfId="210" xr:uid="{1761F377-0280-41F9-9B5E-A757BA6F0C2F}"/>
    <cellStyle name="Hyperlink 5 3" xfId="244" xr:uid="{77D201FB-638E-4AEE-BE1E-8EEE8A3895DB}"/>
    <cellStyle name="Hyperlink 6" xfId="143" xr:uid="{A2820F1C-1257-4B00-A43A-DF55FDA08F20}"/>
    <cellStyle name="Hyperlink 6 2" xfId="222" xr:uid="{04523DDC-5EE7-42BF-B37F-92C87C479DB8}"/>
    <cellStyle name="Hyperlink 6 3" xfId="237" xr:uid="{60538571-B7DC-47C6-B2EF-B5B059BDDD04}"/>
    <cellStyle name="Hyperlink 7" xfId="205" xr:uid="{A9BFC084-EF3C-449B-ADFD-231F0E1A4993}"/>
    <cellStyle name="Hyperlink 8" xfId="231" xr:uid="{B7067B99-6EA5-4339-9984-8A7D5FD5FB64}"/>
    <cellStyle name="Hyperlink 9" xfId="252" xr:uid="{B0553099-4D82-492E-B73A-911E14CF5170}"/>
    <cellStyle name="Input" xfId="49" builtinId="20" customBuiltin="1"/>
    <cellStyle name="Linked Cell" xfId="52" builtinId="24" customBuiltin="1"/>
    <cellStyle name="Neutral 2" xfId="92" xr:uid="{D40530B8-7D94-4ED2-98A6-F00AA38D2C1A}"/>
    <cellStyle name="Normal" xfId="0" builtinId="0"/>
    <cellStyle name="Normal 10" xfId="36" xr:uid="{5BF9AC0E-98A8-415B-B336-3F35DBD6DE5D}"/>
    <cellStyle name="Normal 10 2" xfId="211" xr:uid="{73D7A0A3-128D-422F-ABB9-4110F33D0B65}"/>
    <cellStyle name="Normal 10 3" xfId="243" xr:uid="{7795E022-9E50-4DDA-9339-E0D1F2E1A4FF}"/>
    <cellStyle name="Normal 10 4" xfId="397" xr:uid="{01FAE717-7F21-4BEA-8121-A7B6B465D3B3}"/>
    <cellStyle name="Normal 102" xfId="14" xr:uid="{8B11F9F3-B30C-4DB9-8C44-58BE81C37D4D}"/>
    <cellStyle name="Normal 103" xfId="313" xr:uid="{126E6477-EBF1-4BD9-B0AA-C00715042700}"/>
    <cellStyle name="Normal 104" xfId="314" xr:uid="{578C3A98-05E0-4EE5-95E2-DBE1135FE147}"/>
    <cellStyle name="Normal 105" xfId="316" xr:uid="{7707E3A4-8662-4D0C-B5D3-067A86F5A412}"/>
    <cellStyle name="Normal 107" xfId="315" xr:uid="{B9A216BE-FCF2-4E47-98B4-49BC37E8AB8F}"/>
    <cellStyle name="Normal 108" xfId="317" xr:uid="{74D0DF7B-C356-42CF-A55A-FFF138E775CE}"/>
    <cellStyle name="Normal 109" xfId="318" xr:uid="{6178F3F2-7295-4766-A8AA-6F46B835B163}"/>
    <cellStyle name="Normal 11" xfId="186" xr:uid="{8F4B6071-99CD-42A8-9B2E-BBDC0E351938}"/>
    <cellStyle name="Normal 11 2" xfId="191" xr:uid="{29EDCF62-E47C-491C-94E5-2747AC2C8B9A}"/>
    <cellStyle name="Normal 11 3" xfId="248" xr:uid="{BA61BBC7-A2AF-4C50-AE58-011BF67E72B8}"/>
    <cellStyle name="Normal 110" xfId="319" xr:uid="{FC1057AC-9EA7-442D-B222-F6B62EC98DF1}"/>
    <cellStyle name="Normal 111" xfId="103" xr:uid="{1A918F4C-2962-427E-86EA-C803A3EA4E98}"/>
    <cellStyle name="Normal 114" xfId="312" xr:uid="{B7559849-3A08-4647-9038-BEC7D93F63F8}"/>
    <cellStyle name="Normal 12" xfId="190" xr:uid="{58E435FF-2ACC-4B6F-8E54-E865D3015767}"/>
    <cellStyle name="Normal 13" xfId="219" xr:uid="{BA741E69-51B2-4645-A8AF-395A7EB11C77}"/>
    <cellStyle name="Normal 14" xfId="193" xr:uid="{95F7B7E0-4794-4E37-818B-3FCD407C50C1}"/>
    <cellStyle name="Normal 147" xfId="325" xr:uid="{E85BD9DF-CD34-45F0-882E-8B35E95EFAC7}"/>
    <cellStyle name="Normal 148" xfId="41" xr:uid="{38E914C3-209A-4DA0-BBCD-D529D38FFE6A}"/>
    <cellStyle name="Normal 149" xfId="324" xr:uid="{53671397-46D2-427E-9B8C-6CDCB5D5035A}"/>
    <cellStyle name="Normal 15" xfId="218" xr:uid="{7C49D977-0AA9-4C08-B48F-A2F61AB1E9C2}"/>
    <cellStyle name="Normal 150" xfId="320" xr:uid="{580F928E-8E11-4D40-95F0-EDE91258739D}"/>
    <cellStyle name="Normal 151" xfId="109" xr:uid="{7D7C5158-B35A-45A5-AFA5-EF367CC77921}"/>
    <cellStyle name="Normal 152" xfId="38" xr:uid="{B8B42FF1-581D-4789-A4C4-3B819757EB4B}"/>
    <cellStyle name="Normal 159" xfId="321" xr:uid="{1FC97255-13C7-45A6-B50C-C6E5C3865B5E}"/>
    <cellStyle name="Normal 16" xfId="226" xr:uid="{06F2ED05-FBDD-4418-93FA-8AE3A717C413}"/>
    <cellStyle name="Normal 160" xfId="322" xr:uid="{5D3D0075-91F9-47D5-9388-833432544F73}"/>
    <cellStyle name="Normal 161" xfId="323" xr:uid="{18CCC57B-5218-4A13-B0D0-56D55E5A0F1E}"/>
    <cellStyle name="Normal 162" xfId="326" xr:uid="{CFD4C8C1-5A86-403C-AA71-93C23E03CCCA}"/>
    <cellStyle name="Normal 163" xfId="327" xr:uid="{BC0BCC9D-6AB3-4553-9D04-592D91BA5302}"/>
    <cellStyle name="Normal 17" xfId="225" xr:uid="{DB24CF47-D674-4924-A574-35475D027977}"/>
    <cellStyle name="Normal 18" xfId="228" xr:uid="{CF1C3795-48AC-4B4E-A9E6-A9BCE218D3BE}"/>
    <cellStyle name="Normal 186" xfId="333" xr:uid="{DCD9F9BF-79CE-491D-9E01-5BF779B28AB8}"/>
    <cellStyle name="Normal 19" xfId="249" xr:uid="{E9E80B95-8CBA-4607-BAC7-04D92D81B3F0}"/>
    <cellStyle name="Normal 19 2" xfId="250" xr:uid="{7D9ED151-F366-4857-869F-8480CDD8247F}"/>
    <cellStyle name="Normal 193" xfId="328" xr:uid="{992B638E-F192-4180-89AB-DDD47F875197}"/>
    <cellStyle name="Normal 194" xfId="329" xr:uid="{53B4CF36-BC6E-4A97-A69A-BE5FE7562C14}"/>
    <cellStyle name="Normal 195" xfId="330" xr:uid="{F1B5F237-75A8-44D3-B38D-0B1A427F5323}"/>
    <cellStyle name="Normal 196" xfId="331" xr:uid="{122173F4-7907-4248-9139-239FFDDA1BEB}"/>
    <cellStyle name="Normal 197" xfId="112" xr:uid="{2594B90B-1B40-46EE-A0A3-A237AB870FC1}"/>
    <cellStyle name="Normal 198" xfId="332" xr:uid="{71570298-2221-4B66-B288-E5E656B5D5CE}"/>
    <cellStyle name="Normal 2" xfId="27" xr:uid="{525DE9BE-54A8-4354-9521-E30F9300DE62}"/>
    <cellStyle name="Normal 2 2" xfId="35" xr:uid="{AA9E7C6E-AEED-4FF1-BE95-4D7F8CE3E32D}"/>
    <cellStyle name="Normal 2 2 2" xfId="29" xr:uid="{E924F9AC-20E4-47FA-B695-7CD0F78BEF8A}"/>
    <cellStyle name="Normal 2 2 2 2" xfId="141" xr:uid="{8515CFAE-F31F-4681-BB4A-D10657A09926}"/>
    <cellStyle name="Normal 2 2 2 2 2" xfId="192" xr:uid="{46BBCF18-CC57-43DD-AD05-95311B2B001D}"/>
    <cellStyle name="Normal 2 2 2 2 3" xfId="235" xr:uid="{652F1D62-C76A-40F6-87AE-CDAFA43338B7}"/>
    <cellStyle name="Normal 2 2 2 2 4" xfId="380" xr:uid="{E1805161-1C5C-48A5-9C60-7C22EE2BAEEC}"/>
    <cellStyle name="Normal 2 2 2 3" xfId="432" xr:uid="{679E8CC5-D541-49B0-BF96-C549126C502F}"/>
    <cellStyle name="Normal 2 2 3" xfId="108" xr:uid="{D85EFA54-BCD1-4FC4-A867-5906FC456B1D}"/>
    <cellStyle name="Normal 2 2 3 2" xfId="365" xr:uid="{FE01B13D-DA6B-4450-ADF5-456995D0F08A}"/>
    <cellStyle name="Normal 2 2 4" xfId="77" xr:uid="{5F6036A7-2D3C-41FB-B678-EC331D226B6F}"/>
    <cellStyle name="Normal 2 2 4 2" xfId="188" xr:uid="{C092DB2A-5999-455E-A473-0634CCF1AD2A}"/>
    <cellStyle name="Normal 2 2 4 3" xfId="10" xr:uid="{08AC45DB-3D5F-461E-B2BE-91B2797CF2A8}"/>
    <cellStyle name="Normal 2 2 5" xfId="137" xr:uid="{CCC7EEBC-7654-48E7-8410-65D5F69166BA}"/>
    <cellStyle name="Normal 2 2 5 2" xfId="206" xr:uid="{30A31BCD-67EB-451D-AEC5-98563178A8E2}"/>
    <cellStyle name="Normal 2 2 5 3" xfId="26" xr:uid="{B61F9A53-1484-4625-A163-2EA174575196}"/>
    <cellStyle name="Normal 2 2 6" xfId="7" xr:uid="{F4DE80F9-6562-4944-A4E5-B6DB7D53DE38}"/>
    <cellStyle name="Normal 2 2 7" xfId="368" xr:uid="{671A5E18-61F6-4FC0-8371-6E80C0CBDAEF}"/>
    <cellStyle name="Normal 2 2 8" xfId="119" xr:uid="{142FCD55-2B15-4F4A-AB3E-44A66A21A1D4}"/>
    <cellStyle name="Normal 2 2 8 2" xfId="398" xr:uid="{80E4755B-DE5E-45A6-A5BF-821829701F88}"/>
    <cellStyle name="Normal 2 3" xfId="4" xr:uid="{2FD7594A-75EC-43A7-A32B-E825B9516045}"/>
    <cellStyle name="Normal 2 3 2" xfId="136" xr:uid="{B35B1B70-FBB0-44AF-9BDB-9262AEF226ED}"/>
    <cellStyle name="Normal 2 3 2 2" xfId="427" xr:uid="{EEA2F0CB-77B2-4BC1-BA1B-F9AE4389AD91}"/>
    <cellStyle name="Normal 2 3 3" xfId="171" xr:uid="{E719E4C0-CFAF-4242-82A2-DC446D6DD423}"/>
    <cellStyle name="Normal 2 3 3 2" xfId="216" xr:uid="{F71513E9-E8D9-47CC-801D-FA18393F0699}"/>
    <cellStyle name="Normal 2 3 3 3" xfId="28" xr:uid="{9E2A97AC-DE9E-4922-A498-8D44F03BCCDF}"/>
    <cellStyle name="Normal 2 3 4" xfId="258" xr:uid="{6AE526CC-0A95-4B04-813D-2861BB04AA3D}"/>
    <cellStyle name="Normal 2 4" xfId="106" xr:uid="{C1B22A7B-2C03-410D-9EDB-E96DBDE37515}"/>
    <cellStyle name="Normal 2 4 2" xfId="126" xr:uid="{14619289-C1E1-4316-B555-A1D935A9569F}"/>
    <cellStyle name="Normal 2 4 2 2" xfId="208" xr:uid="{D75166AD-DD22-4901-B5F0-2ACC4A85C1C4}"/>
    <cellStyle name="Normal 2 4 2 3" xfId="32" xr:uid="{93B1495C-E873-41BD-8488-43C7099CBFAA}"/>
    <cellStyle name="Normal 2 4 3" xfId="134" xr:uid="{13921719-E847-4D7B-BEE5-576BB697CC1B}"/>
    <cellStyle name="Normal 2 5" xfId="111" xr:uid="{C84D251B-9C15-438D-A507-583D75D5B183}"/>
    <cellStyle name="Normal 2 5 2" xfId="213" xr:uid="{F4C90246-B99B-49B7-A7B3-19DDBA0F00F3}"/>
    <cellStyle name="Normal 2 5 3" xfId="241" xr:uid="{B6D34CBE-5EC8-4019-9FB6-B03174F5DB53}"/>
    <cellStyle name="Normal 2 5 4" xfId="177" xr:uid="{3DF3F62D-0B9D-4A3B-8BBB-0E4A8E715D3A}"/>
    <cellStyle name="Normal 2 6" xfId="183" xr:uid="{81A398D5-2931-4642-AFFA-073C20A4A17B}"/>
    <cellStyle name="Normal 2 6 2" xfId="209" xr:uid="{ADE748EB-9C5E-4FDF-A895-5E11BB133525}"/>
    <cellStyle name="Normal 2 6 3" xfId="245" xr:uid="{BCA4A9FC-FBF7-4C21-AABC-FB8F2DD5AC32}"/>
    <cellStyle name="Normal 2 7" xfId="129" xr:uid="{DA7B200F-F055-42AA-954E-DA141304684F}"/>
    <cellStyle name="Normal 2 7 2" xfId="201" xr:uid="{DDACBF1F-90E7-4F89-9544-67333A3A22CE}"/>
    <cellStyle name="Normal 2 7 3" xfId="23" xr:uid="{A4F3B991-A05B-4546-B4FE-BCE62259B99C}"/>
    <cellStyle name="Normal 2 8" xfId="20" xr:uid="{E714BBB6-A0CE-4FA5-8ED5-247175F5C3EF}"/>
    <cellStyle name="Normal 2 9" xfId="121" xr:uid="{F443CD5B-A88F-48A7-8A6B-6E96E86B222C}"/>
    <cellStyle name="Normal 20" xfId="251" xr:uid="{C495CF9D-AC29-4463-AE0F-F2A2AE9C9C9F}"/>
    <cellStyle name="Normal 21" xfId="256" xr:uid="{CF64857C-CB3D-419F-A91E-B0F471114DEC}"/>
    <cellStyle name="Normal 22" xfId="255" xr:uid="{7945A6F8-89E8-4913-9C93-762636B5C170}"/>
    <cellStyle name="Normal 23" xfId="261" xr:uid="{68C5F17C-F565-4270-899B-7D25286E0D0F}"/>
    <cellStyle name="Normal 24" xfId="257" xr:uid="{5DD5F46E-BDFA-4DC6-91EF-DBC484F1560B}"/>
    <cellStyle name="Normal 25" xfId="263" xr:uid="{C37DB802-CD79-404B-A534-B4B2016B0C84}"/>
    <cellStyle name="Normal 26" xfId="265" xr:uid="{5D49DC67-9CEF-4562-9177-04DE70F8FECA}"/>
    <cellStyle name="Normal 27" xfId="253" xr:uid="{E8897AAD-4B8D-4817-80FA-263F428F8790}"/>
    <cellStyle name="Normal 28" xfId="254" xr:uid="{4ED4476C-82FF-483E-9943-7B75E8A64DBB}"/>
    <cellStyle name="Normal 29" xfId="262" xr:uid="{7EBD4F24-CFE5-4DD6-B4E8-4F677AFFF8E4}"/>
    <cellStyle name="Normal 3" xfId="107" xr:uid="{489A36BC-2771-4DB4-9A9E-105EF909B67E}"/>
    <cellStyle name="Normal 3 2" xfId="132" xr:uid="{99C6803D-9767-4103-9580-632323162F3D}"/>
    <cellStyle name="Normal 3 2 2" xfId="172" xr:uid="{4835C06A-F21D-4752-A617-967C4850A927}"/>
    <cellStyle name="Normal 3 2 2 2" xfId="215" xr:uid="{3B3F5D30-19A6-4F11-99F7-0B553016451D}"/>
    <cellStyle name="Normal 3 2 2 3" xfId="34" xr:uid="{98E7289B-8F7B-47BC-BF16-6F9C1CB86CA2}"/>
    <cellStyle name="Normal 3 3" xfId="79" xr:uid="{784BFFA0-1C2C-4EB7-8200-7C09B56493DC}"/>
    <cellStyle name="Normal 3 3 2" xfId="184" xr:uid="{667A8937-97B4-4336-81EC-AC0984CD275C}"/>
    <cellStyle name="Normal 3 3 2 2" xfId="199" xr:uid="{6F716A69-F4BC-4C9A-BFAD-41AEEED79E50}"/>
    <cellStyle name="Normal 3 3 2 3" xfId="246" xr:uid="{79E59390-D352-43E8-8F67-625B171FEA98}"/>
    <cellStyle name="Normal 3 3 3" xfId="221" xr:uid="{C594A679-71B7-473B-ADFB-04E729F7A6B7}"/>
    <cellStyle name="Normal 3 3 4" xfId="13" xr:uid="{E65A540A-6532-4A46-A824-4A155E6526F2}"/>
    <cellStyle name="Normal 3 4" xfId="227" xr:uid="{DD30D593-6FDB-4F3D-AE64-CB2DBDF50410}"/>
    <cellStyle name="Normal 3 5" xfId="399" xr:uid="{4B6E746B-BF54-4BFB-88F5-45102E6C37FB}"/>
    <cellStyle name="Normal 3 6" xfId="131" xr:uid="{322DAEA6-4772-44D5-820B-1708D0EB6D99}"/>
    <cellStyle name="Normal 3 7" xfId="431" xr:uid="{3B10470D-EEE4-4385-A990-6E9D7A2E8689}"/>
    <cellStyle name="Normal 3_C-269-3241 ROUND BAG" xfId="173" xr:uid="{AB4F8C2D-0AFC-408B-A5FC-1965BF858110}"/>
    <cellStyle name="Normal 30" xfId="267" xr:uid="{83B6B46A-08CD-4DC0-ABE6-028B09B1ABF4}"/>
    <cellStyle name="Normal 31" xfId="266" xr:uid="{E3D7ABCA-6388-41C3-BC2C-65D48AB4C72F}"/>
    <cellStyle name="Normal 32" xfId="269" xr:uid="{87057A96-B740-4FFD-B3A2-EE04A925A9D1}"/>
    <cellStyle name="Normal 33" xfId="260" xr:uid="{AD45060B-7C82-4B69-8637-7C3BB4766796}"/>
    <cellStyle name="Normal 34" xfId="272" xr:uid="{C14798D0-69DD-402A-BD09-EA10E3757645}"/>
    <cellStyle name="Normal 35" xfId="259" xr:uid="{4EE28A46-96E8-439B-B33F-07325765A859}"/>
    <cellStyle name="Normal 36" xfId="273" xr:uid="{6C19A04D-8D87-41A5-B7CD-8164D2244D89}"/>
    <cellStyle name="Normal 37" xfId="276" xr:uid="{C2221F62-0D42-42B8-B89A-B7CAE747F121}"/>
    <cellStyle name="Normal 38" xfId="104" xr:uid="{1EF80472-9434-4CB4-8DAD-1B03BF9712ED}"/>
    <cellStyle name="Normal 38 2" xfId="352" xr:uid="{06EEA0B2-D20F-4B96-A1FF-A8B969D86CCF}"/>
    <cellStyle name="Normal 39" xfId="279" xr:uid="{DA7C625F-01AC-4540-A791-EE3EB88D54DF}"/>
    <cellStyle name="Normal 39 2" xfId="354" xr:uid="{0D5DDFF4-2047-4CC4-809F-CC201BB7DB2E}"/>
    <cellStyle name="Normal 4" xfId="100" xr:uid="{1A283AAF-6002-4BA7-BDF3-F20271A9F805}"/>
    <cellStyle name="Normal 4 2" xfId="174" xr:uid="{9AFD9AA8-8F6C-4D59-AD71-EFBA8ABD5DBF}"/>
    <cellStyle name="Normal 4 2 2" xfId="214" xr:uid="{218E04D1-71C7-4DB9-B97E-60D21836A24A}"/>
    <cellStyle name="Normal 4 2 3" xfId="240" xr:uid="{38236883-E54E-49CE-872D-B737006D9AD4}"/>
    <cellStyle name="Normal 4 3" xfId="194" xr:uid="{34931654-78E9-4561-8B6C-3F1F397E2F67}"/>
    <cellStyle name="Normal 4 4" xfId="233" xr:uid="{48CBFD66-1C92-40F8-875F-6D543F8E5631}"/>
    <cellStyle name="Normal 4 5" xfId="270" xr:uid="{A52ECFE9-B6E2-444B-875B-968AA3E33BD8}"/>
    <cellStyle name="Normal 4 6" xfId="139" xr:uid="{DA4AD1C9-E4E8-498D-A7A6-E5485DAAE4A2}"/>
    <cellStyle name="Normal 4 7" xfId="425" xr:uid="{A9D3A864-1D1F-4191-9623-2A80D4E62317}"/>
    <cellStyle name="Normal 40" xfId="278" xr:uid="{B5D44223-EFBF-4EBC-A8D6-8451141092E8}"/>
    <cellStyle name="Normal 40 2" xfId="353" xr:uid="{D43A9093-FF3D-484A-B944-99091EBDA58E}"/>
    <cellStyle name="Normal 41" xfId="277" xr:uid="{D34F1629-903C-42A3-BCD8-4F46245DF341}"/>
    <cellStyle name="Normal 41 2" xfId="351" xr:uid="{D3268C2F-F2F5-4B83-A959-0FBA934AF33C}"/>
    <cellStyle name="Normal 42" xfId="280" xr:uid="{B66D9FED-5642-4F4A-8EA1-3B9F8AA260A9}"/>
    <cellStyle name="Normal 42 2" xfId="355" xr:uid="{45E1D12C-9466-4F5C-8EC2-DF9EE784C01F}"/>
    <cellStyle name="Normal 43" xfId="281" xr:uid="{7CAA68BE-3077-4EAD-BC73-ED3384C30DBE}"/>
    <cellStyle name="Normal 43 2" xfId="356" xr:uid="{F9386CAE-D45A-4023-8EE0-203029FD5C01}"/>
    <cellStyle name="Normal 44" xfId="286" xr:uid="{E9B1B81B-DC34-4D38-A7DC-417865FD7862}"/>
    <cellStyle name="Normal 45" xfId="290" xr:uid="{92647B38-3D5D-45CF-94D9-E6C0BE851655}"/>
    <cellStyle name="Normal 46" xfId="289" xr:uid="{400214FD-AEFF-411C-8891-3723A5A5E506}"/>
    <cellStyle name="Normal 47" xfId="287" xr:uid="{18E66DCC-92FB-475F-B5A3-6033CDEFE3DA}"/>
    <cellStyle name="Normal 48" xfId="284" xr:uid="{CDBDD5C8-BE44-41E5-8797-22A4BDA5913F}"/>
    <cellStyle name="Normal 49" xfId="282" xr:uid="{AE68B44A-BEDC-44DD-BE43-6C5FD2EDF884}"/>
    <cellStyle name="Normal 5" xfId="16" xr:uid="{DD7D4A20-D8A8-4398-8283-D436AFB53504}"/>
    <cellStyle name="Normal 5 2" xfId="124" xr:uid="{910238DD-44A1-4F0E-A314-1A3DC031AE1A}"/>
    <cellStyle name="Normal 5 2 2" xfId="135" xr:uid="{9246D345-F84F-496B-AFA2-5969A621637B}"/>
    <cellStyle name="Normal 5 2 2 2" xfId="204" xr:uid="{9E92DA60-E93F-4F64-87BF-074659FE616B}"/>
    <cellStyle name="Normal 5 2 2 3" xfId="30" xr:uid="{386B1385-94A5-4295-A0AB-16F56B0DFDA4}"/>
    <cellStyle name="Normal 5 2 2 4" xfId="378" xr:uid="{37FD7608-B15E-4F00-A232-F3F0DA93B772}"/>
    <cellStyle name="Normal 5 2 3" xfId="195" xr:uid="{71463FF6-DA01-4BCA-A48A-909AE665B0D4}"/>
    <cellStyle name="Normal 5 2 4" xfId="232" xr:uid="{18D36C7C-E4DA-4778-A0CF-7FCDDF3DB120}"/>
    <cellStyle name="Normal 5 2 5" xfId="371" xr:uid="{5C5707EA-1B6E-42C0-A044-BA5EAE20ADB2}"/>
    <cellStyle name="Normal 5 3" xfId="376" xr:uid="{773EB256-D51C-4C55-9EEC-4E76A93F95F2}"/>
    <cellStyle name="Normal 5 4" xfId="377" xr:uid="{4724A4F8-DF59-4C4E-A836-B7F75505D06E}"/>
    <cellStyle name="Normal 50" xfId="283" xr:uid="{02D59A3B-71D9-41A4-AA94-3AE2739B3893}"/>
    <cellStyle name="Normal 51" xfId="285" xr:uid="{1714BF8B-7FDF-4084-A207-482366B2A98B}"/>
    <cellStyle name="Normal 52" xfId="288" xr:uid="{E7D54BE6-7CAA-4012-B6BD-684E5AAC6EF2}"/>
    <cellStyle name="Normal 53" xfId="39" xr:uid="{384FCC7D-F65B-4760-8940-51688E453667}"/>
    <cellStyle name="Normal 54" xfId="291" xr:uid="{C3350443-BC78-447D-8DEF-B49F1978BB3B}"/>
    <cellStyle name="Normal 55" xfId="292" xr:uid="{F34E14D7-E4B2-45AD-B2B0-6303773B390F}"/>
    <cellStyle name="Normal 56" xfId="293" xr:uid="{D27F5884-B207-462A-8791-5B3532B211CC}"/>
    <cellStyle name="Normal 57" xfId="294" xr:uid="{A335FF26-4E9D-4656-B3A4-F0B75598297C}"/>
    <cellStyle name="Normal 58" xfId="295" xr:uid="{987F0D17-A1DF-4B36-AF13-1935BB63307B}"/>
    <cellStyle name="Normal 59" xfId="296" xr:uid="{007EEB09-B922-47EC-8400-B4EE17F4A4BF}"/>
    <cellStyle name="Normal 6" xfId="102" xr:uid="{1661444C-F019-4F36-B0EC-5D33B00B36C0}"/>
    <cellStyle name="Normal 6 2" xfId="33" xr:uid="{33C4E5BA-DDBC-4AEB-AEDB-428F224B7E64}"/>
    <cellStyle name="Normal 6 2 2" xfId="275" xr:uid="{9EE1BC7E-8976-4745-BC08-232C3232B344}"/>
    <cellStyle name="Normal 6 3" xfId="207" xr:uid="{BC5C5987-146E-46EA-B6E6-1DF601BCBF23}"/>
    <cellStyle name="Normal 6 4" xfId="101" xr:uid="{EF1BA938-D63D-4073-8A6B-27E3741D713C}"/>
    <cellStyle name="Normal 6 5" xfId="230" xr:uid="{EC778881-9ED4-4BA9-AC77-BAC35B9EBC06}"/>
    <cellStyle name="Normal 6 6" xfId="274" xr:uid="{BDBED0B9-F145-4A96-B819-18611C421272}"/>
    <cellStyle name="Normal 6 7" xfId="120" xr:uid="{99898836-E1B6-45D5-86D4-FEC1174A20F0}"/>
    <cellStyle name="Normal 60" xfId="307" xr:uid="{84A7F907-54E0-4D66-BDF0-6C7D2865F691}"/>
    <cellStyle name="Normal 61" xfId="306" xr:uid="{0C68B0FA-B811-4E6D-9A94-93E4EFB61007}"/>
    <cellStyle name="Normal 62" xfId="305" xr:uid="{D60736E6-6865-4AF3-BC64-8C2674AD2C14}"/>
    <cellStyle name="Normal 63" xfId="300" xr:uid="{996768E4-7764-437F-A816-3FADED5BAFF7}"/>
    <cellStyle name="Normal 64" xfId="21" xr:uid="{C8FB8281-3BF6-4B1A-B884-C5C3D7F67535}"/>
    <cellStyle name="Normal 65" xfId="297" xr:uid="{42F32242-E597-42F9-B7A7-50249B42B8A4}"/>
    <cellStyle name="Normal 66" xfId="298" xr:uid="{0D89F3BA-E9C1-42C0-9472-3F069E404C0D}"/>
    <cellStyle name="Normal 67" xfId="303" xr:uid="{379BFE7B-7F53-43B5-82DA-482F913B38AA}"/>
    <cellStyle name="Normal 68" xfId="299" xr:uid="{ABAFD71D-C20E-4262-A680-9AB05B923EBD}"/>
    <cellStyle name="Normal 69" xfId="301" xr:uid="{2F6395ED-24D6-4086-A12E-26C9C3B74625}"/>
    <cellStyle name="Normal 7" xfId="175" xr:uid="{CBFB0D7C-D03D-4D3C-8119-A0679DD9D010}"/>
    <cellStyle name="Normal 70" xfId="302" xr:uid="{9361BB81-BAAA-474E-9546-3685BA271E0F}"/>
    <cellStyle name="Normal 71" xfId="304" xr:uid="{8A6D97C1-9CBD-4AB3-BE0F-578F5DA20D85}"/>
    <cellStyle name="Normal 72" xfId="309" xr:uid="{C5777A26-EA32-4B07-B00E-B3E05D8FC0BD}"/>
    <cellStyle name="Normal 72 2" xfId="359" xr:uid="{2D2B3F8C-D31F-453B-97E0-1E195D86A9FA}"/>
    <cellStyle name="Normal 73" xfId="311" xr:uid="{506B205F-2904-4C3D-87F1-049694E36B58}"/>
    <cellStyle name="Normal 73 2" xfId="361" xr:uid="{575993A4-02D4-451E-A54F-75B2D8E644BC}"/>
    <cellStyle name="Normal 74" xfId="85" xr:uid="{8DEA146A-E4D0-4590-910C-D17CEEB36A9D}"/>
    <cellStyle name="Normal 74 2" xfId="114" xr:uid="{8D285A01-D9F5-4546-B198-C44784336E3F}"/>
    <cellStyle name="Normal 75" xfId="87" xr:uid="{A6F79F2A-FCF4-4A9A-B9AC-359BBABCB044}"/>
    <cellStyle name="Normal 75 2" xfId="229" xr:uid="{93CDAFA6-5D96-4CA4-AA75-6A6AF0A9243E}"/>
    <cellStyle name="Normal 76" xfId="310" xr:uid="{8753F8D8-BD74-4C32-BD46-F1EEBEBD21E7}"/>
    <cellStyle name="Normal 76 2" xfId="360" xr:uid="{0D642F98-5034-44E8-8C53-058000965C56}"/>
    <cellStyle name="Normal 77" xfId="308" xr:uid="{A33241B5-F890-4FCA-BFA2-93B344CB296D}"/>
    <cellStyle name="Normal 77 2" xfId="358" xr:uid="{12BF7F56-826A-434D-89D3-07EE6C248501}"/>
    <cellStyle name="Normal 78" xfId="110" xr:uid="{AD20F038-EF7D-4A36-AF32-46A1A06C67CE}"/>
    <cellStyle name="Normal 78 2" xfId="357" xr:uid="{8845F6C7-C415-44A3-8262-DC971B0164CE}"/>
    <cellStyle name="Normal 79" xfId="372" xr:uid="{C8309E83-656C-49CD-A00B-0826FDF02F0B}"/>
    <cellStyle name="Normal 8" xfId="144" xr:uid="{E80A79A7-26B4-4B5B-8B67-107D6A45146D}"/>
    <cellStyle name="Normal 8 2" xfId="185" xr:uid="{30633AFA-5BCA-4A2F-96DC-3EC4DCAF88D1}"/>
    <cellStyle name="Normal 8 2 2" xfId="198" xr:uid="{CD6B1CD7-40A5-44BA-8835-DCD2DDB0386A}"/>
    <cellStyle name="Normal 8 2 3" xfId="247" xr:uid="{14C17991-56EB-4668-ABB7-FF16D7C9501A}"/>
    <cellStyle name="Normal 80" xfId="86" xr:uid="{39236DB5-AD4C-4A1C-ACC6-67CB457B01B8}"/>
    <cellStyle name="Normal 80 2" xfId="381" xr:uid="{BB567DE7-10DD-41BD-B94F-9690DD465146}"/>
    <cellStyle name="Normal 81" xfId="88" xr:uid="{B30D363F-1F25-4F3C-AD83-CC7AF69FB6BE}"/>
    <cellStyle name="Normal 81 2" xfId="382" xr:uid="{75F5A7CB-9012-4EB8-AF14-4016895D0068}"/>
    <cellStyle name="Normal 82" xfId="89" xr:uid="{A5E241F1-1AA2-4EBF-B287-3D812C4E6A84}"/>
    <cellStyle name="Normal 83" xfId="430" xr:uid="{720D0257-3511-428E-8681-338B6C91964B}"/>
    <cellStyle name="Normal 9" xfId="128" xr:uid="{F7C47A06-D1A4-42D2-8025-0D867D7B1F97}"/>
    <cellStyle name="Normal 9 2" xfId="178" xr:uid="{D79F1033-D696-44C5-928F-057F714C124B}"/>
    <cellStyle name="Normal 9 2 2" xfId="212" xr:uid="{0E106E67-DB15-4805-926C-7970C0DD385F}"/>
    <cellStyle name="Normal 9 2 3" xfId="242" xr:uid="{9C7F7CCA-CDAD-496F-A034-0EA57C0DB6F4}"/>
    <cellStyle name="Normal_Quotation for camping cover - Slagelse" xfId="434" xr:uid="{D24C12E0-CAF5-46A3-A1AC-6032EDC3D7F6}"/>
    <cellStyle name="Normal_Quotation O-1242-01 - #6083 Plastic bottom for #1231" xfId="9" xr:uid="{7CF60937-83B5-4EDF-BCB1-9DEF3FC79325}"/>
    <cellStyle name="Normal_Quotation O-1242-01 - #6083 Plastic bottom for #1231 3" xfId="476" xr:uid="{AAEEA8A6-8080-4250-9E07-170E83EA4B37}"/>
    <cellStyle name="Normal_Quotation R-1147-01 Tool Bag  #2583 (1231) - Revised- EMG" xfId="477" xr:uid="{1A6E3F6A-3A1D-4522-AE31-E1FEB9578D7E}"/>
    <cellStyle name="Normal_Quotation R-2074-01 Spendex cap" xfId="475" xr:uid="{60B2120E-5C51-4102-B76A-AC9484801271}"/>
    <cellStyle name="Normal_Quotation R-3033 - #2984 - Radio Control bag 1" xfId="433" xr:uid="{E4671045-CFB8-4EA7-AD1A-5E8DB91B6C8B}"/>
    <cellStyle name="Normal_Quotation S-1034-01-# 2482 big roller - Nordiclink 2" xfId="474" xr:uid="{5C86C595-A581-4923-879D-513FE6A5712D}"/>
    <cellStyle name="Normal_Quotation S-1034-01-# 2482 big roller - Nordiclink_ORDER LIST 2013" xfId="15" xr:uid="{D16F6A30-2605-4DF0-9643-A246EA57BD6A}"/>
    <cellStyle name="Normal_R-1094-01-#6064 Buckle &amp; strap - Talon" xfId="478" xr:uid="{76524D55-0B1A-4028-B48E-3850EECAD224}"/>
    <cellStyle name="Note" xfId="55" builtinId="10" customBuiltin="1"/>
    <cellStyle name="Output" xfId="50" builtinId="21" customBuiltin="1"/>
    <cellStyle name="SAPBEXstdItem 2" xfId="130" xr:uid="{B845B6F9-EC89-45BE-A2D1-E38FC1CB7861}"/>
    <cellStyle name="SAPBEXstdItem 2 2" xfId="338" xr:uid="{31E49CA6-2E28-4FEE-B0D4-0B5979536CB5}"/>
    <cellStyle name="SAPBEXstdItem 2 2 2" xfId="379" xr:uid="{CFBFBD37-D450-4C56-97E8-612411C255FD}"/>
    <cellStyle name="SAPBEXstdItem 2 2 2 2" xfId="387" xr:uid="{EA4060B8-86E4-411E-A1CF-20F7830761B2}"/>
    <cellStyle name="SAPBEXstdItem 2 2 2 2 2" xfId="404" xr:uid="{11A2C8BB-3E71-465B-B640-FFDACC638153}"/>
    <cellStyle name="SAPBEXstdItem 2 2 2 2 2 2" xfId="453" xr:uid="{BD86962E-6887-44F2-9514-C226F523BCB1}"/>
    <cellStyle name="SAPBEXstdItem 2 2 2 2 3" xfId="408" xr:uid="{0B89A460-13D0-4C0A-B1A3-3E10B273CF4C}"/>
    <cellStyle name="SAPBEXstdItem 2 2 2 2 3 2" xfId="457" xr:uid="{81FF411D-6F83-445E-B404-684A3F948200}"/>
    <cellStyle name="SAPBEXstdItem 2 2 2 2 4" xfId="424" xr:uid="{41EB44B9-2732-4383-B2FA-FB1C16C67437}"/>
    <cellStyle name="SAPBEXstdItem 2 2 2 2 4 2" xfId="473" xr:uid="{C476F801-371C-490A-A0F2-200757479628}"/>
    <cellStyle name="SAPBEXstdItem 2 2 2 2 5" xfId="443" xr:uid="{DD608D2A-AC84-4E08-8CAE-80A8941F100F}"/>
    <cellStyle name="SAPBEXstdItem 2 2 2 3" xfId="390" xr:uid="{FCADA9BA-4316-4202-8108-D05836C98A5E}"/>
    <cellStyle name="SAPBEXstdItem 2 2 2 3 2" xfId="446" xr:uid="{718A4B13-4ADF-4C6B-B520-C6FE3244BAE1}"/>
    <cellStyle name="SAPBEXstdItem 2 2 2 4" xfId="409" xr:uid="{32D7BE41-6990-481A-84E2-7165EE721DAC}"/>
    <cellStyle name="SAPBEXstdItem 2 2 2 4 2" xfId="458" xr:uid="{3F732E7F-C1FA-4C85-B8C6-5DE0347DDFF3}"/>
    <cellStyle name="SAPBEXstdItem 2 2 2 5" xfId="418" xr:uid="{BDC1F4D9-B250-4A23-85BC-52CAA7976188}"/>
    <cellStyle name="SAPBEXstdItem 2 2 2 5 2" xfId="467" xr:uid="{3C684CC5-B243-402C-9BAD-05D4BD18875A}"/>
    <cellStyle name="SAPBEXstdItem 2 2 2 6" xfId="438" xr:uid="{89EB7405-7352-4905-A282-1B7FF89D52F9}"/>
    <cellStyle name="SAPBEXstdItem 2 2 3" xfId="384" xr:uid="{6D32661D-4A5C-43B1-9510-9231D0F688EF}"/>
    <cellStyle name="SAPBEXstdItem 2 2 3 2" xfId="401" xr:uid="{AAECDD0C-77C4-4069-95D4-32534E7F0AB1}"/>
    <cellStyle name="SAPBEXstdItem 2 2 3 2 2" xfId="450" xr:uid="{E80A9FD5-6ECC-430D-85D8-88473D3A509E}"/>
    <cellStyle name="SAPBEXstdItem 2 2 3 3" xfId="419" xr:uid="{4C95F21A-9A96-4C02-8320-294FEBBCE4DF}"/>
    <cellStyle name="SAPBEXstdItem 2 2 3 3 2" xfId="468" xr:uid="{A4652510-46F1-464E-BEB6-296EA200E3DC}"/>
    <cellStyle name="SAPBEXstdItem 2 2 3 4" xfId="421" xr:uid="{8F7C41E2-8FA1-408A-B973-0F888B1F9C55}"/>
    <cellStyle name="SAPBEXstdItem 2 2 3 4 2" xfId="470" xr:uid="{03D742E3-32D2-45F7-BFCA-6701083175E8}"/>
    <cellStyle name="SAPBEXstdItem 2 2 3 5" xfId="440" xr:uid="{6D09F92F-1860-414A-ACA0-5FDE68C86C03}"/>
    <cellStyle name="SAPBEXstdItem 2 2 4" xfId="392" xr:uid="{9758F6FD-1D89-4C18-9505-453327883C58}"/>
    <cellStyle name="SAPBEXstdItem 2 2 4 2" xfId="448" xr:uid="{CA37DE9E-D039-48A3-8FD3-1DCA3B1E7A20}"/>
    <cellStyle name="SAPBEXstdItem 2 2 5" xfId="417" xr:uid="{21A6BFCD-A54F-41EA-A792-5247F06E53CA}"/>
    <cellStyle name="SAPBEXstdItem 2 2 5 2" xfId="466" xr:uid="{EEE071F7-78B1-4AAF-A68B-C7412D95F303}"/>
    <cellStyle name="SAPBEXstdItem 2 2 6" xfId="411" xr:uid="{C1130185-C62B-4E4C-8E70-A3AB77BBB51C}"/>
    <cellStyle name="SAPBEXstdItem 2 2 6 2" xfId="460" xr:uid="{E95203CF-3921-42FE-9A1C-9075E43F8CA9}"/>
    <cellStyle name="SAPBEXstdItem 2 2 7" xfId="435" xr:uid="{65AAAF38-AC74-49E8-978B-7CCB70ED57C5}"/>
    <cellStyle name="SAPBEXstdItem 2 3" xfId="366" xr:uid="{91F9EB8B-6DFE-4340-9A36-1C50F0106DDB}"/>
    <cellStyle name="SAPBEXstdItem 2 3 2" xfId="386" xr:uid="{C11FBD54-8D54-44D1-BA60-6AEF5F5E0322}"/>
    <cellStyle name="SAPBEXstdItem 2 3 2 2" xfId="403" xr:uid="{2C708993-29FA-48AA-84FF-6A8572375CBC}"/>
    <cellStyle name="SAPBEXstdItem 2 3 2 2 2" xfId="452" xr:uid="{77195103-73D5-44D5-BA7F-EFD11B990000}"/>
    <cellStyle name="SAPBEXstdItem 2 3 2 3" xfId="406" xr:uid="{9D6C5735-74B3-4E66-9A47-876FA6410850}"/>
    <cellStyle name="SAPBEXstdItem 2 3 2 3 2" xfId="455" xr:uid="{96918A67-4BAE-48E9-A8D2-BD8946F0FB68}"/>
    <cellStyle name="SAPBEXstdItem 2 3 2 4" xfId="423" xr:uid="{30BF0362-7CA0-47EC-B1F0-BD3BFA5D282A}"/>
    <cellStyle name="SAPBEXstdItem 2 3 2 4 2" xfId="472" xr:uid="{C9DE44F1-FDAB-44A2-996C-5024B7116709}"/>
    <cellStyle name="SAPBEXstdItem 2 3 2 5" xfId="442" xr:uid="{5AB6A1C7-9B45-4128-9F8F-B5C8F9966168}"/>
    <cellStyle name="SAPBEXstdItem 2 3 3" xfId="388" xr:uid="{A8CEB6D0-8CF3-433F-B733-43D89933CC94}"/>
    <cellStyle name="SAPBEXstdItem 2 3 3 2" xfId="444" xr:uid="{36F8CAE3-04BA-4979-97CB-E68452D55912}"/>
    <cellStyle name="SAPBEXstdItem 2 3 4" xfId="410" xr:uid="{477EBB1B-30F2-46F9-8D61-5F40AABF6D79}"/>
    <cellStyle name="SAPBEXstdItem 2 3 4 2" xfId="459" xr:uid="{5FF12977-7428-4976-B860-DEEAD81AC06D}"/>
    <cellStyle name="SAPBEXstdItem 2 3 5" xfId="416" xr:uid="{FD7E77C7-5050-4E9D-9CBD-BD0F7AFC7F03}"/>
    <cellStyle name="SAPBEXstdItem 2 3 5 2" xfId="465" xr:uid="{8C624EB8-8EED-4E44-AC68-2023E3D3E932}"/>
    <cellStyle name="SAPBEXstdItem 2 3 6" xfId="437" xr:uid="{E390A37B-D8B2-40FE-A793-24E9FDFA9FE7}"/>
    <cellStyle name="SAPBEXstdItem 2 4" xfId="364" xr:uid="{4422BE12-66B5-42C8-81B2-7C0D63C447B8}"/>
    <cellStyle name="SAPBEXstdItem 2 4 2" xfId="385" xr:uid="{AE19FEF8-2B84-4D17-AD0C-40456AD494CA}"/>
    <cellStyle name="SAPBEXstdItem 2 4 2 2" xfId="402" xr:uid="{0FC304B0-DC92-4A90-A247-C8B8040E2CE3}"/>
    <cellStyle name="SAPBEXstdItem 2 4 2 2 2" xfId="451" xr:uid="{0C06B0F5-30D9-4BE4-9FE7-B2D6AC5C195E}"/>
    <cellStyle name="SAPBEXstdItem 2 4 2 3" xfId="414" xr:uid="{8CA31EB8-A0B9-46AC-BD1C-DCDE47664C57}"/>
    <cellStyle name="SAPBEXstdItem 2 4 2 3 2" xfId="463" xr:uid="{A4428BB4-F057-4B6E-969C-0EB20CF53837}"/>
    <cellStyle name="SAPBEXstdItem 2 4 2 4" xfId="422" xr:uid="{8D9DDC48-7DEE-4755-993A-561C25841E7F}"/>
    <cellStyle name="SAPBEXstdItem 2 4 2 4 2" xfId="471" xr:uid="{376C45EA-8A57-41AF-9A0F-3862B01B777E}"/>
    <cellStyle name="SAPBEXstdItem 2 4 2 5" xfId="441" xr:uid="{6E143BEC-2BE8-4EDD-A68A-8B70D9F6FBBC}"/>
    <cellStyle name="SAPBEXstdItem 2 4 3" xfId="389" xr:uid="{DC8E7D14-650F-4830-BCB5-A913A2482A9F}"/>
    <cellStyle name="SAPBEXstdItem 2 4 3 2" xfId="445" xr:uid="{0ACF1F42-D3A7-4103-9665-E41B39C8A1DD}"/>
    <cellStyle name="SAPBEXstdItem 2 4 4" xfId="407" xr:uid="{C4A153BC-07DC-4A9C-9DFD-A27DF7903E66}"/>
    <cellStyle name="SAPBEXstdItem 2 4 4 2" xfId="456" xr:uid="{7AC321D8-FD47-4336-9DF8-DC6B66472481}"/>
    <cellStyle name="SAPBEXstdItem 2 4 5" xfId="415" xr:uid="{F74D3B3E-0FFA-4908-8DA7-4159716647EF}"/>
    <cellStyle name="SAPBEXstdItem 2 4 5 2" xfId="464" xr:uid="{DF3E29D0-BB8E-4D7F-B07A-10E8B8F11F08}"/>
    <cellStyle name="SAPBEXstdItem 2 4 6" xfId="436" xr:uid="{F9C472DC-FA37-4FFC-9A95-EBD9A1C6DEF0}"/>
    <cellStyle name="SAPBEXstdItem 2 5" xfId="383" xr:uid="{FDB143E5-11EE-4857-94EC-907B93098770}"/>
    <cellStyle name="SAPBEXstdItem 2 5 2" xfId="400" xr:uid="{D7A510B9-8011-47B0-864C-C0A53C350C2B}"/>
    <cellStyle name="SAPBEXstdItem 2 5 2 2" xfId="449" xr:uid="{925FC2E4-FAD1-4A5F-AF44-9CE6A75F45DB}"/>
    <cellStyle name="SAPBEXstdItem 2 5 3" xfId="405" xr:uid="{6D24B67A-898E-44EC-B7E6-49787EA4EDE7}"/>
    <cellStyle name="SAPBEXstdItem 2 5 3 2" xfId="454" xr:uid="{C8F41FCC-914D-4FFB-BC96-3C776DFEE915}"/>
    <cellStyle name="SAPBEXstdItem 2 5 4" xfId="420" xr:uid="{6FE6D747-CDC3-4EF3-BEBA-D7C4BEE53EE4}"/>
    <cellStyle name="SAPBEXstdItem 2 5 4 2" xfId="469" xr:uid="{178ECF30-0BD5-4F14-A2BE-F78ECC364D84}"/>
    <cellStyle name="SAPBEXstdItem 2 5 5" xfId="439" xr:uid="{7F6379AC-BB82-4ACE-B1BA-3E0EAA497764}"/>
    <cellStyle name="SAPBEXstdItem 2 6" xfId="391" xr:uid="{0D5F1F86-526A-4F43-B36D-FD5E64DBE9BA}"/>
    <cellStyle name="SAPBEXstdItem 2 6 2" xfId="447" xr:uid="{7DD817D1-5364-4AE6-9FC2-D7E25657AD66}"/>
    <cellStyle name="SAPBEXstdItem 2 7" xfId="412" xr:uid="{28B04563-A2BB-428C-9C2A-C0ADEEE0E98D}"/>
    <cellStyle name="SAPBEXstdItem 2 7 2" xfId="461" xr:uid="{42CABDB8-65D5-445C-B90A-767D4A69A885}"/>
    <cellStyle name="SAPBEXstdItem 2 8" xfId="413" xr:uid="{77F196BA-EAFD-4C3C-B063-3859E490C4A9}"/>
    <cellStyle name="SAPBEXstdItem 2 8 2" xfId="462" xr:uid="{30AD62C9-EDE2-47A3-BF2F-14C27A502248}"/>
    <cellStyle name="SAPBEXstdItem 2 9" xfId="426" xr:uid="{F8A66F6D-E488-4205-A530-999DD8666073}"/>
    <cellStyle name="Style 1" xfId="8" xr:uid="{5AE0581A-39E6-4B04-BE35-2525B8A24111}"/>
    <cellStyle name="Style 1 2" xfId="78" xr:uid="{3E7E98DC-03FD-4875-B9B8-A2FE779CEA3E}"/>
    <cellStyle name="Style 1 2 2" xfId="31" xr:uid="{21198666-DEAF-484D-A630-49F74C02A5D4}"/>
    <cellStyle name="Style 1 2 2 2" xfId="113" xr:uid="{2C223102-FDEB-44E9-A23B-B5E03C67C054}"/>
    <cellStyle name="Style 1 2 3" xfId="223" xr:uid="{91924A70-537C-45BE-BC56-057822BD0402}"/>
    <cellStyle name="Style 1 2 4" xfId="25" xr:uid="{1A089E3A-C093-4CB9-AB8E-5533B85EED45}"/>
    <cellStyle name="Style 1 2 5" xfId="2" xr:uid="{ECE37391-3DF8-453B-9447-A5844670A3FF}"/>
    <cellStyle name="Style 1 3" xfId="76" xr:uid="{36347240-C205-465D-B80F-61CCD2121372}"/>
    <cellStyle name="Style 1 3 2" xfId="202" xr:uid="{24A2764E-DCC7-441B-87AD-0AEA53ABEB39}"/>
    <cellStyle name="Style 1 3 3" xfId="3" xr:uid="{108AE9E3-DE6B-4098-8CF0-2C53B2F8D8CF}"/>
    <cellStyle name="Style 1 4" xfId="200" xr:uid="{BD2DB50D-AFDB-4E1D-A338-D3C8902C449B}"/>
    <cellStyle name="Style 1 5" xfId="6" xr:uid="{17A1279E-298C-487F-A688-8E007A19C667}"/>
    <cellStyle name="Style 1 5 2" xfId="80" xr:uid="{D348A843-FB7A-404F-AD99-142E8FA23EA8}"/>
    <cellStyle name="Style 1 6" xfId="117" xr:uid="{880229A7-2AEC-44DA-B8C4-2AD3DA8DFA00}"/>
    <cellStyle name="Title" xfId="42" builtinId="15" customBuiltin="1"/>
    <cellStyle name="Total" xfId="57" builtinId="25" customBuiltin="1"/>
    <cellStyle name="Warning Text" xfId="54" builtinId="11" customBuiltin="1"/>
  </cellStyles>
  <dxfs count="0"/>
  <tableStyles count="0" defaultTableStyle="TableStyleMedium2" defaultPivotStyle="PivotStyleLight16"/>
  <colors>
    <mruColors>
      <color rgb="FFFF3737"/>
      <color rgb="FFFF0101"/>
      <color rgb="FFFF33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230982</xdr:colOff>
      <xdr:row>47</xdr:row>
      <xdr:rowOff>19944</xdr:rowOff>
    </xdr:from>
    <xdr:to>
      <xdr:col>4</xdr:col>
      <xdr:colOff>1173956</xdr:colOff>
      <xdr:row>47</xdr:row>
      <xdr:rowOff>156415</xdr:rowOff>
    </xdr:to>
    <xdr:pic>
      <xdr:nvPicPr>
        <xdr:cNvPr id="2" name="Picture 1">
          <a:extLst>
            <a:ext uri="{FF2B5EF4-FFF2-40B4-BE49-F238E27FC236}">
              <a16:creationId xmlns:a16="http://schemas.microsoft.com/office/drawing/2014/main" id="{881F4D46-7857-434A-A88F-5C205220FB2E}"/>
            </a:ext>
          </a:extLst>
        </xdr:cNvPr>
        <xdr:cNvPicPr>
          <a:picLocks noChangeAspect="1"/>
        </xdr:cNvPicPr>
      </xdr:nvPicPr>
      <xdr:blipFill>
        <a:blip xmlns:r="http://schemas.openxmlformats.org/officeDocument/2006/relationships" r:embed="rId1"/>
        <a:stretch>
          <a:fillRect/>
        </a:stretch>
      </xdr:blipFill>
      <xdr:spPr>
        <a:xfrm>
          <a:off x="7184232" y="14890850"/>
          <a:ext cx="942974" cy="136471"/>
        </a:xfrm>
        <a:prstGeom prst="rect">
          <a:avLst/>
        </a:prstGeom>
      </xdr:spPr>
    </xdr:pic>
    <xdr:clientData/>
  </xdr:twoCellAnchor>
  <xdr:twoCellAnchor>
    <xdr:from>
      <xdr:col>4</xdr:col>
      <xdr:colOff>219076</xdr:colOff>
      <xdr:row>48</xdr:row>
      <xdr:rowOff>67569</xdr:rowOff>
    </xdr:from>
    <xdr:to>
      <xdr:col>4</xdr:col>
      <xdr:colOff>1162050</xdr:colOff>
      <xdr:row>48</xdr:row>
      <xdr:rowOff>1042240</xdr:rowOff>
    </xdr:to>
    <xdr:pic>
      <xdr:nvPicPr>
        <xdr:cNvPr id="3" name="Picture 2">
          <a:extLst>
            <a:ext uri="{FF2B5EF4-FFF2-40B4-BE49-F238E27FC236}">
              <a16:creationId xmlns:a16="http://schemas.microsoft.com/office/drawing/2014/main" id="{87129540-CE2D-44AE-AEFF-02BFDA7CD820}"/>
            </a:ext>
          </a:extLst>
        </xdr:cNvPr>
        <xdr:cNvPicPr>
          <a:picLocks noChangeAspect="1"/>
        </xdr:cNvPicPr>
      </xdr:nvPicPr>
      <xdr:blipFill>
        <a:blip xmlns:r="http://schemas.openxmlformats.org/officeDocument/2006/relationships" r:embed="rId1"/>
        <a:stretch>
          <a:fillRect/>
        </a:stretch>
      </xdr:blipFill>
      <xdr:spPr>
        <a:xfrm>
          <a:off x="2809876" y="5839719"/>
          <a:ext cx="942974" cy="9746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3F3CC-0BA8-4A4D-ADBB-114572DC590C}">
  <sheetPr codeName="Sheet7"/>
  <dimension ref="A1:XEY379"/>
  <sheetViews>
    <sheetView tabSelected="1" zoomScale="85" zoomScaleNormal="85" workbookViewId="0">
      <pane ySplit="1" topLeftCell="A2" activePane="bottomLeft" state="frozen"/>
      <selection activeCell="B1" sqref="B1"/>
      <selection pane="bottomLeft" activeCell="D10" sqref="D10"/>
    </sheetView>
  </sheetViews>
  <sheetFormatPr defaultColWidth="9.140625" defaultRowHeight="15"/>
  <cols>
    <col min="1" max="1" width="8.42578125" style="92" customWidth="1"/>
    <col min="2" max="2" width="18.5703125" style="92" customWidth="1"/>
    <col min="3" max="3" width="17.28515625" style="92" customWidth="1"/>
    <col min="4" max="4" width="22.85546875" style="111" customWidth="1"/>
    <col min="5" max="5" width="28" style="92" customWidth="1"/>
    <col min="6" max="6" width="16.5703125" style="92" customWidth="1"/>
    <col min="7" max="7" width="12" style="92" customWidth="1"/>
    <col min="8" max="8" width="27.28515625" style="111" customWidth="1"/>
    <col min="9" max="9" width="28.5703125" style="92" customWidth="1"/>
    <col min="10" max="10" width="25.42578125" style="92" customWidth="1"/>
    <col min="11" max="11" width="15.140625" style="111" customWidth="1"/>
    <col min="12" max="12" width="17" style="92" customWidth="1"/>
    <col min="13" max="13" width="12.5703125" style="92" customWidth="1"/>
    <col min="14" max="14" width="11.85546875" style="92" customWidth="1"/>
    <col min="15" max="15" width="18.5703125" style="92" customWidth="1"/>
    <col min="16" max="16" width="13.42578125" style="92" customWidth="1"/>
    <col min="17" max="17" width="12.85546875" style="92" customWidth="1"/>
    <col min="18" max="18" width="14.7109375" style="92" customWidth="1"/>
    <col min="19" max="22" width="10.140625" style="92" customWidth="1"/>
    <col min="23" max="23" width="10" style="92" customWidth="1"/>
    <col min="24" max="24" width="13" style="92" customWidth="1"/>
    <col min="25" max="25" width="11.42578125" style="92" customWidth="1"/>
    <col min="26" max="26" width="10.85546875" style="92" customWidth="1"/>
    <col min="27" max="27" width="16.140625" style="92" customWidth="1"/>
    <col min="28" max="28" width="14" style="92" customWidth="1"/>
    <col min="29" max="29" width="12.7109375" style="92" customWidth="1"/>
    <col min="30" max="30" width="17.7109375" style="92" customWidth="1"/>
    <col min="31" max="31" width="12.42578125" style="92" customWidth="1"/>
    <col min="32" max="32" width="13.140625" style="92" customWidth="1"/>
    <col min="33" max="33" width="15.42578125" style="92" customWidth="1"/>
    <col min="34" max="34" width="12.5703125" style="92" customWidth="1"/>
    <col min="35" max="35" width="14.140625" style="92" customWidth="1"/>
    <col min="36" max="36" width="14.5703125" style="92" customWidth="1"/>
    <col min="37" max="37" width="13.7109375" style="92" customWidth="1"/>
    <col min="38" max="38" width="12.85546875" style="92" customWidth="1"/>
    <col min="39" max="39" width="13" style="92" customWidth="1"/>
    <col min="40" max="40" width="12.7109375" style="92" customWidth="1"/>
    <col min="41" max="41" width="15" style="92" customWidth="1"/>
    <col min="42" max="42" width="12.85546875" style="92" customWidth="1"/>
    <col min="43" max="43" width="12.28515625" style="92" customWidth="1"/>
    <col min="44" max="44" width="12.85546875" style="92" customWidth="1"/>
    <col min="45" max="16384" width="9.140625" style="92"/>
  </cols>
  <sheetData>
    <row r="1" spans="1:44" ht="70.5" customHeight="1">
      <c r="A1" s="975" t="s">
        <v>1050</v>
      </c>
      <c r="B1" s="977" t="s">
        <v>1</v>
      </c>
      <c r="C1" s="977" t="s">
        <v>2</v>
      </c>
      <c r="D1" s="989" t="s">
        <v>3</v>
      </c>
      <c r="E1" s="989" t="s">
        <v>4</v>
      </c>
      <c r="F1" s="989" t="s">
        <v>5</v>
      </c>
      <c r="G1" s="989" t="s">
        <v>6</v>
      </c>
      <c r="H1" s="989" t="s">
        <v>7</v>
      </c>
      <c r="I1" s="989" t="s">
        <v>8</v>
      </c>
      <c r="J1" s="989" t="s">
        <v>9</v>
      </c>
      <c r="K1" s="989" t="s">
        <v>10</v>
      </c>
      <c r="L1" s="990" t="s">
        <v>11</v>
      </c>
      <c r="M1" s="975" t="s">
        <v>12</v>
      </c>
      <c r="N1" s="975" t="s">
        <v>13</v>
      </c>
      <c r="O1" s="979" t="s">
        <v>14</v>
      </c>
      <c r="P1" s="979" t="s">
        <v>356</v>
      </c>
      <c r="Q1" s="979" t="s">
        <v>16</v>
      </c>
      <c r="R1" s="975" t="s">
        <v>3071</v>
      </c>
      <c r="S1" s="984" t="s">
        <v>18</v>
      </c>
      <c r="T1" s="985"/>
      <c r="U1" s="986"/>
      <c r="V1" s="975" t="s">
        <v>19</v>
      </c>
      <c r="W1" s="987" t="s">
        <v>20</v>
      </c>
      <c r="X1" s="987" t="s">
        <v>21</v>
      </c>
      <c r="Y1" s="975" t="s">
        <v>22</v>
      </c>
      <c r="Z1" s="981" t="s">
        <v>23</v>
      </c>
      <c r="AA1" s="982"/>
      <c r="AB1" s="983"/>
      <c r="AC1" s="975" t="s">
        <v>24</v>
      </c>
      <c r="AD1" s="975" t="s">
        <v>25</v>
      </c>
      <c r="AE1" s="975" t="s">
        <v>2790</v>
      </c>
      <c r="AF1" s="975" t="s">
        <v>27</v>
      </c>
      <c r="AG1" s="979" t="s">
        <v>1196</v>
      </c>
      <c r="AH1" s="979" t="s">
        <v>28</v>
      </c>
      <c r="AI1" s="979" t="s">
        <v>29</v>
      </c>
      <c r="AJ1" s="975" t="s">
        <v>635</v>
      </c>
      <c r="AK1" s="979" t="s">
        <v>31</v>
      </c>
      <c r="AL1" s="979" t="s">
        <v>32</v>
      </c>
      <c r="AM1" s="979" t="s">
        <v>33</v>
      </c>
      <c r="AN1" s="979" t="s">
        <v>34</v>
      </c>
      <c r="AO1" s="979" t="s">
        <v>1191</v>
      </c>
      <c r="AP1" s="979" t="s">
        <v>35</v>
      </c>
      <c r="AQ1" s="979" t="s">
        <v>36</v>
      </c>
      <c r="AR1" s="979" t="s">
        <v>37</v>
      </c>
    </row>
    <row r="2" spans="1:44" s="109" customFormat="1" ht="25.5" customHeight="1">
      <c r="A2" s="976"/>
      <c r="B2" s="978"/>
      <c r="C2" s="978"/>
      <c r="D2" s="976"/>
      <c r="E2" s="976"/>
      <c r="F2" s="976"/>
      <c r="G2" s="976"/>
      <c r="H2" s="976"/>
      <c r="I2" s="976"/>
      <c r="J2" s="976"/>
      <c r="K2" s="976"/>
      <c r="L2" s="991"/>
      <c r="M2" s="976"/>
      <c r="N2" s="976"/>
      <c r="O2" s="980"/>
      <c r="P2" s="980"/>
      <c r="Q2" s="980"/>
      <c r="R2" s="976"/>
      <c r="S2" s="536" t="s">
        <v>717</v>
      </c>
      <c r="T2" s="536" t="s">
        <v>39</v>
      </c>
      <c r="U2" s="536" t="s">
        <v>40</v>
      </c>
      <c r="V2" s="976"/>
      <c r="W2" s="988"/>
      <c r="X2" s="988"/>
      <c r="Y2" s="976"/>
      <c r="Z2" s="537" t="s">
        <v>1302</v>
      </c>
      <c r="AA2" s="538" t="s">
        <v>42</v>
      </c>
      <c r="AB2" s="539" t="s">
        <v>43</v>
      </c>
      <c r="AC2" s="976"/>
      <c r="AD2" s="976"/>
      <c r="AE2" s="976"/>
      <c r="AF2" s="976"/>
      <c r="AG2" s="980"/>
      <c r="AH2" s="980"/>
      <c r="AI2" s="980"/>
      <c r="AJ2" s="976"/>
      <c r="AK2" s="980"/>
      <c r="AL2" s="980"/>
      <c r="AM2" s="980"/>
      <c r="AN2" s="980"/>
      <c r="AO2" s="980"/>
      <c r="AP2" s="980"/>
      <c r="AQ2" s="980"/>
      <c r="AR2" s="980"/>
    </row>
    <row r="3" spans="1:44" ht="26.25" customHeight="1">
      <c r="A3" s="351" t="s">
        <v>3444</v>
      </c>
      <c r="B3" s="331"/>
      <c r="C3" s="332"/>
      <c r="D3" s="333"/>
      <c r="E3" s="334"/>
      <c r="F3" s="334"/>
      <c r="G3" s="524"/>
      <c r="H3" s="341"/>
      <c r="I3" s="334"/>
      <c r="J3" s="334"/>
      <c r="K3" s="334"/>
      <c r="L3" s="336"/>
      <c r="M3" s="332"/>
      <c r="N3" s="332"/>
      <c r="O3" s="337"/>
      <c r="P3" s="338"/>
      <c r="Q3" s="337"/>
      <c r="R3" s="339"/>
      <c r="S3" s="340"/>
      <c r="T3" s="340"/>
      <c r="U3" s="340"/>
      <c r="V3" s="340"/>
      <c r="W3" s="341"/>
      <c r="X3" s="342"/>
      <c r="Y3" s="350"/>
      <c r="Z3" s="342"/>
      <c r="AA3" s="344"/>
      <c r="AB3" s="332"/>
      <c r="AC3" s="332"/>
      <c r="AD3" s="339"/>
      <c r="AE3" s="337"/>
      <c r="AF3" s="338"/>
      <c r="AG3" s="337"/>
      <c r="AH3" s="338"/>
      <c r="AI3" s="337"/>
      <c r="AJ3" s="338"/>
      <c r="AK3" s="338"/>
      <c r="AL3" s="338"/>
      <c r="AM3" s="338"/>
      <c r="AN3" s="338"/>
      <c r="AO3" s="338"/>
      <c r="AP3" s="338"/>
      <c r="AQ3" s="338"/>
      <c r="AR3" s="338"/>
    </row>
    <row r="4" spans="1:44" s="104" customFormat="1" ht="27" customHeight="1">
      <c r="A4" s="328">
        <v>46127</v>
      </c>
      <c r="B4" s="921" t="s">
        <v>3058</v>
      </c>
      <c r="C4" s="437" t="s">
        <v>3064</v>
      </c>
      <c r="D4" s="361" t="s">
        <v>3299</v>
      </c>
      <c r="E4" s="690" t="s">
        <v>3060</v>
      </c>
      <c r="F4" s="927" t="s">
        <v>2345</v>
      </c>
      <c r="G4" s="928">
        <v>120</v>
      </c>
      <c r="H4" s="923" t="s">
        <v>3063</v>
      </c>
      <c r="I4" s="927" t="s">
        <v>2377</v>
      </c>
      <c r="J4" s="926" t="s">
        <v>3062</v>
      </c>
      <c r="K4" s="926" t="s">
        <v>3061</v>
      </c>
      <c r="L4" s="809" t="s">
        <v>2346</v>
      </c>
      <c r="M4" s="1048"/>
      <c r="N4" s="665"/>
      <c r="O4" s="808" t="s">
        <v>857</v>
      </c>
      <c r="P4" s="665"/>
      <c r="Q4" s="784" t="s">
        <v>1678</v>
      </c>
      <c r="R4" s="784" t="s">
        <v>1678</v>
      </c>
      <c r="S4" s="738">
        <v>75</v>
      </c>
      <c r="T4" s="690">
        <v>40</v>
      </c>
      <c r="U4" s="718">
        <v>22</v>
      </c>
      <c r="V4" s="807">
        <v>120</v>
      </c>
      <c r="W4" s="806">
        <f>ROUND(G4/V4,2)</f>
        <v>1</v>
      </c>
      <c r="X4" s="805">
        <f>12*W4</f>
        <v>12</v>
      </c>
      <c r="Y4" s="800">
        <f>ROUND((S4*T4*U4)*0.000001*W4,2)</f>
        <v>7.0000000000000007E-2</v>
      </c>
      <c r="Z4" s="385">
        <v>1.88</v>
      </c>
      <c r="AA4" s="804">
        <f>Z4*G4</f>
        <v>225.6</v>
      </c>
      <c r="AB4" s="803" t="s">
        <v>46</v>
      </c>
      <c r="AC4" s="802"/>
      <c r="AD4" s="801"/>
      <c r="AE4" s="329"/>
      <c r="AF4" s="329"/>
      <c r="AG4" s="405"/>
      <c r="AH4" s="405"/>
      <c r="AI4" s="329"/>
      <c r="AJ4" s="375"/>
      <c r="AK4" s="375"/>
      <c r="AL4" s="375"/>
      <c r="AM4" s="375"/>
      <c r="AN4" s="329"/>
      <c r="AO4" s="329"/>
      <c r="AP4" s="329"/>
      <c r="AQ4" s="329"/>
      <c r="AR4" s="446" t="s">
        <v>1301</v>
      </c>
    </row>
    <row r="5" spans="1:44" customFormat="1" ht="27" customHeight="1">
      <c r="A5" s="328">
        <v>46127</v>
      </c>
      <c r="B5" s="921" t="s">
        <v>3058</v>
      </c>
      <c r="C5" s="437" t="s">
        <v>3065</v>
      </c>
      <c r="D5" s="925" t="s">
        <v>3299</v>
      </c>
      <c r="E5" s="365" t="s">
        <v>3060</v>
      </c>
      <c r="F5" s="365" t="s">
        <v>2345</v>
      </c>
      <c r="G5" s="924">
        <v>120</v>
      </c>
      <c r="H5" s="923" t="s">
        <v>3069</v>
      </c>
      <c r="I5" s="327" t="s">
        <v>2377</v>
      </c>
      <c r="J5" s="358" t="s">
        <v>3059</v>
      </c>
      <c r="K5" s="919" t="s">
        <v>2406</v>
      </c>
      <c r="L5" s="327" t="s">
        <v>2346</v>
      </c>
      <c r="M5" s="1048"/>
      <c r="N5" s="328"/>
      <c r="O5" s="679" t="s">
        <v>515</v>
      </c>
      <c r="P5" s="665"/>
      <c r="Q5" s="390" t="s">
        <v>1678</v>
      </c>
      <c r="R5" s="390" t="s">
        <v>1678</v>
      </c>
      <c r="S5" s="366">
        <v>75</v>
      </c>
      <c r="T5" s="366">
        <v>40</v>
      </c>
      <c r="U5" s="366">
        <v>22</v>
      </c>
      <c r="V5" s="695">
        <v>120</v>
      </c>
      <c r="W5" s="385">
        <f>ROUND(G5/V5,2)</f>
        <v>1</v>
      </c>
      <c r="X5" s="922">
        <f>12*W5</f>
        <v>12</v>
      </c>
      <c r="Y5" s="517">
        <f>ROUND((S5*T5*U5)*0.000001*W5,2)</f>
        <v>7.0000000000000007E-2</v>
      </c>
      <c r="Z5" s="385">
        <v>1.88</v>
      </c>
      <c r="AA5" s="737">
        <f>Z5*G5</f>
        <v>225.6</v>
      </c>
      <c r="AB5" s="421" t="s">
        <v>46</v>
      </c>
      <c r="AC5" s="362" t="s">
        <v>48</v>
      </c>
      <c r="AD5" s="409"/>
      <c r="AE5" s="329"/>
      <c r="AF5" s="329"/>
      <c r="AG5" s="329"/>
      <c r="AH5" s="329"/>
      <c r="AI5" s="329"/>
      <c r="AJ5" s="375"/>
      <c r="AK5" s="375"/>
      <c r="AL5" s="375"/>
      <c r="AM5" s="375"/>
      <c r="AN5" s="329"/>
      <c r="AO5" s="329"/>
      <c r="AP5" s="329"/>
      <c r="AQ5" s="329"/>
      <c r="AR5" s="446" t="s">
        <v>1301</v>
      </c>
    </row>
    <row r="6" spans="1:44" customFormat="1" ht="27" customHeight="1">
      <c r="A6" s="328">
        <v>46127</v>
      </c>
      <c r="B6" s="921" t="s">
        <v>3058</v>
      </c>
      <c r="C6" s="437" t="s">
        <v>3066</v>
      </c>
      <c r="D6" s="361" t="s">
        <v>3299</v>
      </c>
      <c r="E6" s="601" t="s">
        <v>3057</v>
      </c>
      <c r="F6" s="396" t="s">
        <v>2345</v>
      </c>
      <c r="G6" s="789">
        <v>120</v>
      </c>
      <c r="H6" s="393" t="s">
        <v>3070</v>
      </c>
      <c r="I6" s="363" t="s">
        <v>3056</v>
      </c>
      <c r="J6" s="920" t="s">
        <v>3055</v>
      </c>
      <c r="K6" s="919" t="s">
        <v>2406</v>
      </c>
      <c r="L6" s="809" t="s">
        <v>2560</v>
      </c>
      <c r="M6" s="1048"/>
      <c r="N6" s="355"/>
      <c r="O6" s="918" t="s">
        <v>857</v>
      </c>
      <c r="P6" s="665"/>
      <c r="Q6" s="374" t="s">
        <v>1678</v>
      </c>
      <c r="R6" s="355" t="s">
        <v>1678</v>
      </c>
      <c r="S6" s="407">
        <v>75</v>
      </c>
      <c r="T6" s="327">
        <v>40</v>
      </c>
      <c r="U6" s="407">
        <v>22</v>
      </c>
      <c r="V6" s="355">
        <v>120</v>
      </c>
      <c r="W6" s="756">
        <f>ROUND(G6/V6,2)</f>
        <v>1</v>
      </c>
      <c r="X6" s="690">
        <f>12*W6</f>
        <v>12</v>
      </c>
      <c r="Y6" s="355">
        <f>ROUND((S6*T6*U6)*0.000001*W6,2)</f>
        <v>7.0000000000000007E-2</v>
      </c>
      <c r="Z6" s="391">
        <v>2.1800000000000002</v>
      </c>
      <c r="AA6" s="917">
        <f>Z6*G6</f>
        <v>261.60000000000002</v>
      </c>
      <c r="AB6" s="725" t="s">
        <v>46</v>
      </c>
      <c r="AC6" s="802"/>
      <c r="AD6" s="909"/>
      <c r="AE6" s="329"/>
      <c r="AF6" s="329"/>
      <c r="AG6" s="329"/>
      <c r="AH6" s="329"/>
      <c r="AI6" s="329"/>
      <c r="AJ6" s="375"/>
      <c r="AK6" s="375"/>
      <c r="AL6" s="375"/>
      <c r="AM6" s="375"/>
      <c r="AN6" s="329"/>
      <c r="AO6" s="329"/>
      <c r="AP6" s="329"/>
      <c r="AQ6" s="329"/>
      <c r="AR6" s="446" t="s">
        <v>1301</v>
      </c>
    </row>
    <row r="7" spans="1:44" ht="27" customHeight="1">
      <c r="A7" s="330"/>
      <c r="B7" s="331"/>
      <c r="C7" s="332"/>
      <c r="D7" s="333"/>
      <c r="E7" s="334"/>
      <c r="F7" s="334"/>
      <c r="G7" s="335">
        <f>SUM(G4:G6)</f>
        <v>360</v>
      </c>
      <c r="H7" s="334"/>
      <c r="I7" s="334"/>
      <c r="J7" s="334"/>
      <c r="K7" s="334"/>
      <c r="L7" s="336"/>
      <c r="M7" s="332"/>
      <c r="N7" s="332"/>
      <c r="O7" s="337"/>
      <c r="P7" s="338"/>
      <c r="Q7" s="332"/>
      <c r="R7" s="339"/>
      <c r="S7" s="340"/>
      <c r="T7" s="340"/>
      <c r="U7" s="340"/>
      <c r="V7" s="340"/>
      <c r="W7" s="341"/>
      <c r="X7" s="342"/>
      <c r="Y7" s="343">
        <f>SUM(Y4:Y6)</f>
        <v>0.21000000000000002</v>
      </c>
      <c r="Z7" s="342"/>
      <c r="AA7" s="344"/>
      <c r="AB7" s="332"/>
      <c r="AC7" s="332"/>
      <c r="AD7" s="339"/>
      <c r="AE7" s="337"/>
      <c r="AF7" s="338"/>
      <c r="AG7" s="337"/>
      <c r="AH7" s="338"/>
      <c r="AI7" s="337"/>
      <c r="AJ7" s="338"/>
      <c r="AK7" s="338"/>
      <c r="AL7" s="338"/>
      <c r="AM7" s="338"/>
      <c r="AN7" s="338"/>
      <c r="AO7" s="338"/>
      <c r="AP7" s="338"/>
      <c r="AQ7" s="338"/>
      <c r="AR7" s="338"/>
    </row>
    <row r="8" spans="1:44" ht="33" customHeight="1">
      <c r="A8" s="351" t="s">
        <v>3416</v>
      </c>
      <c r="B8" s="331"/>
      <c r="C8" s="332"/>
      <c r="D8" s="333"/>
      <c r="E8" s="334"/>
      <c r="F8" s="334"/>
      <c r="G8" s="524"/>
      <c r="H8" s="341"/>
      <c r="I8" s="334"/>
      <c r="J8" s="334"/>
      <c r="K8" s="334"/>
      <c r="L8" s="336"/>
      <c r="M8" s="332"/>
      <c r="N8" s="332"/>
      <c r="O8" s="337"/>
      <c r="P8" s="338"/>
      <c r="Q8" s="337"/>
      <c r="R8" s="339"/>
      <c r="S8" s="340"/>
      <c r="T8" s="340"/>
      <c r="U8" s="340"/>
      <c r="V8" s="340"/>
      <c r="W8" s="341"/>
      <c r="X8" s="342"/>
      <c r="Y8" s="350"/>
      <c r="Z8" s="342"/>
      <c r="AA8" s="344"/>
      <c r="AB8" s="332"/>
      <c r="AC8" s="332"/>
      <c r="AD8" s="339"/>
      <c r="AE8" s="337"/>
      <c r="AF8" s="338"/>
      <c r="AG8" s="337"/>
      <c r="AH8" s="338"/>
      <c r="AI8" s="337"/>
      <c r="AJ8" s="338"/>
      <c r="AK8" s="338"/>
      <c r="AL8" s="338"/>
      <c r="AM8" s="338"/>
      <c r="AN8" s="338"/>
      <c r="AO8" s="338"/>
      <c r="AP8" s="338"/>
      <c r="AQ8" s="338"/>
      <c r="AR8" s="338"/>
    </row>
    <row r="9" spans="1:44" customFormat="1" ht="33" customHeight="1">
      <c r="A9" s="798">
        <v>46094</v>
      </c>
      <c r="B9" s="445" t="s">
        <v>2555</v>
      </c>
      <c r="C9" s="437" t="s">
        <v>2556</v>
      </c>
      <c r="D9" s="327" t="s">
        <v>2884</v>
      </c>
      <c r="E9" s="358" t="s">
        <v>2132</v>
      </c>
      <c r="F9" s="363" t="s">
        <v>70</v>
      </c>
      <c r="G9" s="363">
        <v>864</v>
      </c>
      <c r="H9" s="498" t="s">
        <v>381</v>
      </c>
      <c r="I9" s="404" t="s">
        <v>135</v>
      </c>
      <c r="J9" s="363" t="s">
        <v>70</v>
      </c>
      <c r="K9" s="363" t="s">
        <v>53</v>
      </c>
      <c r="L9" s="392" t="s">
        <v>64</v>
      </c>
      <c r="M9" s="383"/>
      <c r="N9" s="403" t="s">
        <v>99</v>
      </c>
      <c r="O9" s="690" t="s">
        <v>1822</v>
      </c>
      <c r="P9" s="374" t="s">
        <v>44</v>
      </c>
      <c r="Q9" s="425">
        <v>46121</v>
      </c>
      <c r="R9" s="365" t="s">
        <v>57</v>
      </c>
      <c r="S9" s="407">
        <f>ROUND(15.5*2.54,2)</f>
        <v>39.369999999999997</v>
      </c>
      <c r="T9" s="407">
        <f>ROUND(11.5*2.54,2)</f>
        <v>29.21</v>
      </c>
      <c r="U9" s="407">
        <f>ROUND(8*2.54,2)</f>
        <v>20.32</v>
      </c>
      <c r="V9" s="355">
        <v>6</v>
      </c>
      <c r="W9" s="327">
        <f>ROUND(G9/V9,2)</f>
        <v>144</v>
      </c>
      <c r="X9" s="386">
        <f>4.5*W9</f>
        <v>648</v>
      </c>
      <c r="Y9" s="355">
        <f>ROUND((S9*T9*U9)*0.000001*W9,2)</f>
        <v>3.36</v>
      </c>
      <c r="Z9" s="355">
        <v>4.49</v>
      </c>
      <c r="AA9" s="700">
        <f>Z9*G9</f>
        <v>3879.36</v>
      </c>
      <c r="AB9" s="371" t="s">
        <v>46</v>
      </c>
      <c r="AC9" s="361"/>
      <c r="AD9" s="699"/>
      <c r="AE9" s="425">
        <v>46121</v>
      </c>
      <c r="AF9" s="425">
        <v>46108</v>
      </c>
      <c r="AG9" s="345"/>
      <c r="AH9" s="446">
        <v>46153</v>
      </c>
      <c r="AI9" s="345"/>
      <c r="AJ9" s="446">
        <v>46151</v>
      </c>
      <c r="AK9" s="446">
        <v>46151</v>
      </c>
      <c r="AL9" s="446">
        <v>46154</v>
      </c>
      <c r="AM9" s="446">
        <v>46155</v>
      </c>
      <c r="AN9" s="329"/>
      <c r="AO9" s="329"/>
      <c r="AP9" s="329"/>
      <c r="AQ9" s="370"/>
      <c r="AR9" s="663" t="s">
        <v>1301</v>
      </c>
    </row>
    <row r="10" spans="1:44" s="115" customFormat="1" ht="33" customHeight="1">
      <c r="A10" s="798">
        <v>46094</v>
      </c>
      <c r="B10" s="445" t="s">
        <v>2555</v>
      </c>
      <c r="C10" s="437" t="s">
        <v>2367</v>
      </c>
      <c r="D10" s="349" t="s">
        <v>2885</v>
      </c>
      <c r="E10" s="358" t="s">
        <v>2132</v>
      </c>
      <c r="F10" s="363" t="s">
        <v>70</v>
      </c>
      <c r="G10" s="401">
        <v>4320</v>
      </c>
      <c r="H10" s="497" t="s">
        <v>291</v>
      </c>
      <c r="I10" s="402" t="s">
        <v>74</v>
      </c>
      <c r="J10" s="363" t="s">
        <v>70</v>
      </c>
      <c r="K10" s="402" t="s">
        <v>75</v>
      </c>
      <c r="L10" s="392" t="s">
        <v>64</v>
      </c>
      <c r="M10" s="383"/>
      <c r="N10" s="677"/>
      <c r="O10" s="327" t="s">
        <v>1710</v>
      </c>
      <c r="P10" s="374" t="s">
        <v>44</v>
      </c>
      <c r="Q10" s="490">
        <v>46101</v>
      </c>
      <c r="R10" s="426" t="s">
        <v>123</v>
      </c>
      <c r="S10" s="407">
        <f>ROUND(15.5*2.54,2)</f>
        <v>39.369999999999997</v>
      </c>
      <c r="T10" s="407">
        <f>ROUND(11.5*2.54,2)</f>
        <v>29.21</v>
      </c>
      <c r="U10" s="407">
        <f>ROUND(8*2.54,2)</f>
        <v>20.32</v>
      </c>
      <c r="V10" s="368">
        <v>6</v>
      </c>
      <c r="W10" s="407">
        <f>ROUND(G10/V10,2)</f>
        <v>720</v>
      </c>
      <c r="X10" s="388">
        <f>4.5*W10</f>
        <v>3240</v>
      </c>
      <c r="Y10" s="347">
        <f>ROUND((S10*T10*U10)*0.000001*W10,2)</f>
        <v>16.82</v>
      </c>
      <c r="Z10" s="496">
        <v>4.49</v>
      </c>
      <c r="AA10" s="410">
        <f>Z10*G10</f>
        <v>19396.8</v>
      </c>
      <c r="AB10" s="371" t="s">
        <v>46</v>
      </c>
      <c r="AC10" s="361"/>
      <c r="AD10" s="699"/>
      <c r="AE10" s="490">
        <v>46101</v>
      </c>
      <c r="AF10" s="490">
        <v>46101</v>
      </c>
      <c r="AG10" s="345"/>
      <c r="AH10" s="446">
        <v>46121</v>
      </c>
      <c r="AI10" s="345"/>
      <c r="AJ10" s="446">
        <v>46121</v>
      </c>
      <c r="AK10" s="446">
        <v>46121</v>
      </c>
      <c r="AL10" s="446">
        <v>46126</v>
      </c>
      <c r="AM10" s="446">
        <v>46146</v>
      </c>
      <c r="AN10" s="546"/>
      <c r="AO10" s="329"/>
      <c r="AP10" s="329"/>
      <c r="AQ10" s="370"/>
      <c r="AR10" s="663" t="s">
        <v>1301</v>
      </c>
    </row>
    <row r="11" spans="1:44" s="115" customFormat="1" ht="33" customHeight="1">
      <c r="A11" s="494">
        <v>46100</v>
      </c>
      <c r="B11" s="445" t="s">
        <v>2555</v>
      </c>
      <c r="C11" s="437" t="s">
        <v>2586</v>
      </c>
      <c r="D11" s="404" t="s">
        <v>2884</v>
      </c>
      <c r="E11" s="393" t="s">
        <v>2132</v>
      </c>
      <c r="F11" s="363" t="s">
        <v>70</v>
      </c>
      <c r="G11" s="401">
        <v>4752</v>
      </c>
      <c r="H11" s="393" t="s">
        <v>291</v>
      </c>
      <c r="I11" s="402" t="s">
        <v>74</v>
      </c>
      <c r="J11" s="363" t="s">
        <v>70</v>
      </c>
      <c r="K11" s="402" t="s">
        <v>75</v>
      </c>
      <c r="L11" s="392" t="s">
        <v>64</v>
      </c>
      <c r="M11" s="383"/>
      <c r="N11" s="813"/>
      <c r="O11" s="363" t="s">
        <v>1710</v>
      </c>
      <c r="P11" s="494" t="s">
        <v>44</v>
      </c>
      <c r="Q11" s="425">
        <v>46112</v>
      </c>
      <c r="R11" s="814" t="s">
        <v>123</v>
      </c>
      <c r="S11" s="543">
        <f>ROUND(15.5*2.54,2)</f>
        <v>39.369999999999997</v>
      </c>
      <c r="T11" s="543">
        <f>ROUND(11.5*2.54,2)</f>
        <v>29.21</v>
      </c>
      <c r="U11" s="543">
        <f>ROUND(8*2.54,2)</f>
        <v>20.32</v>
      </c>
      <c r="V11" s="401">
        <v>6</v>
      </c>
      <c r="W11" s="543">
        <f>ROUND(G11/V11,2)</f>
        <v>792</v>
      </c>
      <c r="X11" s="632">
        <f>4.5*W11</f>
        <v>3564</v>
      </c>
      <c r="Y11" s="376">
        <f>ROUND((S11*T11*U11)*0.000001*W11,2)</f>
        <v>18.510000000000002</v>
      </c>
      <c r="Z11" s="496">
        <v>4.49</v>
      </c>
      <c r="AA11" s="815">
        <f>Z11*G11</f>
        <v>21336.48</v>
      </c>
      <c r="AB11" s="421" t="s">
        <v>46</v>
      </c>
      <c r="AC11" s="438"/>
      <c r="AD11" s="699"/>
      <c r="AE11" s="425">
        <v>46112</v>
      </c>
      <c r="AF11" s="490">
        <v>46101</v>
      </c>
      <c r="AG11" s="699"/>
      <c r="AH11" s="446">
        <v>46153</v>
      </c>
      <c r="AI11" s="699"/>
      <c r="AJ11" s="446">
        <v>46151</v>
      </c>
      <c r="AK11" s="446">
        <v>46151</v>
      </c>
      <c r="AL11" s="446">
        <v>46153</v>
      </c>
      <c r="AM11" s="446">
        <v>46153</v>
      </c>
      <c r="AN11" s="546"/>
      <c r="AO11" s="329"/>
      <c r="AP11" s="329"/>
      <c r="AQ11" s="370"/>
      <c r="AR11" s="663" t="s">
        <v>1301</v>
      </c>
    </row>
    <row r="12" spans="1:44" ht="27" customHeight="1">
      <c r="A12" s="330"/>
      <c r="B12" s="331"/>
      <c r="C12" s="332"/>
      <c r="D12" s="333"/>
      <c r="E12" s="334"/>
      <c r="F12" s="334"/>
      <c r="G12" s="335">
        <f>SUM(G9:G11)</f>
        <v>9936</v>
      </c>
      <c r="H12" s="334"/>
      <c r="I12" s="334"/>
      <c r="J12" s="334"/>
      <c r="K12" s="334"/>
      <c r="L12" s="336"/>
      <c r="M12" s="332"/>
      <c r="N12" s="332"/>
      <c r="O12" s="337"/>
      <c r="P12" s="338"/>
      <c r="Q12" s="337"/>
      <c r="R12" s="339"/>
      <c r="S12" s="340"/>
      <c r="T12" s="340"/>
      <c r="U12" s="340"/>
      <c r="V12" s="340"/>
      <c r="W12" s="341"/>
      <c r="X12" s="342"/>
      <c r="Y12" s="343">
        <f>SUM(Y9:Y11)</f>
        <v>38.69</v>
      </c>
      <c r="Z12" s="342"/>
      <c r="AA12" s="344"/>
      <c r="AB12" s="332"/>
      <c r="AC12" s="332"/>
      <c r="AD12" s="339"/>
      <c r="AE12" s="337"/>
      <c r="AF12" s="338"/>
      <c r="AG12" s="337"/>
      <c r="AH12" s="338"/>
      <c r="AI12" s="337"/>
      <c r="AJ12" s="338"/>
      <c r="AK12" s="338"/>
      <c r="AL12" s="338"/>
      <c r="AM12" s="338"/>
      <c r="AN12" s="338"/>
      <c r="AO12" s="338"/>
      <c r="AP12" s="338"/>
      <c r="AQ12" s="338"/>
      <c r="AR12" s="338"/>
    </row>
    <row r="13" spans="1:44" ht="26.25" customHeight="1">
      <c r="A13" s="351" t="s">
        <v>3289</v>
      </c>
      <c r="B13" s="331"/>
      <c r="C13" s="332"/>
      <c r="D13" s="333"/>
      <c r="E13" s="334" t="s">
        <v>3291</v>
      </c>
      <c r="F13" s="334"/>
      <c r="G13" s="524"/>
      <c r="H13" s="341"/>
      <c r="I13" s="334"/>
      <c r="J13" s="334"/>
      <c r="K13" s="334"/>
      <c r="L13" s="336"/>
      <c r="M13" s="332"/>
      <c r="N13" s="332"/>
      <c r="O13" s="337"/>
      <c r="P13" s="338"/>
      <c r="Q13" s="337"/>
      <c r="R13" s="339"/>
      <c r="S13" s="340"/>
      <c r="T13" s="340"/>
      <c r="U13" s="340"/>
      <c r="V13" s="340"/>
      <c r="W13" s="341"/>
      <c r="X13" s="342"/>
      <c r="Y13" s="350"/>
      <c r="Z13" s="342"/>
      <c r="AA13" s="344"/>
      <c r="AB13" s="332"/>
      <c r="AC13" s="332"/>
      <c r="AD13" s="339"/>
      <c r="AE13" s="337"/>
      <c r="AF13" s="338"/>
      <c r="AG13" s="337"/>
      <c r="AH13" s="338"/>
      <c r="AI13" s="337"/>
      <c r="AJ13" s="338"/>
      <c r="AK13" s="338"/>
      <c r="AL13" s="338"/>
      <c r="AM13" s="338"/>
      <c r="AN13" s="338"/>
      <c r="AO13" s="338"/>
      <c r="AP13" s="338"/>
      <c r="AQ13" s="338"/>
      <c r="AR13" s="338"/>
    </row>
    <row r="14" spans="1:44" ht="32.25" customHeight="1">
      <c r="A14" s="487">
        <v>45996</v>
      </c>
      <c r="B14" s="445" t="s">
        <v>2336</v>
      </c>
      <c r="C14" s="437" t="s">
        <v>2335</v>
      </c>
      <c r="D14" s="361" t="s">
        <v>2376</v>
      </c>
      <c r="E14" s="399"/>
      <c r="F14" s="396" t="s">
        <v>52</v>
      </c>
      <c r="G14" s="428">
        <v>50</v>
      </c>
      <c r="H14" s="702" t="s">
        <v>2342</v>
      </c>
      <c r="I14" s="543" t="s">
        <v>2343</v>
      </c>
      <c r="J14" s="404" t="s">
        <v>49</v>
      </c>
      <c r="K14" s="363" t="s">
        <v>56</v>
      </c>
      <c r="L14" s="392" t="s">
        <v>64</v>
      </c>
      <c r="M14" s="383">
        <v>46161</v>
      </c>
      <c r="N14" s="693" t="s">
        <v>54</v>
      </c>
      <c r="O14" s="425" t="s">
        <v>65</v>
      </c>
      <c r="P14" s="425">
        <v>45940</v>
      </c>
      <c r="Q14" s="425">
        <v>46024</v>
      </c>
      <c r="R14" s="425" t="s">
        <v>59</v>
      </c>
      <c r="S14" s="380">
        <v>165</v>
      </c>
      <c r="T14" s="380">
        <v>123</v>
      </c>
      <c r="U14" s="380">
        <v>25</v>
      </c>
      <c r="V14" s="380">
        <v>1</v>
      </c>
      <c r="W14" s="386">
        <f>ROUND(G14/V14,2)</f>
        <v>50</v>
      </c>
      <c r="X14" s="347">
        <f>50*W14</f>
        <v>2500</v>
      </c>
      <c r="Y14" s="347">
        <f>ROUND((S14*T14*U14)*0.000001*W14,2)</f>
        <v>25.37</v>
      </c>
      <c r="Z14" s="376">
        <v>409.7</v>
      </c>
      <c r="AA14" s="410">
        <f>Z14*G14</f>
        <v>20485</v>
      </c>
      <c r="AB14" s="371" t="s">
        <v>46</v>
      </c>
      <c r="AC14" s="362"/>
      <c r="AD14" s="327"/>
      <c r="AE14" s="425">
        <v>46024</v>
      </c>
      <c r="AF14" s="425">
        <v>46024</v>
      </c>
      <c r="AG14" s="345"/>
      <c r="AH14" s="345"/>
      <c r="AI14" s="345"/>
      <c r="AJ14" s="446">
        <v>46154</v>
      </c>
      <c r="AK14" s="446">
        <v>46154</v>
      </c>
      <c r="AL14" s="446">
        <v>46155</v>
      </c>
      <c r="AM14" s="446">
        <v>46158</v>
      </c>
      <c r="AN14" s="446">
        <v>46158</v>
      </c>
      <c r="AO14" s="345"/>
      <c r="AP14" s="446">
        <v>46153</v>
      </c>
      <c r="AQ14" s="663" t="s">
        <v>1301</v>
      </c>
      <c r="AR14" s="446" t="s">
        <v>1301</v>
      </c>
    </row>
    <row r="15" spans="1:44" ht="30" customHeight="1">
      <c r="A15" s="487">
        <v>46083</v>
      </c>
      <c r="B15" s="445" t="s">
        <v>2420</v>
      </c>
      <c r="C15" s="437" t="s">
        <v>2419</v>
      </c>
      <c r="D15" s="361" t="s">
        <v>2510</v>
      </c>
      <c r="E15" s="736"/>
      <c r="F15" s="396" t="s">
        <v>52</v>
      </c>
      <c r="G15" s="421">
        <v>100</v>
      </c>
      <c r="H15" s="497" t="s">
        <v>2418</v>
      </c>
      <c r="I15" s="724" t="s">
        <v>58</v>
      </c>
      <c r="J15" s="724" t="s">
        <v>639</v>
      </c>
      <c r="K15" s="764" t="s">
        <v>2417</v>
      </c>
      <c r="L15" s="392" t="s">
        <v>64</v>
      </c>
      <c r="M15" s="383">
        <v>46161</v>
      </c>
      <c r="N15" s="383"/>
      <c r="O15" s="369" t="s">
        <v>2416</v>
      </c>
      <c r="P15" s="714"/>
      <c r="Q15" s="425">
        <v>46099</v>
      </c>
      <c r="R15" s="328" t="s">
        <v>636</v>
      </c>
      <c r="S15" s="368">
        <v>120</v>
      </c>
      <c r="T15" s="368">
        <v>100</v>
      </c>
      <c r="U15" s="368">
        <f>110+10</f>
        <v>120</v>
      </c>
      <c r="V15" s="368">
        <v>25</v>
      </c>
      <c r="W15" s="347">
        <f t="shared" ref="W15:W21" si="0">ROUND(G15/V15,2)</f>
        <v>4</v>
      </c>
      <c r="X15" s="377">
        <f>211*W15</f>
        <v>844</v>
      </c>
      <c r="Y15" s="347">
        <f t="shared" ref="Y15:Y21" si="1">ROUND((S15*T15*U15)*0.000001*W15,2)</f>
        <v>5.76</v>
      </c>
      <c r="Z15" s="376">
        <v>80.36</v>
      </c>
      <c r="AA15" s="360">
        <f t="shared" ref="AA15:AA21" si="2">Z15*G15</f>
        <v>8036</v>
      </c>
      <c r="AB15" s="346" t="s">
        <v>46</v>
      </c>
      <c r="AC15" s="362"/>
      <c r="AD15" s="327"/>
      <c r="AE15" s="446">
        <v>46099</v>
      </c>
      <c r="AF15" s="446">
        <v>46101</v>
      </c>
      <c r="AG15" s="345"/>
      <c r="AH15" s="446">
        <v>46109</v>
      </c>
      <c r="AI15" s="345"/>
      <c r="AJ15" s="446">
        <v>46154</v>
      </c>
      <c r="AK15" s="446">
        <v>46154</v>
      </c>
      <c r="AL15" s="446">
        <v>46154</v>
      </c>
      <c r="AM15" s="446">
        <v>46155</v>
      </c>
      <c r="AN15" s="446">
        <v>46155</v>
      </c>
      <c r="AO15" s="345"/>
      <c r="AP15" s="446">
        <v>46118</v>
      </c>
      <c r="AQ15" s="446" t="s">
        <v>2075</v>
      </c>
      <c r="AR15" s="663" t="s">
        <v>1301</v>
      </c>
    </row>
    <row r="16" spans="1:44" ht="26.25" customHeight="1">
      <c r="A16" s="731">
        <v>46027</v>
      </c>
      <c r="B16" s="445" t="s">
        <v>2445</v>
      </c>
      <c r="C16" s="437" t="s">
        <v>2371</v>
      </c>
      <c r="D16" s="361" t="s">
        <v>2400</v>
      </c>
      <c r="E16" s="399"/>
      <c r="F16" s="396" t="s">
        <v>52</v>
      </c>
      <c r="G16" s="401">
        <v>200</v>
      </c>
      <c r="H16" s="527" t="s">
        <v>2356</v>
      </c>
      <c r="I16" s="484" t="s">
        <v>1774</v>
      </c>
      <c r="J16" s="363" t="s">
        <v>49</v>
      </c>
      <c r="K16" s="534" t="s">
        <v>56</v>
      </c>
      <c r="L16" s="486" t="s">
        <v>2427</v>
      </c>
      <c r="M16" s="383">
        <v>46161</v>
      </c>
      <c r="N16" s="328"/>
      <c r="O16" s="394" t="s">
        <v>2357</v>
      </c>
      <c r="P16" s="697">
        <v>42022</v>
      </c>
      <c r="Q16" s="425">
        <v>46029</v>
      </c>
      <c r="R16" s="349" t="s">
        <v>49</v>
      </c>
      <c r="S16" s="696">
        <v>62</v>
      </c>
      <c r="T16" s="696">
        <v>38</v>
      </c>
      <c r="U16" s="696">
        <v>52</v>
      </c>
      <c r="V16" s="695">
        <v>5</v>
      </c>
      <c r="W16" s="364">
        <f t="shared" si="0"/>
        <v>40</v>
      </c>
      <c r="X16" s="694">
        <f>19*W16</f>
        <v>760</v>
      </c>
      <c r="Y16" s="359">
        <f t="shared" si="1"/>
        <v>4.9000000000000004</v>
      </c>
      <c r="Z16" s="376">
        <v>41.87</v>
      </c>
      <c r="AA16" s="360">
        <f t="shared" si="2"/>
        <v>8374</v>
      </c>
      <c r="AB16" s="372" t="s">
        <v>46</v>
      </c>
      <c r="AC16" s="362"/>
      <c r="AD16" s="327"/>
      <c r="AE16" s="425">
        <v>46029</v>
      </c>
      <c r="AF16" s="446">
        <v>46034</v>
      </c>
      <c r="AG16" s="345"/>
      <c r="AH16" s="345"/>
      <c r="AI16" s="345"/>
      <c r="AJ16" s="446">
        <v>46148</v>
      </c>
      <c r="AK16" s="446">
        <v>46148</v>
      </c>
      <c r="AL16" s="446">
        <v>46150</v>
      </c>
      <c r="AM16" s="446">
        <v>46155</v>
      </c>
      <c r="AN16" s="446">
        <v>46155</v>
      </c>
      <c r="AO16" s="405"/>
      <c r="AP16" s="446">
        <v>46114</v>
      </c>
      <c r="AQ16" s="446" t="s">
        <v>2075</v>
      </c>
      <c r="AR16" s="446" t="s">
        <v>1301</v>
      </c>
    </row>
    <row r="17" spans="1:44" ht="30" customHeight="1">
      <c r="A17" s="487">
        <v>46083</v>
      </c>
      <c r="B17" s="445" t="s">
        <v>2445</v>
      </c>
      <c r="C17" s="437" t="s">
        <v>2444</v>
      </c>
      <c r="D17" s="361" t="s">
        <v>2512</v>
      </c>
      <c r="E17" s="736"/>
      <c r="F17" s="396" t="s">
        <v>52</v>
      </c>
      <c r="G17" s="486">
        <v>100</v>
      </c>
      <c r="H17" s="486" t="s">
        <v>2356</v>
      </c>
      <c r="I17" s="484" t="s">
        <v>1774</v>
      </c>
      <c r="J17" s="363" t="s">
        <v>49</v>
      </c>
      <c r="K17" s="534" t="s">
        <v>56</v>
      </c>
      <c r="L17" s="486" t="s">
        <v>692</v>
      </c>
      <c r="M17" s="383">
        <v>46161</v>
      </c>
      <c r="N17" s="328"/>
      <c r="O17" s="394" t="s">
        <v>2357</v>
      </c>
      <c r="P17" s="697">
        <v>42022</v>
      </c>
      <c r="Q17" s="446">
        <v>46099</v>
      </c>
      <c r="R17" s="349" t="s">
        <v>49</v>
      </c>
      <c r="S17" s="696">
        <v>62</v>
      </c>
      <c r="T17" s="696">
        <v>38</v>
      </c>
      <c r="U17" s="696">
        <v>52</v>
      </c>
      <c r="V17" s="695">
        <v>5</v>
      </c>
      <c r="W17" s="364">
        <f t="shared" si="0"/>
        <v>20</v>
      </c>
      <c r="X17" s="694">
        <f>19*W17</f>
        <v>380</v>
      </c>
      <c r="Y17" s="359">
        <f t="shared" si="1"/>
        <v>2.4500000000000002</v>
      </c>
      <c r="Z17" s="376">
        <v>41.87</v>
      </c>
      <c r="AA17" s="360">
        <f t="shared" si="2"/>
        <v>4187</v>
      </c>
      <c r="AB17" s="372" t="s">
        <v>46</v>
      </c>
      <c r="AC17" s="362"/>
      <c r="AD17" s="327"/>
      <c r="AE17" s="446">
        <v>46099</v>
      </c>
      <c r="AF17" s="425">
        <v>46100</v>
      </c>
      <c r="AG17" s="345"/>
      <c r="AH17" s="345"/>
      <c r="AI17" s="345"/>
      <c r="AJ17" s="446">
        <v>46157</v>
      </c>
      <c r="AK17" s="446">
        <v>46157</v>
      </c>
      <c r="AL17" s="446">
        <v>46160</v>
      </c>
      <c r="AM17" s="446">
        <v>46161</v>
      </c>
      <c r="AN17" s="446">
        <v>46161</v>
      </c>
      <c r="AO17" s="345"/>
      <c r="AP17" s="446">
        <v>46126</v>
      </c>
      <c r="AQ17" s="446" t="s">
        <v>2075</v>
      </c>
      <c r="AR17" s="663" t="s">
        <v>1301</v>
      </c>
    </row>
    <row r="18" spans="1:44" ht="30" customHeight="1">
      <c r="A18" s="487">
        <v>46083</v>
      </c>
      <c r="B18" s="445" t="s">
        <v>2449</v>
      </c>
      <c r="C18" s="437" t="s">
        <v>2448</v>
      </c>
      <c r="D18" s="361" t="s">
        <v>2587</v>
      </c>
      <c r="E18" s="880" t="s">
        <v>2447</v>
      </c>
      <c r="F18" s="396" t="s">
        <v>52</v>
      </c>
      <c r="G18" s="486">
        <v>50</v>
      </c>
      <c r="H18" s="701" t="s">
        <v>1607</v>
      </c>
      <c r="I18" s="393" t="s">
        <v>2318</v>
      </c>
      <c r="J18" s="363" t="s">
        <v>49</v>
      </c>
      <c r="K18" s="774" t="s">
        <v>69</v>
      </c>
      <c r="L18" s="363" t="s">
        <v>64</v>
      </c>
      <c r="M18" s="383">
        <v>46161</v>
      </c>
      <c r="N18" s="328"/>
      <c r="O18" s="773" t="s">
        <v>55</v>
      </c>
      <c r="P18" s="374">
        <v>45512</v>
      </c>
      <c r="Q18" s="425">
        <v>46097</v>
      </c>
      <c r="R18" s="349" t="s">
        <v>49</v>
      </c>
      <c r="S18" s="368">
        <v>68</v>
      </c>
      <c r="T18" s="347">
        <v>68</v>
      </c>
      <c r="U18" s="368">
        <v>40</v>
      </c>
      <c r="V18" s="347">
        <v>2</v>
      </c>
      <c r="W18" s="386">
        <f t="shared" si="0"/>
        <v>25</v>
      </c>
      <c r="X18" s="424">
        <f>20*W18</f>
        <v>500</v>
      </c>
      <c r="Y18" s="408">
        <f t="shared" si="1"/>
        <v>4.62</v>
      </c>
      <c r="Z18" s="772">
        <v>69.2</v>
      </c>
      <c r="AA18" s="360">
        <f t="shared" si="2"/>
        <v>3460</v>
      </c>
      <c r="AB18" s="373" t="s">
        <v>46</v>
      </c>
      <c r="AC18" s="362"/>
      <c r="AD18" s="327"/>
      <c r="AE18" s="425">
        <v>46097</v>
      </c>
      <c r="AF18" s="425">
        <v>46097</v>
      </c>
      <c r="AG18" s="345"/>
      <c r="AH18" s="345"/>
      <c r="AI18" s="345"/>
      <c r="AJ18" s="446">
        <v>46139</v>
      </c>
      <c r="AK18" s="446">
        <v>46139</v>
      </c>
      <c r="AL18" s="446">
        <v>46140</v>
      </c>
      <c r="AM18" s="446">
        <v>46149</v>
      </c>
      <c r="AN18" s="446">
        <v>46149</v>
      </c>
      <c r="AO18" s="345"/>
      <c r="AP18" s="446">
        <v>46139</v>
      </c>
      <c r="AQ18" s="446" t="s">
        <v>2075</v>
      </c>
      <c r="AR18" s="446" t="s">
        <v>1301</v>
      </c>
    </row>
    <row r="19" spans="1:44" ht="30" customHeight="1">
      <c r="A19" s="487">
        <v>46083</v>
      </c>
      <c r="B19" s="445" t="s">
        <v>2443</v>
      </c>
      <c r="C19" s="437" t="s">
        <v>2442</v>
      </c>
      <c r="D19" s="361" t="s">
        <v>2588</v>
      </c>
      <c r="E19" s="736"/>
      <c r="F19" s="396" t="s">
        <v>52</v>
      </c>
      <c r="G19" s="486">
        <v>400</v>
      </c>
      <c r="H19" s="497" t="s">
        <v>2441</v>
      </c>
      <c r="I19" s="484" t="s">
        <v>2440</v>
      </c>
      <c r="J19" s="404" t="s">
        <v>49</v>
      </c>
      <c r="K19" s="387" t="s">
        <v>53</v>
      </c>
      <c r="L19" s="363" t="s">
        <v>2310</v>
      </c>
      <c r="M19" s="383">
        <v>46161</v>
      </c>
      <c r="N19" s="328"/>
      <c r="O19" s="382" t="s">
        <v>55</v>
      </c>
      <c r="P19" s="679">
        <v>43875</v>
      </c>
      <c r="Q19" s="425">
        <v>46097</v>
      </c>
      <c r="R19" s="395" t="s">
        <v>49</v>
      </c>
      <c r="S19" s="422">
        <v>78</v>
      </c>
      <c r="T19" s="422">
        <v>40</v>
      </c>
      <c r="U19" s="422">
        <v>20</v>
      </c>
      <c r="V19" s="549">
        <v>10</v>
      </c>
      <c r="W19" s="386">
        <f t="shared" si="0"/>
        <v>40</v>
      </c>
      <c r="X19" s="388">
        <f>18*W19</f>
        <v>720</v>
      </c>
      <c r="Y19" s="408">
        <f t="shared" si="1"/>
        <v>2.5</v>
      </c>
      <c r="Z19" s="627">
        <v>14.34</v>
      </c>
      <c r="AA19" s="360">
        <f t="shared" si="2"/>
        <v>5736</v>
      </c>
      <c r="AB19" s="419" t="s">
        <v>46</v>
      </c>
      <c r="AC19" s="362"/>
      <c r="AD19" s="327"/>
      <c r="AE19" s="425">
        <v>46097</v>
      </c>
      <c r="AF19" s="425">
        <v>46097</v>
      </c>
      <c r="AG19" s="345"/>
      <c r="AH19" s="345"/>
      <c r="AI19" s="345"/>
      <c r="AJ19" s="446">
        <v>46149</v>
      </c>
      <c r="AK19" s="446">
        <v>46149</v>
      </c>
      <c r="AL19" s="446">
        <v>46151</v>
      </c>
      <c r="AM19" s="446">
        <v>46160</v>
      </c>
      <c r="AN19" s="345"/>
      <c r="AO19" s="345"/>
      <c r="AP19" s="345"/>
      <c r="AQ19" s="345"/>
      <c r="AR19" s="663" t="s">
        <v>1301</v>
      </c>
    </row>
    <row r="20" spans="1:44" ht="25.5" customHeight="1">
      <c r="A20" s="487">
        <v>46107</v>
      </c>
      <c r="B20" s="445" t="s">
        <v>2874</v>
      </c>
      <c r="C20" s="437" t="s">
        <v>2873</v>
      </c>
      <c r="D20" s="361" t="s">
        <v>3043</v>
      </c>
      <c r="E20" s="736"/>
      <c r="F20" s="396" t="s">
        <v>52</v>
      </c>
      <c r="G20" s="401">
        <v>100</v>
      </c>
      <c r="H20" s="631" t="s">
        <v>2872</v>
      </c>
      <c r="I20" s="393" t="s">
        <v>2871</v>
      </c>
      <c r="J20" s="393" t="s">
        <v>2870</v>
      </c>
      <c r="K20" s="384" t="s">
        <v>53</v>
      </c>
      <c r="L20" s="427" t="s">
        <v>634</v>
      </c>
      <c r="M20" s="383">
        <v>46161</v>
      </c>
      <c r="N20" s="733"/>
      <c r="O20" s="382" t="s">
        <v>2869</v>
      </c>
      <c r="P20" s="374" t="s">
        <v>44</v>
      </c>
      <c r="Q20" s="425">
        <v>46115</v>
      </c>
      <c r="R20" s="395" t="s">
        <v>49</v>
      </c>
      <c r="S20" s="407">
        <v>55</v>
      </c>
      <c r="T20" s="407">
        <v>55</v>
      </c>
      <c r="U20" s="407">
        <v>45</v>
      </c>
      <c r="V20" s="407">
        <v>4</v>
      </c>
      <c r="W20" s="388">
        <f t="shared" si="0"/>
        <v>25</v>
      </c>
      <c r="X20" s="385">
        <f>25*W20</f>
        <v>625</v>
      </c>
      <c r="Y20" s="359">
        <f t="shared" si="1"/>
        <v>3.4</v>
      </c>
      <c r="Z20" s="879">
        <v>70.900000000000006</v>
      </c>
      <c r="AA20" s="360">
        <f t="shared" si="2"/>
        <v>7090.0000000000009</v>
      </c>
      <c r="AB20" s="373" t="s">
        <v>46</v>
      </c>
      <c r="AC20" s="355" t="s">
        <v>46</v>
      </c>
      <c r="AD20" s="327"/>
      <c r="AE20" s="425">
        <v>46115</v>
      </c>
      <c r="AF20" s="446">
        <v>46128</v>
      </c>
      <c r="AG20" s="345"/>
      <c r="AH20" s="345"/>
      <c r="AI20" s="345"/>
      <c r="AJ20" s="446">
        <v>46149</v>
      </c>
      <c r="AK20" s="446">
        <v>46149</v>
      </c>
      <c r="AL20" s="446">
        <v>46149</v>
      </c>
      <c r="AM20" s="446">
        <v>46154</v>
      </c>
      <c r="AN20" s="345"/>
      <c r="AO20" s="345"/>
      <c r="AP20" s="345"/>
      <c r="AQ20" s="345"/>
      <c r="AR20" s="663" t="s">
        <v>1301</v>
      </c>
    </row>
    <row r="21" spans="1:44" ht="30" customHeight="1">
      <c r="A21" s="487">
        <v>46083</v>
      </c>
      <c r="B21" s="445" t="s">
        <v>2435</v>
      </c>
      <c r="C21" s="437" t="s">
        <v>2434</v>
      </c>
      <c r="D21" s="361" t="s">
        <v>2514</v>
      </c>
      <c r="E21" s="880" t="s">
        <v>3418</v>
      </c>
      <c r="F21" s="396" t="s">
        <v>52</v>
      </c>
      <c r="G21" s="486">
        <v>160</v>
      </c>
      <c r="H21" s="527" t="s">
        <v>2433</v>
      </c>
      <c r="I21" s="363" t="s">
        <v>617</v>
      </c>
      <c r="J21" s="391" t="s">
        <v>1993</v>
      </c>
      <c r="K21" s="363" t="s">
        <v>56</v>
      </c>
      <c r="L21" s="363" t="s">
        <v>68</v>
      </c>
      <c r="M21" s="383">
        <v>46161</v>
      </c>
      <c r="N21" s="328"/>
      <c r="O21" s="382" t="s">
        <v>55</v>
      </c>
      <c r="P21" s="374" t="s">
        <v>44</v>
      </c>
      <c r="Q21" s="446">
        <v>46091</v>
      </c>
      <c r="R21" s="381" t="s">
        <v>57</v>
      </c>
      <c r="S21" s="380">
        <v>54</v>
      </c>
      <c r="T21" s="380">
        <v>54</v>
      </c>
      <c r="U21" s="380">
        <v>60</v>
      </c>
      <c r="V21" s="379">
        <v>5</v>
      </c>
      <c r="W21" s="378">
        <f t="shared" si="0"/>
        <v>32</v>
      </c>
      <c r="X21" s="377">
        <f>15*W21</f>
        <v>480</v>
      </c>
      <c r="Y21" s="768">
        <f t="shared" si="1"/>
        <v>5.6</v>
      </c>
      <c r="Z21" s="376">
        <v>29.78</v>
      </c>
      <c r="AA21" s="360">
        <f t="shared" si="2"/>
        <v>4764.8</v>
      </c>
      <c r="AB21" s="346" t="s">
        <v>46</v>
      </c>
      <c r="AC21" s="362"/>
      <c r="AD21" s="327"/>
      <c r="AE21" s="446">
        <v>46091</v>
      </c>
      <c r="AF21" s="446">
        <v>46091</v>
      </c>
      <c r="AG21" s="345"/>
      <c r="AH21" s="446">
        <v>46160</v>
      </c>
      <c r="AI21" s="345"/>
      <c r="AJ21" s="446">
        <v>46158</v>
      </c>
      <c r="AK21" s="446">
        <v>46158</v>
      </c>
      <c r="AL21" s="446">
        <v>46158</v>
      </c>
      <c r="AM21" s="446">
        <v>46161</v>
      </c>
      <c r="AN21" s="345"/>
      <c r="AO21" s="345"/>
      <c r="AP21" s="446">
        <v>46135</v>
      </c>
      <c r="AQ21" s="446" t="s">
        <v>2075</v>
      </c>
      <c r="AR21" s="446" t="s">
        <v>1301</v>
      </c>
    </row>
    <row r="22" spans="1:44" ht="30" customHeight="1">
      <c r="A22" s="487">
        <v>46083</v>
      </c>
      <c r="B22" s="445" t="s">
        <v>2426</v>
      </c>
      <c r="C22" s="437" t="s">
        <v>2876</v>
      </c>
      <c r="D22" s="361" t="s">
        <v>3227</v>
      </c>
      <c r="E22" s="736"/>
      <c r="F22" s="396" t="s">
        <v>52</v>
      </c>
      <c r="G22" s="486">
        <v>200</v>
      </c>
      <c r="H22" s="631" t="s">
        <v>2425</v>
      </c>
      <c r="I22" s="392" t="s">
        <v>429</v>
      </c>
      <c r="J22" s="387" t="s">
        <v>2424</v>
      </c>
      <c r="K22" s="764" t="s">
        <v>2417</v>
      </c>
      <c r="L22" s="446" t="s">
        <v>2384</v>
      </c>
      <c r="M22" s="383">
        <v>46161</v>
      </c>
      <c r="N22" s="328"/>
      <c r="O22" s="382" t="s">
        <v>55</v>
      </c>
      <c r="P22" s="714">
        <v>44152</v>
      </c>
      <c r="Q22" s="425">
        <v>46119</v>
      </c>
      <c r="R22" s="328" t="s">
        <v>45</v>
      </c>
      <c r="S22" s="368">
        <v>56</v>
      </c>
      <c r="T22" s="368">
        <v>25</v>
      </c>
      <c r="U22" s="368">
        <v>40</v>
      </c>
      <c r="V22" s="368">
        <v>20</v>
      </c>
      <c r="W22" s="420">
        <f>ROUND(G22/V22,2)</f>
        <v>10</v>
      </c>
      <c r="X22" s="420">
        <f>12*W22</f>
        <v>120</v>
      </c>
      <c r="Y22" s="766">
        <f>ROUND((S22*T22*U22)*0.000001*W22,2)</f>
        <v>0.56000000000000005</v>
      </c>
      <c r="Z22" s="396">
        <v>6.91</v>
      </c>
      <c r="AA22" s="765">
        <f t="shared" ref="AA22:AA28" si="3">Z22*G22</f>
        <v>1382</v>
      </c>
      <c r="AB22" s="419" t="s">
        <v>46</v>
      </c>
      <c r="AC22" s="362"/>
      <c r="AD22" s="327"/>
      <c r="AE22" s="425">
        <v>46119</v>
      </c>
      <c r="AF22" s="446">
        <v>46120</v>
      </c>
      <c r="AG22" s="345"/>
      <c r="AH22" s="446">
        <v>46128</v>
      </c>
      <c r="AI22" s="345"/>
      <c r="AJ22" s="446">
        <v>46155</v>
      </c>
      <c r="AK22" s="446">
        <v>46155</v>
      </c>
      <c r="AL22" s="446">
        <v>46155</v>
      </c>
      <c r="AM22" s="446">
        <v>46156</v>
      </c>
      <c r="AN22" s="446">
        <v>46156</v>
      </c>
      <c r="AO22" s="345"/>
      <c r="AP22" s="345"/>
      <c r="AQ22" s="345"/>
      <c r="AR22" s="446" t="s">
        <v>1301</v>
      </c>
    </row>
    <row r="23" spans="1:44" ht="25.5" customHeight="1">
      <c r="A23" s="487">
        <v>46107</v>
      </c>
      <c r="B23" s="445" t="s">
        <v>2852</v>
      </c>
      <c r="C23" s="437" t="s">
        <v>2851</v>
      </c>
      <c r="D23" s="361" t="s">
        <v>3044</v>
      </c>
      <c r="E23" s="736"/>
      <c r="F23" s="396" t="s">
        <v>52</v>
      </c>
      <c r="G23" s="401">
        <v>100</v>
      </c>
      <c r="H23" s="497" t="s">
        <v>2850</v>
      </c>
      <c r="I23" s="393" t="s">
        <v>2429</v>
      </c>
      <c r="J23" s="393" t="s">
        <v>2849</v>
      </c>
      <c r="K23" s="392" t="s">
        <v>63</v>
      </c>
      <c r="L23" s="363" t="s">
        <v>2520</v>
      </c>
      <c r="M23" s="383">
        <v>46161</v>
      </c>
      <c r="N23" s="733"/>
      <c r="O23" s="369" t="s">
        <v>2567</v>
      </c>
      <c r="P23" s="810">
        <v>42667</v>
      </c>
      <c r="Q23" s="490">
        <v>46114</v>
      </c>
      <c r="R23" s="407" t="s">
        <v>45</v>
      </c>
      <c r="S23" s="368">
        <v>60</v>
      </c>
      <c r="T23" s="368">
        <v>50</v>
      </c>
      <c r="U23" s="368">
        <v>30</v>
      </c>
      <c r="V23" s="368">
        <v>10</v>
      </c>
      <c r="W23" s="347">
        <f>G23/V23</f>
        <v>10</v>
      </c>
      <c r="X23" s="386">
        <f>11.5*W23</f>
        <v>115</v>
      </c>
      <c r="Y23" s="408">
        <f>ROUND((S23*T23*U23)*0.000001*W23,2)</f>
        <v>0.9</v>
      </c>
      <c r="Z23" s="376">
        <v>13.62</v>
      </c>
      <c r="AA23" s="360">
        <f>Z23*G23</f>
        <v>1362</v>
      </c>
      <c r="AB23" s="346" t="s">
        <v>46</v>
      </c>
      <c r="AC23" s="355" t="s">
        <v>46</v>
      </c>
      <c r="AD23" s="327"/>
      <c r="AE23" s="490">
        <v>46114</v>
      </c>
      <c r="AF23" s="446">
        <v>46120</v>
      </c>
      <c r="AG23" s="345"/>
      <c r="AH23" s="446">
        <v>46128</v>
      </c>
      <c r="AI23" s="345"/>
      <c r="AJ23" s="446">
        <v>46139</v>
      </c>
      <c r="AK23" s="446">
        <v>46139</v>
      </c>
      <c r="AL23" s="446">
        <v>46140</v>
      </c>
      <c r="AM23" s="446">
        <v>46160</v>
      </c>
      <c r="AN23" s="345"/>
      <c r="AO23" s="345"/>
      <c r="AP23" s="345"/>
      <c r="AQ23" s="345"/>
      <c r="AR23" s="446" t="s">
        <v>2326</v>
      </c>
    </row>
    <row r="24" spans="1:44" ht="27" customHeight="1">
      <c r="A24" s="487">
        <v>46105</v>
      </c>
      <c r="B24" s="445" t="s">
        <v>2770</v>
      </c>
      <c r="C24" s="437" t="s">
        <v>2769</v>
      </c>
      <c r="D24" s="361" t="s">
        <v>2892</v>
      </c>
      <c r="E24" s="736"/>
      <c r="F24" s="396" t="s">
        <v>52</v>
      </c>
      <c r="G24" s="401">
        <v>500</v>
      </c>
      <c r="H24" s="363" t="s">
        <v>2768</v>
      </c>
      <c r="I24" s="392" t="s">
        <v>2767</v>
      </c>
      <c r="J24" s="363" t="s">
        <v>49</v>
      </c>
      <c r="K24" s="392" t="s">
        <v>1274</v>
      </c>
      <c r="L24" s="392" t="s">
        <v>1678</v>
      </c>
      <c r="M24" s="383">
        <v>46161</v>
      </c>
      <c r="N24" s="328"/>
      <c r="O24" s="382"/>
      <c r="P24" s="374"/>
      <c r="Q24" s="345"/>
      <c r="R24" s="395" t="s">
        <v>49</v>
      </c>
      <c r="S24" s="500">
        <v>76</v>
      </c>
      <c r="T24" s="500">
        <v>44</v>
      </c>
      <c r="U24" s="500">
        <v>22</v>
      </c>
      <c r="V24" s="500">
        <v>10</v>
      </c>
      <c r="W24" s="757">
        <f>ROUND(G24/V24,2)</f>
        <v>50</v>
      </c>
      <c r="X24" s="757">
        <f>32*W24</f>
        <v>1600</v>
      </c>
      <c r="Y24" s="420">
        <f>ROUND((S24*T24*U24)*0.000001*W24,2)</f>
        <v>3.68</v>
      </c>
      <c r="Z24" s="376">
        <v>7.69</v>
      </c>
      <c r="AA24" s="410">
        <f t="shared" si="3"/>
        <v>3845</v>
      </c>
      <c r="AB24" s="346" t="s">
        <v>46</v>
      </c>
      <c r="AD24" s="327"/>
      <c r="AE24" s="345"/>
      <c r="AF24" s="345"/>
      <c r="AG24" s="345"/>
      <c r="AH24" s="345"/>
      <c r="AI24" s="345"/>
      <c r="AJ24" s="345"/>
      <c r="AK24" s="345"/>
      <c r="AL24" s="345"/>
      <c r="AM24" s="345"/>
      <c r="AN24" s="345"/>
      <c r="AO24" s="345"/>
      <c r="AP24" s="345"/>
      <c r="AQ24" s="345"/>
      <c r="AR24" s="663" t="s">
        <v>1301</v>
      </c>
    </row>
    <row r="25" spans="1:44" ht="30" customHeight="1">
      <c r="A25" s="487">
        <v>46146</v>
      </c>
      <c r="B25" s="445" t="s">
        <v>3255</v>
      </c>
      <c r="C25" s="437" t="s">
        <v>3264</v>
      </c>
      <c r="D25" s="361"/>
      <c r="E25" s="488"/>
      <c r="F25" s="396" t="s">
        <v>52</v>
      </c>
      <c r="G25" s="401">
        <v>100</v>
      </c>
      <c r="H25" s="391" t="s">
        <v>3263</v>
      </c>
      <c r="I25" s="402" t="s">
        <v>3262</v>
      </c>
      <c r="J25" s="363" t="s">
        <v>52</v>
      </c>
      <c r="K25" s="437" t="s">
        <v>75</v>
      </c>
      <c r="L25" s="446" t="s">
        <v>3290</v>
      </c>
      <c r="M25" s="383">
        <v>46161</v>
      </c>
      <c r="N25" s="505"/>
      <c r="O25" s="955"/>
      <c r="P25" s="803"/>
      <c r="Q25" s="425" t="s">
        <v>1678</v>
      </c>
      <c r="R25" s="365" t="s">
        <v>1678</v>
      </c>
      <c r="S25" s="954"/>
      <c r="T25" s="954"/>
      <c r="U25" s="954"/>
      <c r="V25" s="954"/>
      <c r="W25" s="803"/>
      <c r="X25" s="803"/>
      <c r="Y25" s="953"/>
      <c r="Z25" s="952">
        <v>3.2</v>
      </c>
      <c r="AA25" s="932">
        <f t="shared" si="3"/>
        <v>320</v>
      </c>
      <c r="AB25" s="346" t="s">
        <v>46</v>
      </c>
      <c r="AC25" s="355"/>
      <c r="AD25" s="327"/>
      <c r="AE25" s="345"/>
      <c r="AF25" s="345"/>
      <c r="AG25" s="345"/>
      <c r="AH25" s="345"/>
      <c r="AI25" s="345"/>
      <c r="AJ25" s="345"/>
      <c r="AK25" s="345"/>
      <c r="AL25" s="345"/>
      <c r="AM25" s="345"/>
      <c r="AN25" s="345"/>
      <c r="AO25" s="345"/>
      <c r="AP25" s="345"/>
      <c r="AQ25" s="345"/>
      <c r="AR25" s="663" t="s">
        <v>1301</v>
      </c>
    </row>
    <row r="26" spans="1:44" ht="30" customHeight="1">
      <c r="A26" s="487">
        <v>46146</v>
      </c>
      <c r="B26" s="445" t="s">
        <v>3255</v>
      </c>
      <c r="C26" s="437" t="s">
        <v>3261</v>
      </c>
      <c r="D26" s="361"/>
      <c r="E26" s="488"/>
      <c r="F26" s="396" t="s">
        <v>52</v>
      </c>
      <c r="G26" s="401">
        <v>100</v>
      </c>
      <c r="H26" s="401" t="s">
        <v>3260</v>
      </c>
      <c r="I26" s="543" t="s">
        <v>3259</v>
      </c>
      <c r="J26" s="363" t="s">
        <v>52</v>
      </c>
      <c r="K26" s="437" t="s">
        <v>75</v>
      </c>
      <c r="L26" s="446" t="s">
        <v>3290</v>
      </c>
      <c r="M26" s="383">
        <v>46161</v>
      </c>
      <c r="N26" s="505"/>
      <c r="O26" s="356"/>
      <c r="P26" s="365"/>
      <c r="Q26" s="425" t="s">
        <v>1678</v>
      </c>
      <c r="R26" s="365" t="s">
        <v>1678</v>
      </c>
      <c r="S26" s="954"/>
      <c r="T26" s="954"/>
      <c r="U26" s="954"/>
      <c r="V26" s="954"/>
      <c r="W26" s="327"/>
      <c r="X26" s="349"/>
      <c r="Y26" s="355"/>
      <c r="Z26" s="952">
        <v>3.2</v>
      </c>
      <c r="AA26" s="932">
        <f t="shared" si="3"/>
        <v>320</v>
      </c>
      <c r="AB26" s="346" t="s">
        <v>46</v>
      </c>
      <c r="AC26" s="355"/>
      <c r="AD26" s="327"/>
      <c r="AE26" s="345"/>
      <c r="AF26" s="345"/>
      <c r="AG26" s="345"/>
      <c r="AH26" s="345"/>
      <c r="AI26" s="345"/>
      <c r="AJ26" s="345"/>
      <c r="AK26" s="345"/>
      <c r="AL26" s="345"/>
      <c r="AM26" s="345"/>
      <c r="AN26" s="345"/>
      <c r="AO26" s="345"/>
      <c r="AP26" s="345"/>
      <c r="AQ26" s="345"/>
      <c r="AR26" s="663" t="s">
        <v>1301</v>
      </c>
    </row>
    <row r="27" spans="1:44" ht="30" customHeight="1">
      <c r="A27" s="487">
        <v>46146</v>
      </c>
      <c r="B27" s="445" t="s">
        <v>3255</v>
      </c>
      <c r="C27" s="437" t="s">
        <v>3258</v>
      </c>
      <c r="D27" s="361"/>
      <c r="E27" s="488"/>
      <c r="F27" s="396" t="s">
        <v>52</v>
      </c>
      <c r="G27" s="401">
        <v>100</v>
      </c>
      <c r="H27" s="391" t="s">
        <v>3257</v>
      </c>
      <c r="I27" s="402" t="s">
        <v>3256</v>
      </c>
      <c r="J27" s="363" t="s">
        <v>52</v>
      </c>
      <c r="K27" s="437" t="s">
        <v>75</v>
      </c>
      <c r="L27" s="446" t="s">
        <v>3290</v>
      </c>
      <c r="M27" s="383">
        <v>46161</v>
      </c>
      <c r="N27" s="505"/>
      <c r="O27" s="955"/>
      <c r="P27" s="803"/>
      <c r="Q27" s="425" t="s">
        <v>1678</v>
      </c>
      <c r="R27" s="365" t="s">
        <v>1678</v>
      </c>
      <c r="S27" s="954"/>
      <c r="T27" s="954"/>
      <c r="U27" s="954"/>
      <c r="V27" s="954"/>
      <c r="W27" s="803"/>
      <c r="X27" s="803"/>
      <c r="Y27" s="953"/>
      <c r="Z27" s="952">
        <v>1.45</v>
      </c>
      <c r="AA27" s="932">
        <f t="shared" si="3"/>
        <v>145</v>
      </c>
      <c r="AB27" s="346" t="s">
        <v>46</v>
      </c>
      <c r="AC27" s="355"/>
      <c r="AD27" s="327"/>
      <c r="AE27" s="345"/>
      <c r="AF27" s="345"/>
      <c r="AG27" s="345"/>
      <c r="AH27" s="345"/>
      <c r="AI27" s="345"/>
      <c r="AJ27" s="345"/>
      <c r="AK27" s="345"/>
      <c r="AL27" s="345"/>
      <c r="AM27" s="345"/>
      <c r="AN27" s="345"/>
      <c r="AO27" s="345"/>
      <c r="AP27" s="345"/>
      <c r="AQ27" s="345"/>
      <c r="AR27" s="663" t="s">
        <v>1301</v>
      </c>
    </row>
    <row r="28" spans="1:44" ht="30" customHeight="1">
      <c r="A28" s="487">
        <v>46146</v>
      </c>
      <c r="B28" s="445" t="s">
        <v>3255</v>
      </c>
      <c r="C28" s="437" t="s">
        <v>3254</v>
      </c>
      <c r="D28" s="361"/>
      <c r="E28" s="488"/>
      <c r="F28" s="396" t="s">
        <v>52</v>
      </c>
      <c r="G28" s="401">
        <v>50</v>
      </c>
      <c r="H28" s="363" t="s">
        <v>3253</v>
      </c>
      <c r="I28" s="384" t="s">
        <v>3252</v>
      </c>
      <c r="J28" s="363" t="s">
        <v>52</v>
      </c>
      <c r="K28" s="402" t="s">
        <v>75</v>
      </c>
      <c r="L28" s="446" t="s">
        <v>3290</v>
      </c>
      <c r="M28" s="383">
        <v>46161</v>
      </c>
      <c r="N28" s="505"/>
      <c r="O28" s="955"/>
      <c r="P28" s="803"/>
      <c r="Q28" s="425" t="s">
        <v>1678</v>
      </c>
      <c r="R28" s="365" t="s">
        <v>1678</v>
      </c>
      <c r="S28" s="954"/>
      <c r="T28" s="954"/>
      <c r="U28" s="954"/>
      <c r="V28" s="954"/>
      <c r="W28" s="803"/>
      <c r="X28" s="803"/>
      <c r="Y28" s="953"/>
      <c r="Z28" s="952">
        <v>1.17</v>
      </c>
      <c r="AA28" s="804">
        <f t="shared" si="3"/>
        <v>58.5</v>
      </c>
      <c r="AB28" s="372" t="s">
        <v>46</v>
      </c>
      <c r="AC28" s="355"/>
      <c r="AD28" s="327"/>
      <c r="AE28" s="345"/>
      <c r="AF28" s="345"/>
      <c r="AG28" s="345"/>
      <c r="AH28" s="345"/>
      <c r="AI28" s="345"/>
      <c r="AJ28" s="345"/>
      <c r="AK28" s="345"/>
      <c r="AL28" s="345"/>
      <c r="AM28" s="345"/>
      <c r="AN28" s="345"/>
      <c r="AO28" s="345"/>
      <c r="AP28" s="345"/>
      <c r="AQ28" s="345"/>
      <c r="AR28" s="663" t="s">
        <v>1301</v>
      </c>
    </row>
    <row r="29" spans="1:44" ht="27" customHeight="1">
      <c r="A29" s="330"/>
      <c r="B29" s="331"/>
      <c r="C29" s="332"/>
      <c r="D29" s="333"/>
      <c r="E29" s="334"/>
      <c r="F29" s="334"/>
      <c r="G29" s="335">
        <f>SUM(G14:G28)</f>
        <v>2310</v>
      </c>
      <c r="H29" s="334"/>
      <c r="I29" s="334"/>
      <c r="J29" s="334"/>
      <c r="K29" s="334"/>
      <c r="L29" s="336"/>
      <c r="M29" s="332"/>
      <c r="N29" s="332"/>
      <c r="O29" s="337"/>
      <c r="P29" s="338"/>
      <c r="Q29" s="332"/>
      <c r="R29" s="339"/>
      <c r="S29" s="340"/>
      <c r="T29" s="340"/>
      <c r="U29" s="340"/>
      <c r="V29" s="340"/>
      <c r="W29" s="341"/>
      <c r="X29" s="342"/>
      <c r="Y29" s="343">
        <f>SUM(Y14:Y28)</f>
        <v>59.74</v>
      </c>
      <c r="Z29" s="342"/>
      <c r="AA29" s="344"/>
      <c r="AB29" s="332"/>
      <c r="AC29" s="332"/>
      <c r="AD29" s="339"/>
      <c r="AE29" s="337"/>
      <c r="AF29" s="338"/>
      <c r="AG29" s="337"/>
      <c r="AH29" s="338"/>
      <c r="AI29" s="337"/>
      <c r="AJ29" s="338"/>
      <c r="AK29" s="338"/>
      <c r="AL29" s="338"/>
      <c r="AM29" s="338"/>
      <c r="AN29" s="338"/>
      <c r="AO29" s="338"/>
      <c r="AP29" s="338"/>
      <c r="AQ29" s="338"/>
      <c r="AR29" s="338"/>
    </row>
    <row r="30" spans="1:44" ht="28.5" customHeight="1">
      <c r="A30" s="351" t="s">
        <v>3399</v>
      </c>
      <c r="B30" s="331"/>
      <c r="C30" s="332"/>
      <c r="D30" s="333"/>
      <c r="E30" s="334"/>
      <c r="F30" s="334" t="s">
        <v>2332</v>
      </c>
      <c r="G30" s="334"/>
      <c r="H30" s="341"/>
      <c r="I30" s="334"/>
      <c r="J30" s="334"/>
      <c r="K30" s="334"/>
      <c r="L30" s="336"/>
      <c r="M30" s="332"/>
      <c r="N30" s="332"/>
      <c r="O30" s="337"/>
      <c r="P30" s="338"/>
      <c r="Q30" s="337"/>
      <c r="R30" s="339"/>
      <c r="S30" s="340"/>
      <c r="T30" s="340"/>
      <c r="U30" s="340"/>
      <c r="V30" s="340"/>
      <c r="W30" s="341"/>
      <c r="X30" s="342"/>
      <c r="Y30" s="350" t="s">
        <v>51</v>
      </c>
      <c r="Z30" s="342"/>
      <c r="AA30" s="344"/>
      <c r="AB30" s="332"/>
      <c r="AC30" s="332"/>
      <c r="AD30" s="339"/>
      <c r="AE30" s="337"/>
      <c r="AF30" s="338"/>
      <c r="AG30" s="337"/>
      <c r="AH30" s="338"/>
      <c r="AI30" s="337"/>
      <c r="AJ30" s="338"/>
      <c r="AK30" s="338"/>
      <c r="AL30" s="338"/>
      <c r="AM30" s="338"/>
      <c r="AN30" s="338"/>
      <c r="AO30" s="338"/>
      <c r="AP30" s="338"/>
      <c r="AQ30" s="338"/>
      <c r="AR30" s="338"/>
    </row>
    <row r="31" spans="1:44" customFormat="1" ht="27" customHeight="1">
      <c r="A31" s="383">
        <v>45750</v>
      </c>
      <c r="B31" s="363" t="s">
        <v>2133</v>
      </c>
      <c r="C31" s="437" t="s">
        <v>2073</v>
      </c>
      <c r="D31" s="354" t="s">
        <v>2200</v>
      </c>
      <c r="E31" s="525" t="s">
        <v>2215</v>
      </c>
      <c r="F31" s="384" t="s">
        <v>1751</v>
      </c>
      <c r="G31" s="396">
        <v>60</v>
      </c>
      <c r="H31" s="684" t="s">
        <v>2072</v>
      </c>
      <c r="I31" s="626" t="s">
        <v>2071</v>
      </c>
      <c r="J31" s="626" t="s">
        <v>2069</v>
      </c>
      <c r="K31" s="626" t="s">
        <v>1961</v>
      </c>
      <c r="L31" s="486" t="s">
        <v>2165</v>
      </c>
      <c r="M31" s="416">
        <v>46162</v>
      </c>
      <c r="N31" s="103" t="s">
        <v>1273</v>
      </c>
      <c r="O31" s="486" t="s">
        <v>2187</v>
      </c>
      <c r="P31" s="643">
        <v>45728</v>
      </c>
      <c r="Q31" s="425">
        <v>45832</v>
      </c>
      <c r="R31" s="327" t="s">
        <v>2147</v>
      </c>
      <c r="S31" s="327">
        <v>50</v>
      </c>
      <c r="T31" s="327">
        <v>65</v>
      </c>
      <c r="U31" s="327">
        <v>40</v>
      </c>
      <c r="V31" s="327">
        <v>10</v>
      </c>
      <c r="W31" s="364">
        <f>ROUND(G31/V31,2)</f>
        <v>6</v>
      </c>
      <c r="X31" s="347">
        <f>(1.5*V31+1.5)*W31</f>
        <v>99</v>
      </c>
      <c r="Y31" s="355">
        <f>ROUND((S31*T31*U31)*0.000001*W31,2)</f>
        <v>0.78</v>
      </c>
      <c r="Z31" s="347">
        <v>17.12</v>
      </c>
      <c r="AA31" s="541">
        <f>Z31*G31</f>
        <v>1027.2</v>
      </c>
      <c r="AB31" s="355" t="s">
        <v>46</v>
      </c>
      <c r="AC31" s="361"/>
      <c r="AD31" s="625"/>
      <c r="AE31" s="425">
        <v>45832</v>
      </c>
      <c r="AF31" s="425">
        <v>45833</v>
      </c>
      <c r="AG31" s="345"/>
      <c r="AH31" s="446">
        <v>45836</v>
      </c>
      <c r="AI31" s="329"/>
      <c r="AJ31" s="446">
        <v>45887</v>
      </c>
      <c r="AK31" s="446">
        <v>45887</v>
      </c>
      <c r="AL31" s="446">
        <v>45888</v>
      </c>
      <c r="AM31" s="446">
        <v>45890</v>
      </c>
      <c r="AN31" s="405"/>
      <c r="AO31" s="405"/>
      <c r="AP31" s="405"/>
      <c r="AQ31" s="405"/>
      <c r="AR31" s="489" t="s">
        <v>1301</v>
      </c>
    </row>
    <row r="32" spans="1:44" customFormat="1" ht="27" customHeight="1">
      <c r="A32" s="383">
        <v>45750</v>
      </c>
      <c r="B32" s="363" t="s">
        <v>2133</v>
      </c>
      <c r="C32" s="437" t="s">
        <v>2073</v>
      </c>
      <c r="D32" s="354" t="s">
        <v>2200</v>
      </c>
      <c r="E32" s="525" t="s">
        <v>2215</v>
      </c>
      <c r="F32" s="384" t="s">
        <v>1751</v>
      </c>
      <c r="G32" s="396">
        <v>8</v>
      </c>
      <c r="H32" s="684" t="s">
        <v>2072</v>
      </c>
      <c r="I32" s="626" t="s">
        <v>2071</v>
      </c>
      <c r="J32" s="626" t="s">
        <v>2069</v>
      </c>
      <c r="K32" s="626" t="s">
        <v>1961</v>
      </c>
      <c r="L32" s="486" t="s">
        <v>2165</v>
      </c>
      <c r="M32" s="416">
        <v>46162</v>
      </c>
      <c r="N32" s="374"/>
      <c r="O32" s="486" t="s">
        <v>2187</v>
      </c>
      <c r="P32" s="643">
        <v>45728</v>
      </c>
      <c r="Q32" s="425">
        <v>45832</v>
      </c>
      <c r="R32" s="327" t="s">
        <v>2147</v>
      </c>
      <c r="S32" s="327">
        <v>50</v>
      </c>
      <c r="T32" s="327">
        <v>65</v>
      </c>
      <c r="U32" s="327">
        <v>40</v>
      </c>
      <c r="V32" s="327">
        <v>8</v>
      </c>
      <c r="W32" s="364">
        <f>ROUND(G32/V32,2)</f>
        <v>1</v>
      </c>
      <c r="X32" s="347">
        <f>(1.5*V32+1.5)*W32</f>
        <v>13.5</v>
      </c>
      <c r="Y32" s="355">
        <f>ROUND((S32*T32*U32)*0.000001*W32,2)</f>
        <v>0.13</v>
      </c>
      <c r="Z32" s="347">
        <v>17.12</v>
      </c>
      <c r="AA32" s="541">
        <f>Z32*G32</f>
        <v>136.96</v>
      </c>
      <c r="AB32" s="355" t="s">
        <v>46</v>
      </c>
      <c r="AC32" s="361"/>
      <c r="AD32" s="625"/>
      <c r="AE32" s="425">
        <v>45832</v>
      </c>
      <c r="AF32" s="425">
        <v>45833</v>
      </c>
      <c r="AG32" s="345"/>
      <c r="AH32" s="446">
        <v>45836</v>
      </c>
      <c r="AI32" s="329"/>
      <c r="AJ32" s="446">
        <v>45887</v>
      </c>
      <c r="AK32" s="446">
        <v>45887</v>
      </c>
      <c r="AL32" s="446">
        <v>45888</v>
      </c>
      <c r="AM32" s="446">
        <v>45897</v>
      </c>
      <c r="AN32" s="405"/>
      <c r="AO32" s="405"/>
      <c r="AP32" s="405"/>
      <c r="AQ32" s="405"/>
      <c r="AR32" s="489" t="s">
        <v>1301</v>
      </c>
    </row>
    <row r="33" spans="1:44" customFormat="1" ht="27" customHeight="1">
      <c r="A33" s="383">
        <v>45750</v>
      </c>
      <c r="B33" s="363" t="s">
        <v>2133</v>
      </c>
      <c r="C33" s="437" t="s">
        <v>2074</v>
      </c>
      <c r="D33" s="354" t="s">
        <v>2200</v>
      </c>
      <c r="E33" s="353"/>
      <c r="F33" s="384" t="s">
        <v>1751</v>
      </c>
      <c r="G33" s="396">
        <v>20</v>
      </c>
      <c r="H33" s="684" t="s">
        <v>2070</v>
      </c>
      <c r="I33" s="626" t="s">
        <v>95</v>
      </c>
      <c r="J33" s="626" t="s">
        <v>2069</v>
      </c>
      <c r="K33" s="626" t="s">
        <v>1961</v>
      </c>
      <c r="L33" s="486" t="s">
        <v>2165</v>
      </c>
      <c r="M33" s="416">
        <v>46162</v>
      </c>
      <c r="N33" s="374"/>
      <c r="O33" s="486" t="s">
        <v>2187</v>
      </c>
      <c r="P33" s="643">
        <v>45728</v>
      </c>
      <c r="Q33" s="425">
        <v>45833</v>
      </c>
      <c r="R33" s="327" t="s">
        <v>2147</v>
      </c>
      <c r="S33" s="327">
        <v>55</v>
      </c>
      <c r="T33" s="327">
        <v>70</v>
      </c>
      <c r="U33" s="327">
        <v>40</v>
      </c>
      <c r="V33" s="327">
        <v>10</v>
      </c>
      <c r="W33" s="364">
        <f>ROUND(G33/V33,2)</f>
        <v>2</v>
      </c>
      <c r="X33" s="347">
        <f>(1.5*V33+1.5)*W33</f>
        <v>33</v>
      </c>
      <c r="Y33" s="355">
        <f>ROUND((S33*T33*U33)*0.000001*W33,2)</f>
        <v>0.31</v>
      </c>
      <c r="Z33" s="347">
        <v>15.5</v>
      </c>
      <c r="AA33" s="541">
        <f>Z33*G33</f>
        <v>310</v>
      </c>
      <c r="AB33" s="355" t="s">
        <v>46</v>
      </c>
      <c r="AC33" s="361"/>
      <c r="AD33" s="625"/>
      <c r="AE33" s="425">
        <v>45833</v>
      </c>
      <c r="AF33" s="425">
        <v>45833</v>
      </c>
      <c r="AG33" s="345"/>
      <c r="AH33" s="446">
        <v>45836</v>
      </c>
      <c r="AI33" s="329"/>
      <c r="AJ33" s="446">
        <v>45883</v>
      </c>
      <c r="AK33" s="446">
        <v>45883</v>
      </c>
      <c r="AL33" s="446">
        <v>45883</v>
      </c>
      <c r="AM33" s="446">
        <v>45883</v>
      </c>
      <c r="AN33" s="405"/>
      <c r="AO33" s="405"/>
      <c r="AP33" s="405"/>
      <c r="AQ33" s="405"/>
      <c r="AR33" s="489" t="s">
        <v>1301</v>
      </c>
    </row>
    <row r="34" spans="1:44" ht="25.5" customHeight="1">
      <c r="A34" s="330"/>
      <c r="B34" s="331"/>
      <c r="C34" s="332"/>
      <c r="D34" s="333"/>
      <c r="E34" s="334"/>
      <c r="F34" s="334"/>
      <c r="G34" s="335">
        <f>SUM(G31:G33)</f>
        <v>88</v>
      </c>
      <c r="H34" s="334"/>
      <c r="I34" s="334"/>
      <c r="J34" s="334"/>
      <c r="K34" s="334"/>
      <c r="L34" s="336"/>
      <c r="M34" s="332"/>
      <c r="N34" s="332"/>
      <c r="O34" s="337"/>
      <c r="P34" s="338"/>
      <c r="Q34" s="337"/>
      <c r="R34" s="339"/>
      <c r="S34" s="340"/>
      <c r="T34" s="340"/>
      <c r="U34" s="340"/>
      <c r="V34" s="340"/>
      <c r="W34" s="341"/>
      <c r="X34" s="342"/>
      <c r="Y34" s="343">
        <f>SUM(Y31:Y33)</f>
        <v>1.22</v>
      </c>
      <c r="Z34" s="342"/>
      <c r="AA34" s="344"/>
      <c r="AB34" s="332"/>
      <c r="AC34" s="332"/>
      <c r="AD34" s="339"/>
      <c r="AE34" s="337"/>
      <c r="AF34" s="338"/>
      <c r="AG34" s="337"/>
      <c r="AH34" s="338"/>
      <c r="AI34" s="337"/>
      <c r="AJ34" s="338"/>
      <c r="AK34" s="338"/>
      <c r="AL34" s="338"/>
      <c r="AM34" s="338"/>
      <c r="AN34" s="338"/>
      <c r="AO34" s="338"/>
      <c r="AP34" s="338"/>
      <c r="AQ34" s="338"/>
      <c r="AR34" s="338"/>
    </row>
    <row r="35" spans="1:44" ht="27.75" customHeight="1">
      <c r="A35" s="351" t="s">
        <v>3338</v>
      </c>
      <c r="B35" s="331"/>
      <c r="C35" s="332"/>
      <c r="D35" s="333"/>
      <c r="E35" s="334"/>
      <c r="F35" s="334"/>
      <c r="G35" s="524"/>
      <c r="H35" s="341"/>
      <c r="I35" s="334"/>
      <c r="J35" s="334"/>
      <c r="K35" s="334"/>
      <c r="L35" s="336"/>
      <c r="M35" s="332"/>
      <c r="N35" s="332"/>
      <c r="O35" s="337"/>
      <c r="P35" s="338"/>
      <c r="Q35" s="337"/>
      <c r="R35" s="339"/>
      <c r="S35" s="340"/>
      <c r="T35" s="340"/>
      <c r="U35" s="340"/>
      <c r="V35" s="340"/>
      <c r="W35" s="341"/>
      <c r="X35" s="342"/>
      <c r="Y35" s="350"/>
      <c r="Z35" s="342"/>
      <c r="AA35" s="344"/>
      <c r="AB35" s="332"/>
      <c r="AC35" s="332"/>
      <c r="AD35" s="339"/>
      <c r="AE35" s="337"/>
      <c r="AF35" s="338"/>
      <c r="AG35" s="337"/>
      <c r="AH35" s="338"/>
      <c r="AI35" s="337"/>
      <c r="AJ35" s="338"/>
      <c r="AK35" s="338"/>
      <c r="AL35" s="338"/>
      <c r="AM35" s="338"/>
      <c r="AN35" s="338"/>
      <c r="AO35" s="338"/>
      <c r="AP35" s="338"/>
      <c r="AQ35" s="338"/>
      <c r="AR35" s="338"/>
    </row>
    <row r="36" spans="1:44" ht="30" customHeight="1">
      <c r="A36" s="487">
        <v>46100</v>
      </c>
      <c r="B36" s="445" t="s">
        <v>2585</v>
      </c>
      <c r="C36" s="437" t="s">
        <v>2534</v>
      </c>
      <c r="D36" s="361" t="s">
        <v>2887</v>
      </c>
      <c r="E36" s="525" t="s">
        <v>2526</v>
      </c>
      <c r="F36" s="396" t="s">
        <v>52</v>
      </c>
      <c r="G36" s="396">
        <v>100</v>
      </c>
      <c r="H36" s="393" t="s">
        <v>1270</v>
      </c>
      <c r="I36" s="404" t="s">
        <v>2233</v>
      </c>
      <c r="J36" s="404" t="s">
        <v>49</v>
      </c>
      <c r="K36" s="404" t="s">
        <v>63</v>
      </c>
      <c r="L36" s="392" t="s">
        <v>64</v>
      </c>
      <c r="M36" s="328">
        <v>46167</v>
      </c>
      <c r="N36" s="665" t="s">
        <v>3242</v>
      </c>
      <c r="O36" s="369" t="s">
        <v>1386</v>
      </c>
      <c r="P36" s="395">
        <v>45320</v>
      </c>
      <c r="Q36" s="425">
        <v>46122</v>
      </c>
      <c r="R36" s="390" t="s">
        <v>59</v>
      </c>
      <c r="S36" s="683">
        <v>134</v>
      </c>
      <c r="T36" s="683">
        <v>102</v>
      </c>
      <c r="U36" s="683">
        <v>20</v>
      </c>
      <c r="V36" s="389">
        <v>1</v>
      </c>
      <c r="W36" s="347">
        <f>ROUND(G36/V36,2)</f>
        <v>100</v>
      </c>
      <c r="X36" s="682">
        <f>50*W36</f>
        <v>5000</v>
      </c>
      <c r="Y36" s="414">
        <f>ROUND((S36*T36*U36)*0.000001*W36,2)</f>
        <v>27.34</v>
      </c>
      <c r="Z36" s="761">
        <v>305.75</v>
      </c>
      <c r="AA36" s="360">
        <f>Z36*G36</f>
        <v>30575</v>
      </c>
      <c r="AB36" s="355" t="s">
        <v>46</v>
      </c>
      <c r="AC36" s="355"/>
      <c r="AD36" s="327"/>
      <c r="AE36" s="425">
        <v>46122</v>
      </c>
      <c r="AF36" s="446">
        <v>46129</v>
      </c>
      <c r="AG36" s="345"/>
      <c r="AH36" s="345"/>
      <c r="AI36" s="345"/>
      <c r="AJ36" s="446">
        <v>46157</v>
      </c>
      <c r="AK36" s="446">
        <v>46157</v>
      </c>
      <c r="AL36" s="446">
        <v>46158</v>
      </c>
      <c r="AM36" s="375"/>
      <c r="AN36" s="375"/>
      <c r="AO36" s="345"/>
      <c r="AP36" s="446">
        <v>46160</v>
      </c>
      <c r="AQ36" s="446" t="s">
        <v>2075</v>
      </c>
      <c r="AR36" s="663" t="s">
        <v>1301</v>
      </c>
    </row>
    <row r="37" spans="1:44" ht="30" customHeight="1">
      <c r="A37" s="487">
        <v>46100</v>
      </c>
      <c r="B37" s="445" t="s">
        <v>2585</v>
      </c>
      <c r="C37" s="437" t="s">
        <v>2532</v>
      </c>
      <c r="D37" s="361" t="s">
        <v>2898</v>
      </c>
      <c r="E37" s="525" t="s">
        <v>2526</v>
      </c>
      <c r="F37" s="396" t="s">
        <v>52</v>
      </c>
      <c r="G37" s="396">
        <v>100</v>
      </c>
      <c r="H37" s="393" t="s">
        <v>1270</v>
      </c>
      <c r="I37" s="404" t="s">
        <v>2233</v>
      </c>
      <c r="J37" s="404" t="s">
        <v>49</v>
      </c>
      <c r="K37" s="404" t="s">
        <v>63</v>
      </c>
      <c r="L37" s="392" t="s">
        <v>64</v>
      </c>
      <c r="M37" s="328">
        <v>46167</v>
      </c>
      <c r="N37" s="328"/>
      <c r="O37" s="369" t="s">
        <v>1386</v>
      </c>
      <c r="P37" s="395">
        <v>45320</v>
      </c>
      <c r="Q37" s="425">
        <v>46128</v>
      </c>
      <c r="R37" s="390" t="s">
        <v>59</v>
      </c>
      <c r="S37" s="683">
        <v>134</v>
      </c>
      <c r="T37" s="683">
        <v>102</v>
      </c>
      <c r="U37" s="683">
        <v>20</v>
      </c>
      <c r="V37" s="389">
        <v>1</v>
      </c>
      <c r="W37" s="347">
        <f>ROUND(G37/V37,2)</f>
        <v>100</v>
      </c>
      <c r="X37" s="682">
        <f>50*W37</f>
        <v>5000</v>
      </c>
      <c r="Y37" s="414">
        <f>ROUND((S37*T37*U37)*0.000001*W37,2)</f>
        <v>27.34</v>
      </c>
      <c r="Z37" s="761">
        <v>305.75</v>
      </c>
      <c r="AA37" s="360">
        <f>Z37*G37</f>
        <v>30575</v>
      </c>
      <c r="AB37" s="355" t="s">
        <v>46</v>
      </c>
      <c r="AC37" s="355"/>
      <c r="AD37" s="327"/>
      <c r="AE37" s="425">
        <v>46128</v>
      </c>
      <c r="AF37" s="446">
        <v>46129</v>
      </c>
      <c r="AG37" s="345"/>
      <c r="AH37" s="345"/>
      <c r="AI37" s="345"/>
      <c r="AJ37" s="720">
        <v>46165</v>
      </c>
      <c r="AK37" s="375"/>
      <c r="AL37" s="375"/>
      <c r="AM37" s="375"/>
      <c r="AN37" s="375"/>
      <c r="AO37" s="345"/>
      <c r="AP37" s="375"/>
      <c r="AQ37" s="446" t="s">
        <v>2075</v>
      </c>
      <c r="AR37" s="663" t="s">
        <v>1301</v>
      </c>
    </row>
    <row r="38" spans="1:44" ht="30" customHeight="1">
      <c r="A38" s="487">
        <v>46083</v>
      </c>
      <c r="B38" s="445" t="s">
        <v>2443</v>
      </c>
      <c r="C38" s="437" t="s">
        <v>2442</v>
      </c>
      <c r="D38" s="361" t="s">
        <v>2588</v>
      </c>
      <c r="E38" s="880" t="s">
        <v>3240</v>
      </c>
      <c r="F38" s="396" t="s">
        <v>52</v>
      </c>
      <c r="G38" s="486">
        <v>100</v>
      </c>
      <c r="H38" s="497" t="s">
        <v>2441</v>
      </c>
      <c r="I38" s="484" t="s">
        <v>2440</v>
      </c>
      <c r="J38" s="404" t="s">
        <v>49</v>
      </c>
      <c r="K38" s="387" t="s">
        <v>53</v>
      </c>
      <c r="L38" s="363" t="s">
        <v>2310</v>
      </c>
      <c r="M38" s="328">
        <v>46167</v>
      </c>
      <c r="N38" s="328"/>
      <c r="O38" s="382" t="s">
        <v>55</v>
      </c>
      <c r="P38" s="679">
        <v>43875</v>
      </c>
      <c r="Q38" s="425">
        <v>46097</v>
      </c>
      <c r="R38" s="395" t="s">
        <v>49</v>
      </c>
      <c r="S38" s="422">
        <v>78</v>
      </c>
      <c r="T38" s="422">
        <v>40</v>
      </c>
      <c r="U38" s="422">
        <v>20</v>
      </c>
      <c r="V38" s="549">
        <v>10</v>
      </c>
      <c r="W38" s="386">
        <f>ROUND(G38/V38,2)</f>
        <v>10</v>
      </c>
      <c r="X38" s="388">
        <f>18*W38</f>
        <v>180</v>
      </c>
      <c r="Y38" s="408">
        <f>ROUND((S38*T38*U38)*0.000001*W38,2)</f>
        <v>0.62</v>
      </c>
      <c r="Z38" s="627">
        <v>14.34</v>
      </c>
      <c r="AA38" s="360">
        <f>Z38*G38</f>
        <v>1434</v>
      </c>
      <c r="AB38" s="419" t="s">
        <v>46</v>
      </c>
      <c r="AC38" s="362"/>
      <c r="AD38" s="327"/>
      <c r="AE38" s="425">
        <v>46097</v>
      </c>
      <c r="AF38" s="425">
        <v>46097</v>
      </c>
      <c r="AG38" s="345"/>
      <c r="AH38" s="345"/>
      <c r="AI38" s="345"/>
      <c r="AJ38" s="446">
        <v>46149</v>
      </c>
      <c r="AK38" s="446">
        <v>46149</v>
      </c>
      <c r="AL38" s="446">
        <v>46151</v>
      </c>
      <c r="AM38" s="446">
        <v>46160</v>
      </c>
      <c r="AN38" s="345"/>
      <c r="AO38" s="345"/>
      <c r="AP38" s="345"/>
      <c r="AQ38" s="345"/>
      <c r="AR38" s="663" t="s">
        <v>1301</v>
      </c>
    </row>
    <row r="39" spans="1:44" ht="26.25" customHeight="1">
      <c r="A39" s="487">
        <v>46136</v>
      </c>
      <c r="B39" s="445" t="s">
        <v>3201</v>
      </c>
      <c r="C39" s="437" t="s">
        <v>3200</v>
      </c>
      <c r="D39" s="361" t="s">
        <v>3300</v>
      </c>
      <c r="E39" s="736" t="s">
        <v>3199</v>
      </c>
      <c r="F39" s="396" t="s">
        <v>52</v>
      </c>
      <c r="G39" s="488">
        <v>11</v>
      </c>
      <c r="H39" s="950" t="s">
        <v>3198</v>
      </c>
      <c r="I39" s="393" t="s">
        <v>79</v>
      </c>
      <c r="J39" s="392" t="s">
        <v>3197</v>
      </c>
      <c r="K39" s="392" t="s">
        <v>53</v>
      </c>
      <c r="L39" s="488" t="s">
        <v>60</v>
      </c>
      <c r="M39" s="328">
        <v>46167</v>
      </c>
      <c r="N39" s="505"/>
      <c r="O39" s="382" t="s">
        <v>3196</v>
      </c>
      <c r="P39" s="369">
        <v>42531</v>
      </c>
      <c r="Q39" s="446">
        <v>46155</v>
      </c>
      <c r="R39" s="327" t="s">
        <v>636</v>
      </c>
      <c r="S39" s="500">
        <v>52</v>
      </c>
      <c r="T39" s="421">
        <v>52</v>
      </c>
      <c r="U39" s="500">
        <v>60</v>
      </c>
      <c r="V39" s="371">
        <v>10</v>
      </c>
      <c r="W39" s="388">
        <f>ROUND(G39/V39,2)</f>
        <v>1.1000000000000001</v>
      </c>
      <c r="X39" s="366">
        <f>20.5*W39</f>
        <v>22.55</v>
      </c>
      <c r="Y39" s="408">
        <f>ROUND((S39*T39*U39)*0.000001*W39,2)</f>
        <v>0.18</v>
      </c>
      <c r="Z39" s="396">
        <v>19.97</v>
      </c>
      <c r="AA39" s="360">
        <f>Z39*G39</f>
        <v>219.67</v>
      </c>
      <c r="AB39" s="355" t="s">
        <v>46</v>
      </c>
      <c r="AC39" s="355" t="s">
        <v>46</v>
      </c>
      <c r="AD39" s="327"/>
      <c r="AE39" s="446">
        <v>46155</v>
      </c>
      <c r="AF39" s="446">
        <v>46155</v>
      </c>
      <c r="AG39" s="345"/>
      <c r="AH39" s="446">
        <v>46158</v>
      </c>
      <c r="AI39" s="345"/>
      <c r="AJ39" s="375"/>
      <c r="AK39" s="375"/>
      <c r="AL39" s="375"/>
      <c r="AM39" s="375"/>
      <c r="AN39" s="375"/>
      <c r="AO39" s="345"/>
      <c r="AP39" s="345"/>
      <c r="AQ39" s="345"/>
      <c r="AR39" s="446" t="s">
        <v>2326</v>
      </c>
    </row>
    <row r="40" spans="1:44" ht="27" customHeight="1">
      <c r="A40" s="330"/>
      <c r="B40" s="331"/>
      <c r="C40" s="332"/>
      <c r="D40" s="333"/>
      <c r="E40" s="334"/>
      <c r="F40" s="334"/>
      <c r="G40" s="335">
        <f>SUM(G36:G39)</f>
        <v>311</v>
      </c>
      <c r="H40" s="334"/>
      <c r="I40" s="334"/>
      <c r="J40" s="334"/>
      <c r="K40" s="334"/>
      <c r="L40" s="336"/>
      <c r="M40" s="332"/>
      <c r="N40" s="332"/>
      <c r="O40" s="337"/>
      <c r="P40" s="338"/>
      <c r="Q40" s="332"/>
      <c r="R40" s="339"/>
      <c r="S40" s="340"/>
      <c r="T40" s="340"/>
      <c r="U40" s="340"/>
      <c r="V40" s="340"/>
      <c r="W40" s="341"/>
      <c r="X40" s="342"/>
      <c r="Y40" s="343">
        <f>SUM(Y36:Y39)</f>
        <v>55.48</v>
      </c>
      <c r="Z40" s="342"/>
      <c r="AA40" s="344"/>
      <c r="AB40" s="332"/>
      <c r="AC40" s="332"/>
      <c r="AD40" s="339"/>
      <c r="AE40" s="337"/>
      <c r="AF40" s="338"/>
      <c r="AG40" s="337"/>
      <c r="AH40" s="338"/>
      <c r="AI40" s="337"/>
      <c r="AJ40" s="338"/>
      <c r="AK40" s="338"/>
      <c r="AL40" s="338"/>
      <c r="AM40" s="338"/>
      <c r="AN40" s="338"/>
      <c r="AO40" s="338"/>
      <c r="AP40" s="338"/>
      <c r="AQ40" s="338"/>
      <c r="AR40" s="338"/>
    </row>
    <row r="41" spans="1:44" ht="27.75" customHeight="1">
      <c r="A41" s="351" t="s">
        <v>3384</v>
      </c>
      <c r="B41" s="331"/>
      <c r="C41" s="332"/>
      <c r="D41" s="333"/>
      <c r="E41" s="334" t="s">
        <v>3291</v>
      </c>
      <c r="F41" s="334"/>
      <c r="G41" s="524"/>
      <c r="H41" s="341"/>
      <c r="I41" s="334"/>
      <c r="J41" s="334"/>
      <c r="K41" s="334"/>
      <c r="L41" s="336"/>
      <c r="M41" s="332"/>
      <c r="N41" s="332"/>
      <c r="O41" s="337"/>
      <c r="P41" s="338"/>
      <c r="Q41" s="337"/>
      <c r="R41" s="339"/>
      <c r="S41" s="340"/>
      <c r="T41" s="340"/>
      <c r="U41" s="340"/>
      <c r="V41" s="340"/>
      <c r="W41" s="341"/>
      <c r="X41" s="342"/>
      <c r="Y41" s="350"/>
      <c r="Z41" s="342"/>
      <c r="AA41" s="344"/>
      <c r="AB41" s="332"/>
      <c r="AC41" s="332"/>
      <c r="AD41" s="339"/>
      <c r="AE41" s="337"/>
      <c r="AF41" s="338"/>
      <c r="AG41" s="337"/>
      <c r="AH41" s="338"/>
      <c r="AI41" s="337"/>
      <c r="AJ41" s="338"/>
      <c r="AK41" s="338"/>
      <c r="AL41" s="338"/>
      <c r="AM41" s="338"/>
      <c r="AN41" s="338"/>
      <c r="AO41" s="338"/>
      <c r="AP41" s="338"/>
      <c r="AQ41" s="338"/>
      <c r="AR41" s="338"/>
    </row>
    <row r="42" spans="1:44" ht="38.25" customHeight="1">
      <c r="A42" s="487">
        <v>46122</v>
      </c>
      <c r="B42" s="445" t="s">
        <v>3009</v>
      </c>
      <c r="C42" s="437" t="s">
        <v>3008</v>
      </c>
      <c r="D42" s="361" t="s">
        <v>3306</v>
      </c>
      <c r="E42" s="736"/>
      <c r="F42" s="396" t="s">
        <v>52</v>
      </c>
      <c r="G42" s="392">
        <v>200</v>
      </c>
      <c r="H42" s="497" t="s">
        <v>2058</v>
      </c>
      <c r="I42" s="363" t="s">
        <v>2057</v>
      </c>
      <c r="J42" s="484" t="s">
        <v>59</v>
      </c>
      <c r="K42" s="392" t="s">
        <v>56</v>
      </c>
      <c r="L42" s="392" t="s">
        <v>634</v>
      </c>
      <c r="M42" s="328">
        <v>46167</v>
      </c>
      <c r="N42" s="665" t="s">
        <v>54</v>
      </c>
      <c r="O42" s="369" t="s">
        <v>1386</v>
      </c>
      <c r="P42" s="374" t="s">
        <v>48</v>
      </c>
      <c r="Q42" s="425">
        <v>46129</v>
      </c>
      <c r="R42" s="390" t="s">
        <v>59</v>
      </c>
      <c r="S42" s="368">
        <v>122</v>
      </c>
      <c r="T42" s="368">
        <v>72</v>
      </c>
      <c r="U42" s="368">
        <v>15</v>
      </c>
      <c r="V42" s="368">
        <v>1</v>
      </c>
      <c r="W42" s="386">
        <f>ROUND(G42/V42,2)</f>
        <v>200</v>
      </c>
      <c r="X42" s="368">
        <f>30*W42</f>
        <v>6000</v>
      </c>
      <c r="Y42" s="408">
        <f>ROUND((S42*T42*U42)*0.000001*W42,2)</f>
        <v>26.35</v>
      </c>
      <c r="Z42" s="641">
        <v>218</v>
      </c>
      <c r="AA42" s="360">
        <f>Z42*G42</f>
        <v>43600</v>
      </c>
      <c r="AB42" s="346" t="s">
        <v>46</v>
      </c>
      <c r="AC42" s="355" t="s">
        <v>46</v>
      </c>
      <c r="AD42" s="327"/>
      <c r="AE42" s="425">
        <v>46129</v>
      </c>
      <c r="AF42" s="425">
        <v>46129</v>
      </c>
      <c r="AG42" s="446">
        <v>46147</v>
      </c>
      <c r="AH42" s="345"/>
      <c r="AI42" s="345"/>
      <c r="AJ42" s="446">
        <v>46160</v>
      </c>
      <c r="AK42" s="446">
        <v>46160</v>
      </c>
      <c r="AL42" s="446">
        <v>46161</v>
      </c>
      <c r="AM42" s="375"/>
      <c r="AN42" s="375"/>
      <c r="AO42" s="345"/>
      <c r="AP42" s="375"/>
      <c r="AQ42" s="446" t="s">
        <v>2075</v>
      </c>
      <c r="AR42" s="375">
        <v>46162</v>
      </c>
    </row>
    <row r="43" spans="1:44" ht="30" customHeight="1">
      <c r="A43" s="487">
        <v>46083</v>
      </c>
      <c r="B43" s="445" t="s">
        <v>2494</v>
      </c>
      <c r="C43" s="437" t="s">
        <v>2493</v>
      </c>
      <c r="D43" s="361" t="s">
        <v>2513</v>
      </c>
      <c r="E43" s="736"/>
      <c r="F43" s="396" t="s">
        <v>52</v>
      </c>
      <c r="G43" s="486">
        <v>500</v>
      </c>
      <c r="H43" s="497" t="s">
        <v>2492</v>
      </c>
      <c r="I43" s="363" t="s">
        <v>58</v>
      </c>
      <c r="J43" s="363" t="s">
        <v>49</v>
      </c>
      <c r="K43" s="485" t="s">
        <v>56</v>
      </c>
      <c r="L43" s="363" t="s">
        <v>68</v>
      </c>
      <c r="M43" s="328">
        <v>46167</v>
      </c>
      <c r="N43" s="383"/>
      <c r="O43" s="382" t="s">
        <v>55</v>
      </c>
      <c r="P43" s="374">
        <v>42568</v>
      </c>
      <c r="Q43" s="490">
        <v>46091</v>
      </c>
      <c r="R43" s="390" t="s">
        <v>59</v>
      </c>
      <c r="S43" s="380">
        <v>80</v>
      </c>
      <c r="T43" s="380">
        <v>53</v>
      </c>
      <c r="U43" s="380">
        <v>25</v>
      </c>
      <c r="V43" s="368">
        <v>2</v>
      </c>
      <c r="W43" s="386">
        <f>ROUND(G43/V43,2)</f>
        <v>250</v>
      </c>
      <c r="X43" s="385">
        <f>29*W43</f>
        <v>7250</v>
      </c>
      <c r="Y43" s="347">
        <f t="shared" ref="Y43:Y48" si="4">ROUND((S43*T43*U43)*0.000001*W43,2)</f>
        <v>26.5</v>
      </c>
      <c r="Z43" s="376">
        <v>71.98</v>
      </c>
      <c r="AA43" s="360">
        <f t="shared" ref="AA43:AA48" si="5">Z43*G43</f>
        <v>35990</v>
      </c>
      <c r="AB43" s="346" t="s">
        <v>46</v>
      </c>
      <c r="AC43" s="362"/>
      <c r="AD43" s="327"/>
      <c r="AE43" s="490">
        <v>46091</v>
      </c>
      <c r="AF43" s="490">
        <v>46091</v>
      </c>
      <c r="AG43" s="345"/>
      <c r="AH43" s="345"/>
      <c r="AI43" s="345"/>
      <c r="AJ43" s="446">
        <v>46158</v>
      </c>
      <c r="AK43" s="446">
        <v>46158</v>
      </c>
      <c r="AL43" s="446">
        <v>46160</v>
      </c>
      <c r="AM43" s="375">
        <v>46162</v>
      </c>
      <c r="AN43" s="375" t="s">
        <v>3234</v>
      </c>
      <c r="AO43" s="446">
        <v>46161</v>
      </c>
      <c r="AP43" s="446">
        <v>46161</v>
      </c>
      <c r="AQ43" s="446" t="s">
        <v>2075</v>
      </c>
      <c r="AR43" s="663" t="s">
        <v>1301</v>
      </c>
    </row>
    <row r="44" spans="1:44" ht="27" customHeight="1">
      <c r="A44" s="487">
        <v>46083</v>
      </c>
      <c r="B44" s="445" t="s">
        <v>2460</v>
      </c>
      <c r="C44" s="437" t="s">
        <v>2459</v>
      </c>
      <c r="D44" s="361" t="s">
        <v>2516</v>
      </c>
      <c r="E44" s="736"/>
      <c r="F44" s="396" t="s">
        <v>52</v>
      </c>
      <c r="G44" s="486">
        <v>100</v>
      </c>
      <c r="H44" s="670" t="s">
        <v>2458</v>
      </c>
      <c r="I44" s="392" t="s">
        <v>66</v>
      </c>
      <c r="J44" s="393" t="s">
        <v>1992</v>
      </c>
      <c r="K44" s="485" t="s">
        <v>56</v>
      </c>
      <c r="L44" s="363" t="s">
        <v>2490</v>
      </c>
      <c r="M44" s="328">
        <v>46167</v>
      </c>
      <c r="N44" s="328"/>
      <c r="O44" s="382" t="s">
        <v>55</v>
      </c>
      <c r="P44" s="425">
        <v>43321</v>
      </c>
      <c r="Q44" s="417">
        <v>46099</v>
      </c>
      <c r="R44" s="366" t="s">
        <v>2457</v>
      </c>
      <c r="S44" s="380">
        <v>75</v>
      </c>
      <c r="T44" s="380">
        <v>47</v>
      </c>
      <c r="U44" s="380">
        <v>22</v>
      </c>
      <c r="V44" s="380">
        <v>2</v>
      </c>
      <c r="W44" s="347">
        <f>G44/V44</f>
        <v>50</v>
      </c>
      <c r="X44" s="386">
        <f>10*W44</f>
        <v>500</v>
      </c>
      <c r="Y44" s="408">
        <f>ROUND((S44*T44*U44)*0.000001*W44,2)</f>
        <v>3.88</v>
      </c>
      <c r="Z44" s="376">
        <v>41.73</v>
      </c>
      <c r="AA44" s="360">
        <f>Z44*G44</f>
        <v>4173</v>
      </c>
      <c r="AB44" s="346" t="s">
        <v>46</v>
      </c>
      <c r="AC44" s="362"/>
      <c r="AD44" s="327"/>
      <c r="AE44" s="417">
        <v>46099</v>
      </c>
      <c r="AF44" s="417">
        <v>46099</v>
      </c>
      <c r="AG44" s="345"/>
      <c r="AH44" s="446">
        <v>46109</v>
      </c>
      <c r="AI44" s="345"/>
      <c r="AJ44" s="446">
        <v>46153</v>
      </c>
      <c r="AK44" s="446">
        <v>46153</v>
      </c>
      <c r="AL44" s="446">
        <v>46160</v>
      </c>
      <c r="AM44" s="375" t="s">
        <v>3464</v>
      </c>
      <c r="AN44" s="375" t="s">
        <v>3464</v>
      </c>
      <c r="AO44" s="345"/>
      <c r="AP44" s="345"/>
      <c r="AQ44" s="345"/>
      <c r="AR44" s="663" t="s">
        <v>1301</v>
      </c>
    </row>
    <row r="45" spans="1:44" ht="30" customHeight="1">
      <c r="A45" s="487">
        <v>46083</v>
      </c>
      <c r="B45" s="445" t="s">
        <v>2423</v>
      </c>
      <c r="C45" s="437" t="s">
        <v>2422</v>
      </c>
      <c r="D45" s="361" t="s">
        <v>2511</v>
      </c>
      <c r="E45" s="736"/>
      <c r="F45" s="396" t="s">
        <v>52</v>
      </c>
      <c r="G45" s="486">
        <v>100</v>
      </c>
      <c r="H45" s="497" t="s">
        <v>2421</v>
      </c>
      <c r="I45" s="644" t="s">
        <v>429</v>
      </c>
      <c r="J45" s="393" t="s">
        <v>713</v>
      </c>
      <c r="K45" s="363" t="s">
        <v>2415</v>
      </c>
      <c r="L45" s="363" t="s">
        <v>2390</v>
      </c>
      <c r="M45" s="328">
        <v>46167</v>
      </c>
      <c r="N45" s="328"/>
      <c r="O45" s="628" t="s">
        <v>85</v>
      </c>
      <c r="P45" s="374" t="s">
        <v>44</v>
      </c>
      <c r="Q45" s="490">
        <v>46087</v>
      </c>
      <c r="R45" s="328" t="s">
        <v>1674</v>
      </c>
      <c r="S45" s="407">
        <v>36</v>
      </c>
      <c r="T45" s="407">
        <v>40</v>
      </c>
      <c r="U45" s="407">
        <v>40</v>
      </c>
      <c r="V45" s="407">
        <v>50</v>
      </c>
      <c r="W45" s="347">
        <f>G45/V45</f>
        <v>2</v>
      </c>
      <c r="X45" s="386">
        <f>11*W45</f>
        <v>22</v>
      </c>
      <c r="Y45" s="408">
        <f t="shared" si="4"/>
        <v>0.12</v>
      </c>
      <c r="Z45" s="384">
        <v>4.03</v>
      </c>
      <c r="AA45" s="411">
        <f t="shared" si="5"/>
        <v>403</v>
      </c>
      <c r="AB45" s="346" t="s">
        <v>46</v>
      </c>
      <c r="AC45" s="362"/>
      <c r="AD45" s="327"/>
      <c r="AE45" s="490">
        <v>46087</v>
      </c>
      <c r="AF45" s="490">
        <v>46087</v>
      </c>
      <c r="AG45" s="345"/>
      <c r="AH45" s="446">
        <v>46093</v>
      </c>
      <c r="AI45" s="345"/>
      <c r="AJ45" s="446">
        <v>46125</v>
      </c>
      <c r="AK45" s="446">
        <v>46125</v>
      </c>
      <c r="AL45" s="375"/>
      <c r="AM45" s="375"/>
      <c r="AN45" s="375" t="s">
        <v>3464</v>
      </c>
      <c r="AO45" s="345"/>
      <c r="AP45" s="345"/>
      <c r="AQ45" s="345"/>
      <c r="AR45" s="446" t="s">
        <v>2326</v>
      </c>
    </row>
    <row r="46" spans="1:44" ht="30" customHeight="1">
      <c r="A46" s="487">
        <v>46083</v>
      </c>
      <c r="B46" s="445" t="s">
        <v>2476</v>
      </c>
      <c r="C46" s="437" t="s">
        <v>2475</v>
      </c>
      <c r="D46" s="361" t="s">
        <v>2511</v>
      </c>
      <c r="E46" s="736"/>
      <c r="F46" s="396" t="s">
        <v>52</v>
      </c>
      <c r="G46" s="486">
        <v>1000</v>
      </c>
      <c r="H46" s="730" t="s">
        <v>2474</v>
      </c>
      <c r="I46" s="396" t="s">
        <v>429</v>
      </c>
      <c r="J46" s="396" t="s">
        <v>1992</v>
      </c>
      <c r="K46" s="396" t="s">
        <v>53</v>
      </c>
      <c r="L46" s="363" t="s">
        <v>2390</v>
      </c>
      <c r="M46" s="328">
        <v>46167</v>
      </c>
      <c r="N46" s="328"/>
      <c r="O46" s="783" t="s">
        <v>2473</v>
      </c>
      <c r="P46" s="782" t="s">
        <v>44</v>
      </c>
      <c r="Q46" s="490">
        <v>46087</v>
      </c>
      <c r="R46" s="327" t="s">
        <v>636</v>
      </c>
      <c r="S46" s="781" t="s">
        <v>2472</v>
      </c>
      <c r="T46" s="781">
        <v>40</v>
      </c>
      <c r="U46" s="781">
        <v>40</v>
      </c>
      <c r="V46" s="781" t="s">
        <v>2471</v>
      </c>
      <c r="W46" s="363">
        <f>G46/V46</f>
        <v>20</v>
      </c>
      <c r="X46" s="376">
        <f>W46*11</f>
        <v>220</v>
      </c>
      <c r="Y46" s="408">
        <f t="shared" si="4"/>
        <v>1.1499999999999999</v>
      </c>
      <c r="Z46" s="376">
        <v>2.9</v>
      </c>
      <c r="AA46" s="780">
        <f t="shared" si="5"/>
        <v>2900</v>
      </c>
      <c r="AB46" s="373" t="s">
        <v>46</v>
      </c>
      <c r="AC46" s="362"/>
      <c r="AD46" s="327"/>
      <c r="AE46" s="490">
        <v>46087</v>
      </c>
      <c r="AF46" s="490">
        <v>46087</v>
      </c>
      <c r="AG46" s="345"/>
      <c r="AH46" s="446">
        <v>46109</v>
      </c>
      <c r="AI46" s="345"/>
      <c r="AJ46" s="446">
        <v>46126</v>
      </c>
      <c r="AK46" s="446">
        <v>46126</v>
      </c>
      <c r="AL46" s="375"/>
      <c r="AM46" s="375"/>
      <c r="AN46" s="375" t="s">
        <v>3464</v>
      </c>
      <c r="AO46" s="345"/>
      <c r="AP46" s="345"/>
      <c r="AQ46" s="345"/>
      <c r="AR46" s="446" t="s">
        <v>1301</v>
      </c>
    </row>
    <row r="47" spans="1:44" ht="30" customHeight="1">
      <c r="A47" s="487">
        <v>46083</v>
      </c>
      <c r="B47" s="445" t="s">
        <v>3024</v>
      </c>
      <c r="C47" s="437" t="s">
        <v>3025</v>
      </c>
      <c r="D47" s="361" t="s">
        <v>2505</v>
      </c>
      <c r="E47" s="736"/>
      <c r="F47" s="396" t="s">
        <v>52</v>
      </c>
      <c r="G47" s="488">
        <v>100</v>
      </c>
      <c r="H47" s="812" t="s">
        <v>2483</v>
      </c>
      <c r="I47" s="724" t="s">
        <v>2482</v>
      </c>
      <c r="J47" s="365" t="s">
        <v>59</v>
      </c>
      <c r="K47" s="346" t="s">
        <v>53</v>
      </c>
      <c r="L47" s="399" t="s">
        <v>60</v>
      </c>
      <c r="M47" s="328">
        <v>46167</v>
      </c>
      <c r="N47" s="328"/>
      <c r="O47" s="722" t="s">
        <v>2481</v>
      </c>
      <c r="P47" s="748">
        <v>42724</v>
      </c>
      <c r="Q47" s="417">
        <v>46108</v>
      </c>
      <c r="R47" s="395" t="s">
        <v>49</v>
      </c>
      <c r="S47" s="718">
        <v>67</v>
      </c>
      <c r="T47" s="718">
        <v>47</v>
      </c>
      <c r="U47" s="368">
        <v>45</v>
      </c>
      <c r="V47" s="368">
        <v>10</v>
      </c>
      <c r="W47" s="386">
        <f>ROUND(G47/V47,2)</f>
        <v>10</v>
      </c>
      <c r="X47" s="347">
        <f>23.5*W47</f>
        <v>235</v>
      </c>
      <c r="Y47" s="408">
        <f t="shared" si="4"/>
        <v>1.42</v>
      </c>
      <c r="Z47" s="746">
        <v>21.39</v>
      </c>
      <c r="AA47" s="411">
        <f t="shared" si="5"/>
        <v>2139</v>
      </c>
      <c r="AB47" s="371" t="s">
        <v>46</v>
      </c>
      <c r="AC47" s="362"/>
      <c r="AD47" s="327"/>
      <c r="AE47" s="417">
        <v>46112</v>
      </c>
      <c r="AF47" s="446">
        <v>46128</v>
      </c>
      <c r="AG47" s="345"/>
      <c r="AH47" s="345"/>
      <c r="AI47" s="345"/>
      <c r="AJ47" s="345"/>
      <c r="AK47" s="375"/>
      <c r="AL47" s="375"/>
      <c r="AM47" s="375"/>
      <c r="AN47" s="345"/>
      <c r="AO47" s="345"/>
      <c r="AP47" s="345"/>
      <c r="AQ47" s="345"/>
      <c r="AR47" s="663" t="s">
        <v>1301</v>
      </c>
    </row>
    <row r="48" spans="1:44" ht="30" customHeight="1">
      <c r="A48" s="487">
        <v>46097</v>
      </c>
      <c r="B48" s="445" t="s">
        <v>2562</v>
      </c>
      <c r="C48" s="437" t="s">
        <v>2561</v>
      </c>
      <c r="D48" s="361" t="s">
        <v>2505</v>
      </c>
      <c r="E48" s="736"/>
      <c r="F48" s="396" t="s">
        <v>52</v>
      </c>
      <c r="G48" s="488">
        <v>150</v>
      </c>
      <c r="H48" s="862" t="s">
        <v>2483</v>
      </c>
      <c r="I48" s="724" t="s">
        <v>2482</v>
      </c>
      <c r="J48" s="365" t="s">
        <v>59</v>
      </c>
      <c r="K48" s="346" t="s">
        <v>53</v>
      </c>
      <c r="L48" s="399" t="s">
        <v>60</v>
      </c>
      <c r="M48" s="328">
        <v>46167</v>
      </c>
      <c r="N48" s="328"/>
      <c r="O48" s="722" t="s">
        <v>2481</v>
      </c>
      <c r="P48" s="748">
        <v>42724</v>
      </c>
      <c r="Q48" s="417">
        <v>46112</v>
      </c>
      <c r="R48" s="395" t="s">
        <v>49</v>
      </c>
      <c r="S48" s="718">
        <v>67</v>
      </c>
      <c r="T48" s="718">
        <v>47</v>
      </c>
      <c r="U48" s="368">
        <v>45</v>
      </c>
      <c r="V48" s="368">
        <v>10</v>
      </c>
      <c r="W48" s="386">
        <f>ROUND(G48/V48,2)</f>
        <v>15</v>
      </c>
      <c r="X48" s="347">
        <f>23.5*W48</f>
        <v>352.5</v>
      </c>
      <c r="Y48" s="408">
        <f t="shared" si="4"/>
        <v>2.13</v>
      </c>
      <c r="Z48" s="746">
        <v>21.39</v>
      </c>
      <c r="AA48" s="688">
        <f t="shared" si="5"/>
        <v>3208.5</v>
      </c>
      <c r="AB48" s="372" t="s">
        <v>46</v>
      </c>
      <c r="AC48" s="362"/>
      <c r="AD48" s="327"/>
      <c r="AE48" s="417">
        <v>46112</v>
      </c>
      <c r="AF48" s="446">
        <v>46128</v>
      </c>
      <c r="AG48" s="345"/>
      <c r="AH48" s="345"/>
      <c r="AI48" s="345"/>
      <c r="AJ48" s="345"/>
      <c r="AK48" s="375"/>
      <c r="AL48" s="375"/>
      <c r="AM48" s="375"/>
      <c r="AN48" s="345"/>
      <c r="AO48" s="345"/>
      <c r="AP48" s="345"/>
      <c r="AQ48" s="345"/>
      <c r="AR48" s="663" t="s">
        <v>1301</v>
      </c>
    </row>
    <row r="49" spans="1:44" ht="27" customHeight="1">
      <c r="A49" s="330"/>
      <c r="B49" s="331"/>
      <c r="C49" s="332"/>
      <c r="D49" s="333"/>
      <c r="E49" s="334"/>
      <c r="F49" s="334"/>
      <c r="G49" s="335">
        <f>SUM(G42:G48)</f>
        <v>2150</v>
      </c>
      <c r="H49" s="334"/>
      <c r="I49" s="334"/>
      <c r="J49" s="334"/>
      <c r="K49" s="334"/>
      <c r="L49" s="336"/>
      <c r="M49" s="332"/>
      <c r="N49" s="332"/>
      <c r="O49" s="337"/>
      <c r="P49" s="338"/>
      <c r="Q49" s="337"/>
      <c r="R49" s="339"/>
      <c r="S49" s="340"/>
      <c r="T49" s="340"/>
      <c r="U49" s="340"/>
      <c r="V49" s="340"/>
      <c r="W49" s="341"/>
      <c r="X49" s="342"/>
      <c r="Y49" s="343">
        <f>SUM(Y42:Y48)</f>
        <v>61.550000000000004</v>
      </c>
      <c r="Z49" s="342"/>
      <c r="AA49" s="344"/>
      <c r="AB49" s="332"/>
      <c r="AC49" s="332"/>
      <c r="AD49" s="339"/>
      <c r="AE49" s="337"/>
      <c r="AF49" s="338"/>
      <c r="AG49" s="337"/>
      <c r="AH49" s="338"/>
      <c r="AI49" s="337"/>
      <c r="AJ49" s="338"/>
      <c r="AK49" s="338"/>
      <c r="AL49" s="338"/>
      <c r="AM49" s="338"/>
      <c r="AN49" s="338"/>
      <c r="AO49" s="338"/>
      <c r="AP49" s="338"/>
      <c r="AQ49" s="338"/>
      <c r="AR49" s="338"/>
    </row>
    <row r="50" spans="1:44" ht="27.75" customHeight="1">
      <c r="A50" s="351" t="s">
        <v>3385</v>
      </c>
      <c r="B50" s="331"/>
      <c r="C50" s="332"/>
      <c r="D50" s="333"/>
      <c r="E50" s="334" t="s">
        <v>3291</v>
      </c>
      <c r="F50" s="334"/>
      <c r="G50" s="524"/>
      <c r="H50" s="341"/>
      <c r="I50" s="334"/>
      <c r="J50" s="334"/>
      <c r="K50" s="334"/>
      <c r="L50" s="336"/>
      <c r="M50" s="332"/>
      <c r="N50" s="332"/>
      <c r="O50" s="337"/>
      <c r="P50" s="338"/>
      <c r="Q50" s="337"/>
      <c r="R50" s="339"/>
      <c r="S50" s="340"/>
      <c r="T50" s="340"/>
      <c r="U50" s="340"/>
      <c r="V50" s="340"/>
      <c r="W50" s="341"/>
      <c r="X50" s="342"/>
      <c r="Y50" s="350"/>
      <c r="Z50" s="342"/>
      <c r="AA50" s="344"/>
      <c r="AB50" s="332"/>
      <c r="AC50" s="332"/>
      <c r="AD50" s="339"/>
      <c r="AE50" s="337"/>
      <c r="AF50" s="338"/>
      <c r="AG50" s="337"/>
      <c r="AH50" s="338"/>
      <c r="AI50" s="337"/>
      <c r="AJ50" s="338"/>
      <c r="AK50" s="338"/>
      <c r="AL50" s="338"/>
      <c r="AM50" s="338"/>
      <c r="AN50" s="338"/>
      <c r="AO50" s="338"/>
      <c r="AP50" s="338"/>
      <c r="AQ50" s="338"/>
      <c r="AR50" s="338"/>
    </row>
    <row r="51" spans="1:44" ht="30" customHeight="1">
      <c r="A51" s="487">
        <v>46100</v>
      </c>
      <c r="B51" s="445" t="s">
        <v>2585</v>
      </c>
      <c r="C51" s="437" t="s">
        <v>2533</v>
      </c>
      <c r="D51" s="361" t="s">
        <v>2886</v>
      </c>
      <c r="E51" s="525" t="s">
        <v>2526</v>
      </c>
      <c r="F51" s="396" t="s">
        <v>52</v>
      </c>
      <c r="G51" s="396">
        <v>100</v>
      </c>
      <c r="H51" s="393" t="s">
        <v>1270</v>
      </c>
      <c r="I51" s="404" t="s">
        <v>2233</v>
      </c>
      <c r="J51" s="404" t="s">
        <v>49</v>
      </c>
      <c r="K51" s="404" t="s">
        <v>63</v>
      </c>
      <c r="L51" s="392" t="s">
        <v>64</v>
      </c>
      <c r="M51" s="383">
        <v>46168</v>
      </c>
      <c r="N51" s="665" t="s">
        <v>54</v>
      </c>
      <c r="O51" s="369" t="s">
        <v>1386</v>
      </c>
      <c r="P51" s="395">
        <v>45320</v>
      </c>
      <c r="Q51" s="446">
        <v>46112</v>
      </c>
      <c r="R51" s="390" t="s">
        <v>59</v>
      </c>
      <c r="S51" s="683">
        <v>134</v>
      </c>
      <c r="T51" s="683">
        <v>102</v>
      </c>
      <c r="U51" s="683">
        <v>20</v>
      </c>
      <c r="V51" s="389">
        <v>1</v>
      </c>
      <c r="W51" s="347">
        <f>ROUND(G51/V51,2)</f>
        <v>100</v>
      </c>
      <c r="X51" s="682">
        <f>50*W51</f>
        <v>5000</v>
      </c>
      <c r="Y51" s="414">
        <f>ROUND((S51*T51*U51)*0.000001*W51,2)</f>
        <v>27.34</v>
      </c>
      <c r="Z51" s="761">
        <v>305.75</v>
      </c>
      <c r="AA51" s="360">
        <f>Z51*G51</f>
        <v>30575</v>
      </c>
      <c r="AB51" s="355" t="s">
        <v>46</v>
      </c>
      <c r="AC51" s="355"/>
      <c r="AD51" s="327"/>
      <c r="AE51" s="446">
        <v>46112</v>
      </c>
      <c r="AF51" s="425">
        <v>46121</v>
      </c>
      <c r="AG51" s="345"/>
      <c r="AH51" s="345"/>
      <c r="AI51" s="345"/>
      <c r="AJ51" s="720" t="s">
        <v>3387</v>
      </c>
      <c r="AK51" s="375"/>
      <c r="AL51" s="375"/>
      <c r="AM51" s="375"/>
      <c r="AN51" s="375"/>
      <c r="AO51" s="345"/>
      <c r="AP51" s="375"/>
      <c r="AQ51" s="446" t="s">
        <v>2075</v>
      </c>
      <c r="AR51" s="446" t="s">
        <v>1301</v>
      </c>
    </row>
    <row r="52" spans="1:44" ht="30" customHeight="1">
      <c r="A52" s="487">
        <v>46083</v>
      </c>
      <c r="B52" s="445" t="s">
        <v>2463</v>
      </c>
      <c r="C52" s="437" t="s">
        <v>2462</v>
      </c>
      <c r="D52" s="361" t="s">
        <v>2517</v>
      </c>
      <c r="E52" s="736"/>
      <c r="F52" s="396" t="s">
        <v>52</v>
      </c>
      <c r="G52" s="486">
        <v>100</v>
      </c>
      <c r="H52" s="498" t="s">
        <v>1447</v>
      </c>
      <c r="I52" s="387" t="s">
        <v>2461</v>
      </c>
      <c r="J52" s="404" t="s">
        <v>49</v>
      </c>
      <c r="K52" s="484" t="s">
        <v>56</v>
      </c>
      <c r="L52" s="427" t="s">
        <v>634</v>
      </c>
      <c r="M52" s="383">
        <v>46168</v>
      </c>
      <c r="N52" s="863"/>
      <c r="O52" s="425" t="s">
        <v>65</v>
      </c>
      <c r="P52" s="425">
        <v>45443</v>
      </c>
      <c r="Q52" s="425">
        <v>46106</v>
      </c>
      <c r="R52" s="425" t="s">
        <v>59</v>
      </c>
      <c r="S52" s="380">
        <v>65</v>
      </c>
      <c r="T52" s="380">
        <v>35</v>
      </c>
      <c r="U52" s="380">
        <v>50</v>
      </c>
      <c r="V52" s="380">
        <v>1</v>
      </c>
      <c r="W52" s="386">
        <f>ROUND(G52/V52,2)</f>
        <v>100</v>
      </c>
      <c r="X52" s="347">
        <f>9*W52</f>
        <v>900</v>
      </c>
      <c r="Y52" s="376">
        <f t="shared" ref="Y52:Y55" si="6">ROUND((S52*T52*U52)*0.000001*W52,2)</f>
        <v>11.38</v>
      </c>
      <c r="Z52" s="761">
        <v>95.33</v>
      </c>
      <c r="AA52" s="410">
        <f>Z52*G52</f>
        <v>9533</v>
      </c>
      <c r="AB52" s="371" t="s">
        <v>46</v>
      </c>
      <c r="AC52" s="362"/>
      <c r="AD52" s="327"/>
      <c r="AE52" s="425">
        <v>46106</v>
      </c>
      <c r="AF52" s="425">
        <v>46106</v>
      </c>
      <c r="AG52" s="345"/>
      <c r="AH52" s="345"/>
      <c r="AI52" s="345"/>
      <c r="AJ52" s="446">
        <v>46149</v>
      </c>
      <c r="AK52" s="446">
        <v>46149</v>
      </c>
      <c r="AL52" s="446">
        <v>46156</v>
      </c>
      <c r="AM52" s="375"/>
      <c r="AN52" s="375"/>
      <c r="AO52" s="345"/>
      <c r="AP52" s="375"/>
      <c r="AQ52" s="446" t="s">
        <v>2075</v>
      </c>
      <c r="AR52" s="446" t="s">
        <v>1301</v>
      </c>
    </row>
    <row r="53" spans="1:44" ht="27" customHeight="1">
      <c r="A53" s="487">
        <v>46100</v>
      </c>
      <c r="B53" s="445" t="s">
        <v>2583</v>
      </c>
      <c r="C53" s="437" t="s">
        <v>2584</v>
      </c>
      <c r="D53" s="361" t="s">
        <v>2896</v>
      </c>
      <c r="E53" s="736"/>
      <c r="F53" s="396" t="s">
        <v>52</v>
      </c>
      <c r="G53" s="392">
        <v>500</v>
      </c>
      <c r="H53" s="497" t="s">
        <v>2581</v>
      </c>
      <c r="I53" s="393" t="s">
        <v>2580</v>
      </c>
      <c r="J53" s="363" t="s">
        <v>49</v>
      </c>
      <c r="K53" s="392" t="s">
        <v>53</v>
      </c>
      <c r="L53" s="427" t="s">
        <v>2496</v>
      </c>
      <c r="M53" s="383">
        <v>46168</v>
      </c>
      <c r="N53" s="328"/>
      <c r="O53" s="423" t="s">
        <v>85</v>
      </c>
      <c r="P53" s="715" t="s">
        <v>44</v>
      </c>
      <c r="Q53" s="425">
        <v>46107</v>
      </c>
      <c r="R53" s="390" t="s">
        <v>59</v>
      </c>
      <c r="S53" s="368">
        <v>40</v>
      </c>
      <c r="T53" s="368">
        <v>40</v>
      </c>
      <c r="U53" s="368">
        <v>48</v>
      </c>
      <c r="V53" s="368">
        <v>5</v>
      </c>
      <c r="W53" s="364">
        <f>ROUND(G53/V53,2)</f>
        <v>100</v>
      </c>
      <c r="X53" s="347">
        <f>17.5*W53</f>
        <v>1750</v>
      </c>
      <c r="Y53" s="347">
        <f t="shared" si="6"/>
        <v>7.68</v>
      </c>
      <c r="Z53" s="376">
        <v>33.32</v>
      </c>
      <c r="AA53" s="360">
        <f>Z53*G53</f>
        <v>16660</v>
      </c>
      <c r="AB53" s="346" t="s">
        <v>46</v>
      </c>
      <c r="AC53" s="362"/>
      <c r="AD53" s="327"/>
      <c r="AE53" s="425">
        <v>46107</v>
      </c>
      <c r="AF53" s="425">
        <v>46107</v>
      </c>
      <c r="AG53" s="345"/>
      <c r="AH53" s="345"/>
      <c r="AI53" s="345"/>
      <c r="AJ53" s="375" t="s">
        <v>3046</v>
      </c>
      <c r="AK53" s="375"/>
      <c r="AL53" s="375"/>
      <c r="AM53" s="375"/>
      <c r="AN53" s="375"/>
      <c r="AO53" s="345"/>
      <c r="AP53" s="446">
        <v>46156</v>
      </c>
      <c r="AQ53" s="446" t="s">
        <v>2075</v>
      </c>
      <c r="AR53" s="446" t="s">
        <v>1301</v>
      </c>
    </row>
    <row r="54" spans="1:44" s="104" customFormat="1" ht="25.5" customHeight="1">
      <c r="A54" s="487">
        <v>46027</v>
      </c>
      <c r="B54" s="445" t="s">
        <v>2805</v>
      </c>
      <c r="C54" s="437" t="s">
        <v>2372</v>
      </c>
      <c r="D54" s="349" t="s">
        <v>3041</v>
      </c>
      <c r="E54" s="880" t="s">
        <v>3241</v>
      </c>
      <c r="F54" s="396" t="s">
        <v>52</v>
      </c>
      <c r="G54" s="428">
        <v>200</v>
      </c>
      <c r="H54" s="631" t="s">
        <v>2358</v>
      </c>
      <c r="I54" s="387" t="s">
        <v>1774</v>
      </c>
      <c r="J54" s="734" t="s">
        <v>2359</v>
      </c>
      <c r="K54" s="485" t="s">
        <v>56</v>
      </c>
      <c r="L54" s="486" t="s">
        <v>692</v>
      </c>
      <c r="M54" s="383">
        <v>46168</v>
      </c>
      <c r="N54" s="733"/>
      <c r="O54" s="327" t="s">
        <v>2360</v>
      </c>
      <c r="P54" s="356">
        <v>41830</v>
      </c>
      <c r="Q54" s="425">
        <v>46029</v>
      </c>
      <c r="R54" s="327" t="s">
        <v>2147</v>
      </c>
      <c r="S54" s="549">
        <v>120</v>
      </c>
      <c r="T54" s="549">
        <v>100</v>
      </c>
      <c r="U54" s="549">
        <v>120</v>
      </c>
      <c r="V54" s="549">
        <v>50</v>
      </c>
      <c r="W54" s="347">
        <f>G54/V54</f>
        <v>4</v>
      </c>
      <c r="X54" s="386">
        <f>257*W54</f>
        <v>1028</v>
      </c>
      <c r="Y54" s="408">
        <f t="shared" si="6"/>
        <v>5.76</v>
      </c>
      <c r="Z54" s="376">
        <v>45.18</v>
      </c>
      <c r="AA54" s="360">
        <f>Z54*G54</f>
        <v>9036</v>
      </c>
      <c r="AB54" s="687" t="s">
        <v>46</v>
      </c>
      <c r="AC54" s="733"/>
      <c r="AD54" s="327"/>
      <c r="AE54" s="425">
        <v>46029</v>
      </c>
      <c r="AF54" s="446">
        <v>46031</v>
      </c>
      <c r="AG54" s="345"/>
      <c r="AH54" s="446">
        <v>46037</v>
      </c>
      <c r="AI54" s="345"/>
      <c r="AJ54" s="446">
        <v>46157</v>
      </c>
      <c r="AK54" s="446">
        <v>46157</v>
      </c>
      <c r="AL54" s="446">
        <v>46158</v>
      </c>
      <c r="AM54" s="375"/>
      <c r="AN54" s="375"/>
      <c r="AO54" s="345"/>
      <c r="AP54" s="446">
        <v>46160</v>
      </c>
      <c r="AQ54" s="446" t="s">
        <v>2075</v>
      </c>
      <c r="AR54" s="663" t="s">
        <v>1301</v>
      </c>
    </row>
    <row r="55" spans="1:44" ht="25.5" customHeight="1">
      <c r="A55" s="487">
        <v>46106</v>
      </c>
      <c r="B55" s="445" t="s">
        <v>2805</v>
      </c>
      <c r="C55" s="437" t="s">
        <v>2804</v>
      </c>
      <c r="D55" s="361" t="s">
        <v>3042</v>
      </c>
      <c r="E55" s="880" t="s">
        <v>3241</v>
      </c>
      <c r="F55" s="396" t="s">
        <v>52</v>
      </c>
      <c r="G55" s="401">
        <v>300</v>
      </c>
      <c r="H55" s="721" t="s">
        <v>2358</v>
      </c>
      <c r="I55" s="663" t="s">
        <v>1774</v>
      </c>
      <c r="J55" s="864" t="s">
        <v>2359</v>
      </c>
      <c r="K55" s="663" t="s">
        <v>56</v>
      </c>
      <c r="L55" s="486" t="s">
        <v>692</v>
      </c>
      <c r="M55" s="383">
        <v>46168</v>
      </c>
      <c r="N55" s="733"/>
      <c r="O55" s="327" t="s">
        <v>2360</v>
      </c>
      <c r="P55" s="395">
        <v>45848</v>
      </c>
      <c r="Q55" s="490">
        <v>46115</v>
      </c>
      <c r="R55" s="512" t="s">
        <v>2457</v>
      </c>
      <c r="S55" s="512">
        <v>120</v>
      </c>
      <c r="T55" s="512">
        <v>100</v>
      </c>
      <c r="U55" s="512">
        <v>120</v>
      </c>
      <c r="V55" s="512">
        <v>50</v>
      </c>
      <c r="W55" s="347">
        <f>G55/V55</f>
        <v>6</v>
      </c>
      <c r="X55" s="327">
        <f>257*W55</f>
        <v>1542</v>
      </c>
      <c r="Y55" s="408">
        <f t="shared" si="6"/>
        <v>8.64</v>
      </c>
      <c r="Z55" s="661">
        <v>38.97</v>
      </c>
      <c r="AA55" s="713">
        <v>18072</v>
      </c>
      <c r="AB55" s="661" t="s">
        <v>46</v>
      </c>
      <c r="AD55" s="327"/>
      <c r="AE55" s="490">
        <v>46115</v>
      </c>
      <c r="AF55" s="490">
        <v>46115</v>
      </c>
      <c r="AG55" s="345"/>
      <c r="AH55" s="446">
        <v>46132</v>
      </c>
      <c r="AI55" s="345"/>
      <c r="AJ55" s="446">
        <v>46157</v>
      </c>
      <c r="AK55" s="446">
        <v>46157</v>
      </c>
      <c r="AL55" s="446">
        <v>46160</v>
      </c>
      <c r="AM55" s="375"/>
      <c r="AN55" s="375"/>
      <c r="AO55" s="345"/>
      <c r="AP55" s="446">
        <v>46160</v>
      </c>
      <c r="AQ55" s="663" t="s">
        <v>1301</v>
      </c>
      <c r="AR55" s="663" t="s">
        <v>1301</v>
      </c>
    </row>
    <row r="56" spans="1:44" ht="27" customHeight="1">
      <c r="A56" s="330"/>
      <c r="B56" s="331"/>
      <c r="C56" s="332"/>
      <c r="D56" s="333"/>
      <c r="E56" s="334"/>
      <c r="F56" s="334"/>
      <c r="G56" s="335">
        <f>SUM(G51:G55)</f>
        <v>1200</v>
      </c>
      <c r="H56" s="334"/>
      <c r="I56" s="334"/>
      <c r="J56" s="334"/>
      <c r="K56" s="334"/>
      <c r="L56" s="336"/>
      <c r="M56" s="332"/>
      <c r="N56" s="332"/>
      <c r="O56" s="337"/>
      <c r="P56" s="338"/>
      <c r="Q56" s="332"/>
      <c r="R56" s="339"/>
      <c r="S56" s="340"/>
      <c r="T56" s="340"/>
      <c r="U56" s="340"/>
      <c r="V56" s="340"/>
      <c r="W56" s="341"/>
      <c r="X56" s="342"/>
      <c r="Y56" s="343">
        <f>SUM(Y51:Y55)</f>
        <v>60.8</v>
      </c>
      <c r="Z56" s="342"/>
      <c r="AA56" s="344"/>
      <c r="AB56" s="332"/>
      <c r="AC56" s="332"/>
      <c r="AD56" s="339"/>
      <c r="AE56" s="337"/>
      <c r="AF56" s="338"/>
      <c r="AG56" s="337"/>
      <c r="AH56" s="338"/>
      <c r="AI56" s="337"/>
      <c r="AJ56" s="338"/>
      <c r="AK56" s="338"/>
      <c r="AL56" s="338"/>
      <c r="AM56" s="338"/>
      <c r="AN56" s="338"/>
      <c r="AO56" s="338"/>
      <c r="AP56" s="338"/>
      <c r="AQ56" s="338"/>
      <c r="AR56" s="338"/>
    </row>
    <row r="57" spans="1:44" ht="27.75" customHeight="1">
      <c r="A57" s="351" t="s">
        <v>3408</v>
      </c>
      <c r="B57" s="331"/>
      <c r="C57" s="332"/>
      <c r="D57" s="333"/>
      <c r="E57" s="334"/>
      <c r="F57" s="334"/>
      <c r="G57" s="524"/>
      <c r="H57" s="341"/>
      <c r="I57" s="334"/>
      <c r="J57" s="334"/>
      <c r="K57" s="334"/>
      <c r="L57" s="336"/>
      <c r="M57" s="332"/>
      <c r="N57" s="332"/>
      <c r="O57" s="337"/>
      <c r="P57" s="338"/>
      <c r="Q57" s="337"/>
      <c r="R57" s="339"/>
      <c r="S57" s="340"/>
      <c r="T57" s="340"/>
      <c r="U57" s="340"/>
      <c r="V57" s="340"/>
      <c r="W57" s="341"/>
      <c r="X57" s="342"/>
      <c r="Y57" s="350"/>
      <c r="Z57" s="342"/>
      <c r="AA57" s="344"/>
      <c r="AB57" s="332"/>
      <c r="AC57" s="332"/>
      <c r="AD57" s="339"/>
      <c r="AE57" s="337"/>
      <c r="AF57" s="338"/>
      <c r="AG57" s="337"/>
      <c r="AH57" s="338"/>
      <c r="AI57" s="337"/>
      <c r="AJ57" s="338"/>
      <c r="AK57" s="338"/>
      <c r="AL57" s="338"/>
      <c r="AM57" s="338"/>
      <c r="AN57" s="338"/>
      <c r="AO57" s="338"/>
      <c r="AP57" s="338"/>
      <c r="AQ57" s="338"/>
      <c r="AR57" s="338"/>
    </row>
    <row r="58" spans="1:44" ht="23.25" customHeight="1">
      <c r="A58" s="487">
        <v>46107</v>
      </c>
      <c r="B58" s="445" t="s">
        <v>2848</v>
      </c>
      <c r="C58" s="437" t="s">
        <v>2847</v>
      </c>
      <c r="D58" s="361" t="s">
        <v>3032</v>
      </c>
      <c r="E58" s="880" t="s">
        <v>3243</v>
      </c>
      <c r="F58" s="396" t="s">
        <v>52</v>
      </c>
      <c r="G58" s="401">
        <v>450</v>
      </c>
      <c r="H58" s="497" t="s">
        <v>2846</v>
      </c>
      <c r="I58" s="484" t="s">
        <v>2440</v>
      </c>
      <c r="J58" s="404" t="s">
        <v>2845</v>
      </c>
      <c r="K58" s="387" t="s">
        <v>53</v>
      </c>
      <c r="L58" s="427" t="s">
        <v>2310</v>
      </c>
      <c r="M58" s="383">
        <v>46171</v>
      </c>
      <c r="N58" s="328"/>
      <c r="O58" s="382" t="s">
        <v>55</v>
      </c>
      <c r="P58" s="679">
        <v>43875</v>
      </c>
      <c r="Q58" s="425">
        <v>46118</v>
      </c>
      <c r="R58" s="366" t="s">
        <v>636</v>
      </c>
      <c r="S58" s="422">
        <v>78</v>
      </c>
      <c r="T58" s="422">
        <v>40</v>
      </c>
      <c r="U58" s="422">
        <v>20</v>
      </c>
      <c r="V58" s="549">
        <v>10</v>
      </c>
      <c r="W58" s="386">
        <f>ROUND(G58/V58,2)</f>
        <v>45</v>
      </c>
      <c r="X58" s="388">
        <f>18*W58</f>
        <v>810</v>
      </c>
      <c r="Y58" s="408">
        <f>ROUND((S58*T58*U58)*0.000001*W58,2)</f>
        <v>2.81</v>
      </c>
      <c r="Z58" s="627">
        <v>15.14</v>
      </c>
      <c r="AA58" s="360">
        <f>Z58*G58</f>
        <v>6813</v>
      </c>
      <c r="AB58" s="419" t="s">
        <v>46</v>
      </c>
      <c r="AC58" s="355" t="s">
        <v>46</v>
      </c>
      <c r="AD58" s="327"/>
      <c r="AE58" s="425">
        <v>46118</v>
      </c>
      <c r="AF58" s="425">
        <v>46118</v>
      </c>
      <c r="AG58" s="345"/>
      <c r="AH58" s="446">
        <v>46129</v>
      </c>
      <c r="AI58" s="345"/>
      <c r="AJ58" s="720" t="s">
        <v>3402</v>
      </c>
      <c r="AK58" s="375"/>
      <c r="AL58" s="375"/>
      <c r="AM58" s="375"/>
      <c r="AN58" s="345"/>
      <c r="AO58" s="345"/>
      <c r="AP58" s="345"/>
      <c r="AQ58" s="345"/>
      <c r="AR58" s="446" t="s">
        <v>1301</v>
      </c>
    </row>
    <row r="59" spans="1:44" ht="27" customHeight="1">
      <c r="A59" s="487">
        <v>46083</v>
      </c>
      <c r="B59" s="445" t="s">
        <v>2455</v>
      </c>
      <c r="C59" s="437" t="s">
        <v>2454</v>
      </c>
      <c r="D59" s="361" t="s">
        <v>2515</v>
      </c>
      <c r="E59" s="736"/>
      <c r="F59" s="396" t="s">
        <v>52</v>
      </c>
      <c r="G59" s="486">
        <v>100</v>
      </c>
      <c r="H59" s="497" t="s">
        <v>2453</v>
      </c>
      <c r="I59" s="393" t="s">
        <v>317</v>
      </c>
      <c r="J59" s="914" t="s">
        <v>59</v>
      </c>
      <c r="K59" s="485" t="s">
        <v>56</v>
      </c>
      <c r="L59" s="363" t="s">
        <v>2408</v>
      </c>
      <c r="M59" s="383">
        <v>46171</v>
      </c>
      <c r="N59" s="328"/>
      <c r="O59" s="417" t="s">
        <v>55</v>
      </c>
      <c r="P59" s="417">
        <v>45428</v>
      </c>
      <c r="Q59" s="417">
        <v>46101</v>
      </c>
      <c r="R59" s="328" t="s">
        <v>49</v>
      </c>
      <c r="S59" s="368">
        <v>62</v>
      </c>
      <c r="T59" s="368">
        <v>37</v>
      </c>
      <c r="U59" s="407">
        <v>55</v>
      </c>
      <c r="V59" s="368">
        <v>5</v>
      </c>
      <c r="W59" s="386">
        <f t="shared" ref="W59" si="7">ROUND(G59/V59,2)</f>
        <v>20</v>
      </c>
      <c r="X59" s="777">
        <f>16.5*W59</f>
        <v>330</v>
      </c>
      <c r="Y59" s="776">
        <f t="shared" ref="Y59" si="8">ROUND((S59*T59*U59)*0.000001*W59,2)</f>
        <v>2.52</v>
      </c>
      <c r="Z59" s="376">
        <v>28.02</v>
      </c>
      <c r="AA59" s="775">
        <f t="shared" ref="AA59" si="9">Z59*G59</f>
        <v>2802</v>
      </c>
      <c r="AB59" s="355" t="s">
        <v>46</v>
      </c>
      <c r="AC59" s="362"/>
      <c r="AD59" s="327"/>
      <c r="AE59" s="417">
        <v>46101</v>
      </c>
      <c r="AF59" s="446">
        <v>46104</v>
      </c>
      <c r="AG59" s="345"/>
      <c r="AH59" s="345"/>
      <c r="AI59" s="345"/>
      <c r="AJ59" s="720"/>
      <c r="AK59" s="375"/>
      <c r="AL59" s="375"/>
      <c r="AM59" s="375"/>
      <c r="AN59" s="375"/>
      <c r="AO59" s="345"/>
      <c r="AP59" s="345"/>
      <c r="AQ59" s="345"/>
      <c r="AR59" s="663" t="s">
        <v>1301</v>
      </c>
    </row>
    <row r="60" spans="1:44" ht="27" customHeight="1">
      <c r="A60" s="330"/>
      <c r="B60" s="331"/>
      <c r="C60" s="332"/>
      <c r="D60" s="333"/>
      <c r="E60" s="334"/>
      <c r="F60" s="334"/>
      <c r="G60" s="335">
        <f>SUM(G58:G59)</f>
        <v>550</v>
      </c>
      <c r="H60" s="334"/>
      <c r="I60" s="334"/>
      <c r="J60" s="334"/>
      <c r="K60" s="334"/>
      <c r="L60" s="336"/>
      <c r="M60" s="332"/>
      <c r="N60" s="332"/>
      <c r="O60" s="337"/>
      <c r="P60" s="338"/>
      <c r="Q60" s="332"/>
      <c r="R60" s="339"/>
      <c r="S60" s="340"/>
      <c r="T60" s="340"/>
      <c r="U60" s="340"/>
      <c r="V60" s="340"/>
      <c r="W60" s="341"/>
      <c r="X60" s="342"/>
      <c r="Y60" s="343">
        <f>SUM(Y58:Y59)</f>
        <v>5.33</v>
      </c>
      <c r="Z60" s="342"/>
      <c r="AA60" s="344"/>
      <c r="AB60" s="332"/>
      <c r="AC60" s="332"/>
      <c r="AD60" s="339"/>
      <c r="AE60" s="337"/>
      <c r="AF60" s="338"/>
      <c r="AG60" s="337"/>
      <c r="AH60" s="338"/>
      <c r="AI60" s="337"/>
      <c r="AJ60" s="338"/>
      <c r="AK60" s="338"/>
      <c r="AL60" s="338"/>
      <c r="AM60" s="338"/>
      <c r="AN60" s="338"/>
      <c r="AO60" s="338"/>
      <c r="AP60" s="338"/>
      <c r="AQ60" s="338"/>
      <c r="AR60" s="338"/>
    </row>
    <row r="61" spans="1:44" ht="27.75" customHeight="1">
      <c r="A61" s="351" t="s">
        <v>3400</v>
      </c>
      <c r="B61" s="331"/>
      <c r="C61" s="332"/>
      <c r="D61" s="555" t="s">
        <v>3401</v>
      </c>
      <c r="E61" s="334"/>
      <c r="F61" s="334"/>
      <c r="G61" s="524"/>
      <c r="H61" s="341"/>
      <c r="I61" s="334"/>
      <c r="J61" s="334"/>
      <c r="K61" s="334"/>
      <c r="L61" s="336"/>
      <c r="M61" s="332"/>
      <c r="N61" s="332"/>
      <c r="O61" s="337"/>
      <c r="P61" s="338"/>
      <c r="Q61" s="337"/>
      <c r="R61" s="339"/>
      <c r="S61" s="340"/>
      <c r="T61" s="340"/>
      <c r="U61" s="340"/>
      <c r="V61" s="340"/>
      <c r="W61" s="341"/>
      <c r="X61" s="342"/>
      <c r="Y61" s="350"/>
      <c r="Z61" s="342"/>
      <c r="AA61" s="344"/>
      <c r="AB61" s="332"/>
      <c r="AC61" s="332"/>
      <c r="AD61" s="339"/>
      <c r="AE61" s="337"/>
      <c r="AF61" s="338"/>
      <c r="AG61" s="337"/>
      <c r="AH61" s="338"/>
      <c r="AI61" s="337"/>
      <c r="AJ61" s="338"/>
      <c r="AK61" s="338"/>
      <c r="AL61" s="338"/>
      <c r="AM61" s="338"/>
      <c r="AN61" s="338"/>
      <c r="AO61" s="338"/>
      <c r="AP61" s="338"/>
      <c r="AQ61" s="338"/>
      <c r="AR61" s="338"/>
    </row>
    <row r="62" spans="1:44" s="910" customFormat="1" ht="27" customHeight="1">
      <c r="A62" s="798">
        <v>46115</v>
      </c>
      <c r="B62" s="445" t="s">
        <v>2983</v>
      </c>
      <c r="C62" s="437" t="s">
        <v>2986</v>
      </c>
      <c r="D62" s="327" t="s">
        <v>3029</v>
      </c>
      <c r="E62" s="358" t="s">
        <v>2132</v>
      </c>
      <c r="F62" s="363" t="s">
        <v>70</v>
      </c>
      <c r="G62" s="363">
        <v>864</v>
      </c>
      <c r="H62" s="498" t="s">
        <v>381</v>
      </c>
      <c r="I62" s="404" t="s">
        <v>135</v>
      </c>
      <c r="J62" s="363" t="s">
        <v>70</v>
      </c>
      <c r="K62" s="363" t="s">
        <v>53</v>
      </c>
      <c r="L62" s="392" t="s">
        <v>64</v>
      </c>
      <c r="M62" s="416">
        <v>46171</v>
      </c>
      <c r="N62" s="403" t="s">
        <v>1239</v>
      </c>
      <c r="O62" s="690" t="s">
        <v>1822</v>
      </c>
      <c r="P62" s="374" t="s">
        <v>44</v>
      </c>
      <c r="Q62" s="425">
        <v>46134</v>
      </c>
      <c r="R62" s="365" t="s">
        <v>57</v>
      </c>
      <c r="S62" s="407">
        <f>ROUND(15.5*2.54,2)</f>
        <v>39.369999999999997</v>
      </c>
      <c r="T62" s="407">
        <f>ROUND(11.5*2.54,2)</f>
        <v>29.21</v>
      </c>
      <c r="U62" s="407">
        <f>ROUND(8*2.54,2)</f>
        <v>20.32</v>
      </c>
      <c r="V62" s="355">
        <v>6</v>
      </c>
      <c r="W62" s="327">
        <f>ROUND(G62/V62,2)</f>
        <v>144</v>
      </c>
      <c r="X62" s="386">
        <f>4.5*W62</f>
        <v>648</v>
      </c>
      <c r="Y62" s="355">
        <f>ROUND((S62*T62*U62)*0.000001*W62,2)</f>
        <v>3.36</v>
      </c>
      <c r="Z62" s="909">
        <v>4.49</v>
      </c>
      <c r="AA62" s="908">
        <f>Z62*G62</f>
        <v>3879.36</v>
      </c>
      <c r="AB62" s="371" t="s">
        <v>46</v>
      </c>
      <c r="AC62" s="361"/>
      <c r="AD62" s="699"/>
      <c r="AE62" s="425">
        <v>46134</v>
      </c>
      <c r="AF62" s="425">
        <v>46128</v>
      </c>
      <c r="AG62" s="345"/>
      <c r="AH62" s="375"/>
      <c r="AI62" s="345"/>
      <c r="AJ62" s="375" t="s">
        <v>3048</v>
      </c>
      <c r="AK62" s="375"/>
      <c r="AL62" s="375"/>
      <c r="AM62" s="375"/>
      <c r="AN62" s="329"/>
      <c r="AO62" s="329"/>
      <c r="AP62" s="329"/>
      <c r="AQ62" s="370"/>
      <c r="AR62" s="663" t="s">
        <v>1301</v>
      </c>
    </row>
    <row r="63" spans="1:44" s="911" customFormat="1" ht="27" customHeight="1">
      <c r="A63" s="798">
        <v>46115</v>
      </c>
      <c r="B63" s="445" t="s">
        <v>2983</v>
      </c>
      <c r="C63" s="437" t="s">
        <v>2987</v>
      </c>
      <c r="D63" s="438" t="s">
        <v>3030</v>
      </c>
      <c r="E63" s="363" t="s">
        <v>3250</v>
      </c>
      <c r="F63" s="363" t="s">
        <v>70</v>
      </c>
      <c r="G63" s="401">
        <v>320</v>
      </c>
      <c r="H63" s="393" t="s">
        <v>2985</v>
      </c>
      <c r="I63" s="402" t="s">
        <v>2984</v>
      </c>
      <c r="J63" s="907" t="s">
        <v>705</v>
      </c>
      <c r="K63" s="759" t="s">
        <v>71</v>
      </c>
      <c r="L63" s="391" t="s">
        <v>72</v>
      </c>
      <c r="M63" s="416">
        <v>46171</v>
      </c>
      <c r="N63" s="813"/>
      <c r="O63" s="446" t="s">
        <v>1822</v>
      </c>
      <c r="P63" s="494">
        <v>42566</v>
      </c>
      <c r="Q63" s="446">
        <v>46128</v>
      </c>
      <c r="R63" s="814" t="s">
        <v>123</v>
      </c>
      <c r="S63" s="543">
        <v>44.6</v>
      </c>
      <c r="T63" s="543">
        <v>23.6</v>
      </c>
      <c r="U63" s="956">
        <v>15</v>
      </c>
      <c r="V63" s="401">
        <v>4</v>
      </c>
      <c r="W63" s="632">
        <f>ROUND(G63/V63,2)</f>
        <v>80</v>
      </c>
      <c r="X63" s="413">
        <f>(1*V63+0.4)*W63</f>
        <v>352</v>
      </c>
      <c r="Y63" s="769">
        <f>ROUND((S63*T63*U63)*0.000001*W63,2)</f>
        <v>1.26</v>
      </c>
      <c r="Z63" s="376">
        <v>5.78</v>
      </c>
      <c r="AA63" s="771">
        <f>Z63*G63</f>
        <v>1849.6000000000001</v>
      </c>
      <c r="AB63" s="396" t="s">
        <v>46</v>
      </c>
      <c r="AC63" s="438"/>
      <c r="AD63" s="416" t="s">
        <v>73</v>
      </c>
      <c r="AE63" s="446">
        <v>46128</v>
      </c>
      <c r="AF63" s="446">
        <v>46128</v>
      </c>
      <c r="AG63" s="375"/>
      <c r="AH63" s="375"/>
      <c r="AI63" s="345"/>
      <c r="AJ63" s="375" t="s">
        <v>3048</v>
      </c>
      <c r="AK63" s="375"/>
      <c r="AL63" s="375"/>
      <c r="AM63" s="375"/>
      <c r="AN63" s="375"/>
      <c r="AO63" s="329"/>
      <c r="AP63" s="329"/>
      <c r="AQ63" s="329"/>
      <c r="AR63" s="663" t="s">
        <v>1301</v>
      </c>
    </row>
    <row r="64" spans="1:44" s="904" customFormat="1" ht="27" customHeight="1">
      <c r="A64" s="798">
        <v>46115</v>
      </c>
      <c r="B64" s="445" t="s">
        <v>2983</v>
      </c>
      <c r="C64" s="437" t="s">
        <v>2988</v>
      </c>
      <c r="D64" s="404" t="s">
        <v>3029</v>
      </c>
      <c r="E64" s="393" t="s">
        <v>2132</v>
      </c>
      <c r="F64" s="363" t="s">
        <v>70</v>
      </c>
      <c r="G64" s="401">
        <v>3456</v>
      </c>
      <c r="H64" s="497" t="s">
        <v>291</v>
      </c>
      <c r="I64" s="402" t="s">
        <v>74</v>
      </c>
      <c r="J64" s="363" t="s">
        <v>70</v>
      </c>
      <c r="K64" s="402" t="s">
        <v>75</v>
      </c>
      <c r="L64" s="392" t="s">
        <v>64</v>
      </c>
      <c r="M64" s="416">
        <v>46171</v>
      </c>
      <c r="N64" s="813"/>
      <c r="O64" s="363" t="s">
        <v>1710</v>
      </c>
      <c r="P64" s="494" t="s">
        <v>44</v>
      </c>
      <c r="Q64" s="425">
        <v>46128</v>
      </c>
      <c r="R64" s="814" t="s">
        <v>123</v>
      </c>
      <c r="S64" s="543">
        <f>ROUND(15.5*2.54,2)</f>
        <v>39.369999999999997</v>
      </c>
      <c r="T64" s="543">
        <f>ROUND(11.5*2.54,2)</f>
        <v>29.21</v>
      </c>
      <c r="U64" s="543">
        <f>ROUND(8*2.54,2)</f>
        <v>20.32</v>
      </c>
      <c r="V64" s="401">
        <v>6</v>
      </c>
      <c r="W64" s="543">
        <f>ROUND(G64/V64,2)</f>
        <v>576</v>
      </c>
      <c r="X64" s="632">
        <f>4.5*W64</f>
        <v>2592</v>
      </c>
      <c r="Y64" s="376">
        <f>ROUND((S64*T64*U64)*0.000001*W64,2)</f>
        <v>13.46</v>
      </c>
      <c r="Z64" s="906">
        <v>4.49</v>
      </c>
      <c r="AA64" s="905">
        <f>Z64*G64</f>
        <v>15517.44</v>
      </c>
      <c r="AB64" s="421" t="s">
        <v>46</v>
      </c>
      <c r="AC64" s="438"/>
      <c r="AD64" s="699"/>
      <c r="AE64" s="425">
        <v>46128</v>
      </c>
      <c r="AF64" s="425">
        <v>46128</v>
      </c>
      <c r="AG64" s="345"/>
      <c r="AH64" s="375"/>
      <c r="AI64" s="345"/>
      <c r="AJ64" s="375" t="s">
        <v>3466</v>
      </c>
      <c r="AK64" s="375" t="s">
        <v>3466</v>
      </c>
      <c r="AL64" s="375" t="s">
        <v>3466</v>
      </c>
      <c r="AM64" s="375"/>
      <c r="AN64" s="329"/>
      <c r="AO64" s="329"/>
      <c r="AP64" s="329"/>
      <c r="AQ64" s="370"/>
      <c r="AR64" s="663" t="s">
        <v>1301</v>
      </c>
    </row>
    <row r="65" spans="1:44" ht="27" customHeight="1">
      <c r="A65" s="351"/>
      <c r="B65" s="331"/>
      <c r="C65" s="332"/>
      <c r="D65" s="333"/>
      <c r="E65" s="334"/>
      <c r="F65" s="334"/>
      <c r="G65" s="903">
        <f>SUM(G62:G64)</f>
        <v>4640</v>
      </c>
      <c r="H65" s="341"/>
      <c r="I65" s="334"/>
      <c r="J65" s="334"/>
      <c r="K65" s="334"/>
      <c r="L65" s="336"/>
      <c r="M65" s="332"/>
      <c r="N65" s="332"/>
      <c r="O65" s="337"/>
      <c r="P65" s="338"/>
      <c r="Q65" s="337"/>
      <c r="R65" s="339"/>
      <c r="S65" s="340"/>
      <c r="T65" s="340"/>
      <c r="U65" s="340"/>
      <c r="V65" s="340"/>
      <c r="W65" s="341">
        <f>SUM(W62:W64)</f>
        <v>800</v>
      </c>
      <c r="X65" s="342">
        <f>SUM(X62:X64)</f>
        <v>3592</v>
      </c>
      <c r="Y65" s="343">
        <f>SUM(Y62:Y64)</f>
        <v>18.080000000000002</v>
      </c>
      <c r="Z65" s="343"/>
      <c r="AA65" s="902">
        <f>SUM(AA62:AA64)</f>
        <v>21246.400000000001</v>
      </c>
      <c r="AB65" s="332"/>
      <c r="AC65" s="332"/>
      <c r="AD65" s="339"/>
      <c r="AE65" s="337"/>
      <c r="AF65" s="338"/>
      <c r="AG65" s="337"/>
      <c r="AH65" s="338"/>
      <c r="AI65" s="337"/>
      <c r="AJ65" s="338"/>
      <c r="AK65" s="338"/>
      <c r="AL65" s="338"/>
      <c r="AM65" s="338"/>
      <c r="AN65" s="338"/>
      <c r="AO65" s="338"/>
      <c r="AP65" s="338"/>
      <c r="AQ65" s="338"/>
      <c r="AR65" s="338"/>
    </row>
    <row r="66" spans="1:44" ht="27.75" customHeight="1">
      <c r="A66" s="351" t="s">
        <v>3465</v>
      </c>
      <c r="B66" s="331"/>
      <c r="C66" s="332"/>
      <c r="D66" s="333"/>
      <c r="E66" s="334"/>
      <c r="F66" s="334"/>
      <c r="G66" s="524"/>
      <c r="H66" s="341"/>
      <c r="I66" s="334"/>
      <c r="J66" s="334"/>
      <c r="K66" s="334"/>
      <c r="L66" s="336"/>
      <c r="M66" s="332"/>
      <c r="N66" s="332"/>
      <c r="O66" s="337"/>
      <c r="P66" s="338"/>
      <c r="Q66" s="337"/>
      <c r="R66" s="339"/>
      <c r="S66" s="340"/>
      <c r="T66" s="340"/>
      <c r="U66" s="340"/>
      <c r="V66" s="340"/>
      <c r="W66" s="341"/>
      <c r="X66" s="342"/>
      <c r="Y66" s="350"/>
      <c r="Z66" s="342"/>
      <c r="AA66" s="344"/>
      <c r="AB66" s="332"/>
      <c r="AC66" s="332"/>
      <c r="AD66" s="339"/>
      <c r="AE66" s="337"/>
      <c r="AF66" s="338"/>
      <c r="AG66" s="337"/>
      <c r="AH66" s="338"/>
      <c r="AI66" s="337"/>
      <c r="AJ66" s="338"/>
      <c r="AK66" s="338"/>
      <c r="AL66" s="338"/>
      <c r="AM66" s="338"/>
      <c r="AN66" s="338"/>
      <c r="AO66" s="338"/>
      <c r="AP66" s="338"/>
      <c r="AQ66" s="338"/>
      <c r="AR66" s="338"/>
    </row>
    <row r="67" spans="1:44" ht="30" customHeight="1">
      <c r="A67" s="487">
        <v>46100</v>
      </c>
      <c r="B67" s="445" t="s">
        <v>2585</v>
      </c>
      <c r="C67" s="437" t="s">
        <v>2537</v>
      </c>
      <c r="D67" s="361" t="s">
        <v>2899</v>
      </c>
      <c r="E67" s="525" t="s">
        <v>2526</v>
      </c>
      <c r="F67" s="396" t="s">
        <v>52</v>
      </c>
      <c r="G67" s="396">
        <v>100</v>
      </c>
      <c r="H67" s="393" t="s">
        <v>1270</v>
      </c>
      <c r="I67" s="404" t="s">
        <v>2233</v>
      </c>
      <c r="J67" s="914" t="s">
        <v>59</v>
      </c>
      <c r="K67" s="404" t="s">
        <v>63</v>
      </c>
      <c r="L67" s="392" t="s">
        <v>64</v>
      </c>
      <c r="M67" s="383">
        <v>46176</v>
      </c>
      <c r="N67" s="665" t="s">
        <v>54</v>
      </c>
      <c r="O67" s="369" t="s">
        <v>1386</v>
      </c>
      <c r="P67" s="395">
        <v>45320</v>
      </c>
      <c r="Q67" s="425">
        <v>46139</v>
      </c>
      <c r="R67" s="390" t="s">
        <v>59</v>
      </c>
      <c r="S67" s="683">
        <v>134</v>
      </c>
      <c r="T67" s="683">
        <v>102</v>
      </c>
      <c r="U67" s="683">
        <v>20</v>
      </c>
      <c r="V67" s="389">
        <v>1</v>
      </c>
      <c r="W67" s="347">
        <f t="shared" ref="W67:W72" si="10">ROUND(G67/V67,2)</f>
        <v>100</v>
      </c>
      <c r="X67" s="682">
        <f>50*W67</f>
        <v>5000</v>
      </c>
      <c r="Y67" s="414">
        <f t="shared" ref="Y67:Y72" si="11">ROUND((S67*T67*U67)*0.000001*W67,2)</f>
        <v>27.34</v>
      </c>
      <c r="Z67" s="761">
        <v>305.75</v>
      </c>
      <c r="AA67" s="360">
        <f t="shared" ref="AA67:AA72" si="12">Z67*G67</f>
        <v>30575</v>
      </c>
      <c r="AB67" s="355" t="s">
        <v>46</v>
      </c>
      <c r="AC67" s="355"/>
      <c r="AD67" s="327"/>
      <c r="AE67" s="425">
        <v>46139</v>
      </c>
      <c r="AF67" s="425">
        <v>46135</v>
      </c>
      <c r="AG67" s="345"/>
      <c r="AH67" s="345"/>
      <c r="AI67" s="345"/>
      <c r="AJ67" s="375" t="s">
        <v>3050</v>
      </c>
      <c r="AK67" s="375"/>
      <c r="AL67" s="375"/>
      <c r="AM67" s="375"/>
      <c r="AN67" s="375"/>
      <c r="AO67" s="345"/>
      <c r="AP67" s="375"/>
      <c r="AQ67" s="446" t="s">
        <v>2075</v>
      </c>
      <c r="AR67" s="375">
        <v>46161</v>
      </c>
    </row>
    <row r="68" spans="1:44" ht="27" customHeight="1">
      <c r="A68" s="487">
        <v>46100</v>
      </c>
      <c r="B68" s="445" t="s">
        <v>2579</v>
      </c>
      <c r="C68" s="437" t="s">
        <v>2578</v>
      </c>
      <c r="D68" s="361" t="s">
        <v>2895</v>
      </c>
      <c r="E68" s="736"/>
      <c r="F68" s="396" t="s">
        <v>52</v>
      </c>
      <c r="G68" s="392">
        <v>500</v>
      </c>
      <c r="H68" s="527" t="s">
        <v>2356</v>
      </c>
      <c r="I68" s="484" t="s">
        <v>1774</v>
      </c>
      <c r="J68" s="363" t="s">
        <v>49</v>
      </c>
      <c r="K68" s="534" t="s">
        <v>56</v>
      </c>
      <c r="L68" s="363" t="s">
        <v>2589</v>
      </c>
      <c r="M68" s="383">
        <v>46176</v>
      </c>
      <c r="N68" s="328"/>
      <c r="O68" s="394" t="s">
        <v>2357</v>
      </c>
      <c r="P68" s="697">
        <v>42022</v>
      </c>
      <c r="Q68" s="425">
        <v>46107</v>
      </c>
      <c r="R68" s="425">
        <v>46107</v>
      </c>
      <c r="S68" s="696">
        <v>62</v>
      </c>
      <c r="T68" s="696">
        <v>38</v>
      </c>
      <c r="U68" s="696">
        <v>52</v>
      </c>
      <c r="V68" s="695">
        <v>5</v>
      </c>
      <c r="W68" s="364">
        <f>ROUND(G68/V68,2)</f>
        <v>100</v>
      </c>
      <c r="X68" s="694">
        <f>19*W68</f>
        <v>1900</v>
      </c>
      <c r="Y68" s="359">
        <f>ROUND((S68*T68*U68)*0.000001*W68,2)</f>
        <v>12.25</v>
      </c>
      <c r="Z68" s="376">
        <v>38.369999999999997</v>
      </c>
      <c r="AA68" s="360">
        <f>Z68*G68</f>
        <v>19185</v>
      </c>
      <c r="AB68" s="372" t="s">
        <v>46</v>
      </c>
      <c r="AC68" s="362"/>
      <c r="AD68" s="327"/>
      <c r="AE68" s="425">
        <v>46107</v>
      </c>
      <c r="AF68" s="425">
        <v>46107</v>
      </c>
      <c r="AG68" s="345"/>
      <c r="AH68" s="345"/>
      <c r="AI68" s="345"/>
      <c r="AJ68" s="375" t="s">
        <v>3050</v>
      </c>
      <c r="AK68" s="375"/>
      <c r="AL68" s="375"/>
      <c r="AM68" s="375"/>
      <c r="AN68" s="375"/>
      <c r="AO68" s="345"/>
      <c r="AP68" s="446">
        <v>46133</v>
      </c>
      <c r="AQ68" s="446" t="s">
        <v>2075</v>
      </c>
      <c r="AR68" s="446" t="s">
        <v>1301</v>
      </c>
    </row>
    <row r="69" spans="1:44" ht="33.75" customHeight="1">
      <c r="A69" s="731">
        <v>46027</v>
      </c>
      <c r="B69" s="445" t="s">
        <v>3374</v>
      </c>
      <c r="C69" s="437" t="s">
        <v>2369</v>
      </c>
      <c r="D69" s="361" t="s">
        <v>2398</v>
      </c>
      <c r="E69" s="399"/>
      <c r="F69" s="396" t="s">
        <v>52</v>
      </c>
      <c r="G69" s="397">
        <v>500</v>
      </c>
      <c r="H69" s="498" t="s">
        <v>1231</v>
      </c>
      <c r="I69" s="363" t="s">
        <v>1187</v>
      </c>
      <c r="J69" s="484" t="s">
        <v>59</v>
      </c>
      <c r="K69" s="363" t="s">
        <v>56</v>
      </c>
      <c r="L69" s="427" t="s">
        <v>72</v>
      </c>
      <c r="M69" s="383">
        <v>46176</v>
      </c>
      <c r="N69" s="505"/>
      <c r="O69" s="398" t="s">
        <v>55</v>
      </c>
      <c r="P69" s="715" t="s">
        <v>44</v>
      </c>
      <c r="Q69" s="425">
        <v>46044</v>
      </c>
      <c r="R69" s="327" t="s">
        <v>49</v>
      </c>
      <c r="S69" s="368">
        <v>36</v>
      </c>
      <c r="T69" s="355">
        <v>36</v>
      </c>
      <c r="U69" s="368">
        <v>57</v>
      </c>
      <c r="V69" s="355">
        <v>5</v>
      </c>
      <c r="W69" s="355">
        <f>ROUND(G69/V69,2)</f>
        <v>100</v>
      </c>
      <c r="X69" s="355">
        <f>9*W69</f>
        <v>900</v>
      </c>
      <c r="Y69" s="355">
        <f t="shared" ref="Y69" si="13">ROUND((S69*T69*U69)*0.000001*W69,2)</f>
        <v>7.39</v>
      </c>
      <c r="Z69" s="396">
        <v>13.75</v>
      </c>
      <c r="AA69" s="717">
        <f>Z69*G69</f>
        <v>6875</v>
      </c>
      <c r="AB69" s="716" t="s">
        <v>46</v>
      </c>
      <c r="AC69" s="355"/>
      <c r="AD69" s="327"/>
      <c r="AE69" s="425">
        <v>46044</v>
      </c>
      <c r="AF69" s="425">
        <v>46044</v>
      </c>
      <c r="AG69" s="345"/>
      <c r="AH69" s="345"/>
      <c r="AI69" s="345"/>
      <c r="AJ69" s="446">
        <v>46097</v>
      </c>
      <c r="AK69" s="446">
        <v>46097</v>
      </c>
      <c r="AL69" s="446">
        <v>46097</v>
      </c>
      <c r="AM69" s="375"/>
      <c r="AN69" s="345"/>
      <c r="AO69" s="345"/>
      <c r="AP69" s="375"/>
      <c r="AQ69" s="446" t="s">
        <v>2075</v>
      </c>
      <c r="AR69" s="375">
        <v>46167</v>
      </c>
    </row>
    <row r="70" spans="1:44" ht="30" customHeight="1">
      <c r="A70" s="487">
        <v>46083</v>
      </c>
      <c r="B70" s="445" t="s">
        <v>2435</v>
      </c>
      <c r="C70" s="437" t="s">
        <v>2434</v>
      </c>
      <c r="D70" s="361" t="s">
        <v>2514</v>
      </c>
      <c r="E70" s="880" t="s">
        <v>3418</v>
      </c>
      <c r="F70" s="396" t="s">
        <v>52</v>
      </c>
      <c r="G70" s="486">
        <v>240</v>
      </c>
      <c r="H70" s="527" t="s">
        <v>2433</v>
      </c>
      <c r="I70" s="363" t="s">
        <v>617</v>
      </c>
      <c r="J70" s="391" t="s">
        <v>1993</v>
      </c>
      <c r="K70" s="363" t="s">
        <v>56</v>
      </c>
      <c r="L70" s="363" t="s">
        <v>68</v>
      </c>
      <c r="M70" s="383">
        <v>46176</v>
      </c>
      <c r="N70" s="328"/>
      <c r="O70" s="382" t="s">
        <v>55</v>
      </c>
      <c r="P70" s="374" t="s">
        <v>44</v>
      </c>
      <c r="Q70" s="446">
        <v>46091</v>
      </c>
      <c r="R70" s="381" t="s">
        <v>57</v>
      </c>
      <c r="S70" s="380">
        <v>54</v>
      </c>
      <c r="T70" s="380">
        <v>54</v>
      </c>
      <c r="U70" s="380">
        <v>60</v>
      </c>
      <c r="V70" s="379">
        <v>5</v>
      </c>
      <c r="W70" s="378">
        <f>ROUND(G70/V70,2)</f>
        <v>48</v>
      </c>
      <c r="X70" s="377">
        <f>15*W70</f>
        <v>720</v>
      </c>
      <c r="Y70" s="768">
        <f>ROUND((S70*T70*U70)*0.000001*W70,2)</f>
        <v>8.4</v>
      </c>
      <c r="Z70" s="376">
        <v>29.78</v>
      </c>
      <c r="AA70" s="360">
        <f>Z70*G70</f>
        <v>7147.2000000000007</v>
      </c>
      <c r="AB70" s="346" t="s">
        <v>46</v>
      </c>
      <c r="AC70" s="362"/>
      <c r="AD70" s="327"/>
      <c r="AE70" s="446">
        <v>46091</v>
      </c>
      <c r="AF70" s="446">
        <v>46091</v>
      </c>
      <c r="AG70" s="345"/>
      <c r="AH70" s="375"/>
      <c r="AI70" s="345"/>
      <c r="AJ70" s="375" t="s">
        <v>3050</v>
      </c>
      <c r="AK70" s="375"/>
      <c r="AL70" s="375"/>
      <c r="AM70" s="375"/>
      <c r="AN70" s="375"/>
      <c r="AO70" s="345"/>
      <c r="AP70" s="446">
        <v>46135</v>
      </c>
      <c r="AQ70" s="446" t="s">
        <v>2075</v>
      </c>
      <c r="AR70" s="446" t="s">
        <v>1301</v>
      </c>
    </row>
    <row r="71" spans="1:44" ht="30" customHeight="1">
      <c r="A71" s="487">
        <v>46122</v>
      </c>
      <c r="B71" s="445" t="s">
        <v>3014</v>
      </c>
      <c r="C71" s="437" t="s">
        <v>3013</v>
      </c>
      <c r="D71" s="361"/>
      <c r="E71" s="736"/>
      <c r="F71" s="396" t="s">
        <v>52</v>
      </c>
      <c r="G71" s="392">
        <v>100</v>
      </c>
      <c r="H71" s="486" t="s">
        <v>3012</v>
      </c>
      <c r="I71" s="914" t="s">
        <v>3011</v>
      </c>
      <c r="J71" s="914" t="s">
        <v>59</v>
      </c>
      <c r="K71" s="644" t="s">
        <v>1274</v>
      </c>
      <c r="L71" s="601" t="s">
        <v>3010</v>
      </c>
      <c r="M71" s="383">
        <v>46176</v>
      </c>
      <c r="N71" s="505"/>
      <c r="O71" s="358"/>
      <c r="P71" s="495">
        <v>42227</v>
      </c>
      <c r="Q71" s="390" t="s">
        <v>1678</v>
      </c>
      <c r="R71" s="390" t="s">
        <v>1678</v>
      </c>
      <c r="S71" s="380">
        <v>33</v>
      </c>
      <c r="T71" s="380">
        <v>27</v>
      </c>
      <c r="U71" s="380">
        <v>17</v>
      </c>
      <c r="V71" s="368">
        <v>4</v>
      </c>
      <c r="W71" s="386">
        <f t="shared" si="10"/>
        <v>25</v>
      </c>
      <c r="X71" s="385">
        <f>9*W71</f>
        <v>225</v>
      </c>
      <c r="Y71" s="420">
        <f t="shared" si="11"/>
        <v>0.38</v>
      </c>
      <c r="Z71" s="641">
        <v>5.09</v>
      </c>
      <c r="AA71" s="913">
        <f t="shared" si="12"/>
        <v>509</v>
      </c>
      <c r="AB71" s="355" t="s">
        <v>46</v>
      </c>
      <c r="AC71" s="355" t="s">
        <v>46</v>
      </c>
      <c r="AD71" s="327"/>
      <c r="AE71" s="345"/>
      <c r="AF71" s="345"/>
      <c r="AG71" s="345"/>
      <c r="AH71" s="345"/>
      <c r="AI71" s="345"/>
      <c r="AJ71" s="345"/>
      <c r="AK71" s="345"/>
      <c r="AL71" s="345"/>
      <c r="AM71" s="375"/>
      <c r="AN71" s="345"/>
      <c r="AO71" s="345"/>
      <c r="AP71" s="345"/>
      <c r="AQ71" s="446" t="s">
        <v>2075</v>
      </c>
      <c r="AR71" s="446" t="s">
        <v>1301</v>
      </c>
    </row>
    <row r="72" spans="1:44" ht="30" customHeight="1">
      <c r="A72" s="487">
        <v>46146</v>
      </c>
      <c r="B72" s="445" t="s">
        <v>3284</v>
      </c>
      <c r="C72" s="437" t="s">
        <v>3283</v>
      </c>
      <c r="D72" s="361"/>
      <c r="E72" s="488"/>
      <c r="F72" s="396" t="s">
        <v>52</v>
      </c>
      <c r="G72" s="401">
        <v>400</v>
      </c>
      <c r="H72" s="486" t="s">
        <v>3012</v>
      </c>
      <c r="I72" s="914" t="s">
        <v>3011</v>
      </c>
      <c r="J72" s="484" t="s">
        <v>59</v>
      </c>
      <c r="K72" s="644" t="s">
        <v>1274</v>
      </c>
      <c r="L72" s="601" t="s">
        <v>3010</v>
      </c>
      <c r="M72" s="383">
        <v>46176</v>
      </c>
      <c r="N72" s="505"/>
      <c r="O72" s="358"/>
      <c r="P72" s="495">
        <v>42227</v>
      </c>
      <c r="Q72" s="390" t="s">
        <v>1678</v>
      </c>
      <c r="R72" s="390" t="s">
        <v>1678</v>
      </c>
      <c r="S72" s="380">
        <v>33</v>
      </c>
      <c r="T72" s="380">
        <v>27</v>
      </c>
      <c r="U72" s="380">
        <v>17</v>
      </c>
      <c r="V72" s="368">
        <v>4</v>
      </c>
      <c r="W72" s="386">
        <f t="shared" si="10"/>
        <v>100</v>
      </c>
      <c r="X72" s="385">
        <f>9*W72</f>
        <v>900</v>
      </c>
      <c r="Y72" s="420">
        <f t="shared" si="11"/>
        <v>1.51</v>
      </c>
      <c r="Z72" s="641">
        <v>5.09</v>
      </c>
      <c r="AA72" s="913">
        <f t="shared" si="12"/>
        <v>2036</v>
      </c>
      <c r="AB72" s="355" t="s">
        <v>46</v>
      </c>
      <c r="AC72" s="355"/>
      <c r="AD72" s="327"/>
      <c r="AE72" s="345"/>
      <c r="AF72" s="345"/>
      <c r="AG72" s="345"/>
      <c r="AH72" s="345"/>
      <c r="AI72" s="345"/>
      <c r="AJ72" s="345"/>
      <c r="AK72" s="345"/>
      <c r="AL72" s="345"/>
      <c r="AM72" s="375"/>
      <c r="AN72" s="345"/>
      <c r="AO72" s="345"/>
      <c r="AP72" s="345"/>
      <c r="AQ72" s="446" t="s">
        <v>2075</v>
      </c>
      <c r="AR72" s="446" t="s">
        <v>1301</v>
      </c>
    </row>
    <row r="73" spans="1:44" ht="27" customHeight="1">
      <c r="A73" s="330"/>
      <c r="B73" s="331"/>
      <c r="C73" s="332"/>
      <c r="D73" s="333"/>
      <c r="E73" s="334"/>
      <c r="F73" s="334"/>
      <c r="G73" s="335">
        <f>SUM(G67:G72)</f>
        <v>1840</v>
      </c>
      <c r="H73" s="334"/>
      <c r="I73" s="334"/>
      <c r="J73" s="334"/>
      <c r="K73" s="334"/>
      <c r="L73" s="336"/>
      <c r="M73" s="332"/>
      <c r="N73" s="332"/>
      <c r="O73" s="337"/>
      <c r="P73" s="338"/>
      <c r="Q73" s="337"/>
      <c r="R73" s="339"/>
      <c r="S73" s="340"/>
      <c r="T73" s="340"/>
      <c r="U73" s="340"/>
      <c r="V73" s="340"/>
      <c r="W73" s="341"/>
      <c r="X73" s="342"/>
      <c r="Y73" s="343">
        <f>SUM(Y67:Y72)</f>
        <v>57.27</v>
      </c>
      <c r="Z73" s="342"/>
      <c r="AA73" s="344"/>
      <c r="AB73" s="332"/>
      <c r="AC73" s="332"/>
      <c r="AD73" s="339"/>
      <c r="AE73" s="337"/>
      <c r="AF73" s="338"/>
      <c r="AG73" s="337"/>
      <c r="AH73" s="338"/>
      <c r="AI73" s="337"/>
      <c r="AJ73" s="338"/>
      <c r="AK73" s="338"/>
      <c r="AL73" s="338"/>
      <c r="AM73" s="338"/>
      <c r="AN73" s="338"/>
      <c r="AO73" s="338"/>
      <c r="AP73" s="338"/>
      <c r="AQ73" s="338"/>
      <c r="AR73" s="338"/>
    </row>
    <row r="74" spans="1:44" ht="26.25" customHeight="1">
      <c r="A74" s="351" t="s">
        <v>3052</v>
      </c>
      <c r="B74" s="331"/>
      <c r="C74" s="332"/>
      <c r="D74" s="333"/>
      <c r="E74" s="334"/>
      <c r="F74" s="334"/>
      <c r="G74" s="524"/>
      <c r="H74" s="341"/>
      <c r="I74" s="334"/>
      <c r="J74" s="334"/>
      <c r="K74" s="334"/>
      <c r="L74" s="336"/>
      <c r="M74" s="332"/>
      <c r="N74" s="332"/>
      <c r="O74" s="337"/>
      <c r="P74" s="338"/>
      <c r="Q74" s="337"/>
      <c r="R74" s="339"/>
      <c r="S74" s="340"/>
      <c r="T74" s="340"/>
      <c r="U74" s="340"/>
      <c r="V74" s="340"/>
      <c r="W74" s="341"/>
      <c r="X74" s="342"/>
      <c r="Y74" s="350"/>
      <c r="Z74" s="342"/>
      <c r="AA74" s="344"/>
      <c r="AB74" s="332"/>
      <c r="AC74" s="332"/>
      <c r="AD74" s="339"/>
      <c r="AE74" s="337"/>
      <c r="AF74" s="338"/>
      <c r="AG74" s="337"/>
      <c r="AH74" s="338"/>
      <c r="AI74" s="337"/>
      <c r="AJ74" s="338"/>
      <c r="AK74" s="338"/>
      <c r="AL74" s="338"/>
      <c r="AM74" s="338"/>
      <c r="AN74" s="338"/>
      <c r="AO74" s="338"/>
      <c r="AP74" s="338"/>
      <c r="AQ74" s="338"/>
      <c r="AR74" s="338"/>
    </row>
    <row r="75" spans="1:44" customFormat="1" ht="25.5">
      <c r="A75" s="499">
        <v>46084</v>
      </c>
      <c r="B75" s="447" t="s">
        <v>2487</v>
      </c>
      <c r="C75" s="437" t="s">
        <v>2446</v>
      </c>
      <c r="D75" s="354" t="s">
        <v>2509</v>
      </c>
      <c r="E75" s="399"/>
      <c r="F75" s="396" t="s">
        <v>1680</v>
      </c>
      <c r="G75" s="363">
        <v>1000</v>
      </c>
      <c r="H75" s="498" t="s">
        <v>1681</v>
      </c>
      <c r="I75" s="363" t="s">
        <v>1682</v>
      </c>
      <c r="J75" s="396" t="s">
        <v>59</v>
      </c>
      <c r="K75" s="626" t="s">
        <v>53</v>
      </c>
      <c r="L75" s="363" t="s">
        <v>2502</v>
      </c>
      <c r="M75" s="406">
        <v>46181</v>
      </c>
      <c r="N75" s="693" t="s">
        <v>1273</v>
      </c>
      <c r="O75" s="785" t="s">
        <v>756</v>
      </c>
      <c r="P75" s="328" t="s">
        <v>44</v>
      </c>
      <c r="Q75" s="490">
        <v>46101</v>
      </c>
      <c r="R75" s="395" t="s">
        <v>49</v>
      </c>
      <c r="S75" s="368">
        <v>50</v>
      </c>
      <c r="T75" s="368">
        <v>30</v>
      </c>
      <c r="U75" s="368">
        <v>43</v>
      </c>
      <c r="V75" s="368">
        <v>20</v>
      </c>
      <c r="W75" s="327">
        <f>G75/V75</f>
        <v>50</v>
      </c>
      <c r="X75" s="327">
        <f>13.7*W75</f>
        <v>685</v>
      </c>
      <c r="Y75" s="408">
        <f>ROUND((S75*T75*U75)*0.000001*W75,2)</f>
        <v>3.23</v>
      </c>
      <c r="Z75" s="786">
        <v>6.67</v>
      </c>
      <c r="AA75" s="737">
        <f>Z75*G75</f>
        <v>6670</v>
      </c>
      <c r="AB75" s="355" t="s">
        <v>46</v>
      </c>
      <c r="AC75" s="355"/>
      <c r="AD75" s="762"/>
      <c r="AE75" s="490">
        <v>46101</v>
      </c>
      <c r="AF75" s="490">
        <v>46101</v>
      </c>
      <c r="AG75" s="329"/>
      <c r="AH75" s="329"/>
      <c r="AI75" s="329"/>
      <c r="AJ75" s="446">
        <v>46133</v>
      </c>
      <c r="AK75" s="446">
        <v>46133</v>
      </c>
      <c r="AL75" s="446">
        <v>46156</v>
      </c>
      <c r="AM75" s="375"/>
      <c r="AN75" s="329" t="s">
        <v>51</v>
      </c>
      <c r="AO75" s="329"/>
      <c r="AP75" s="329"/>
      <c r="AQ75" s="329"/>
      <c r="AR75" s="446" t="s">
        <v>2326</v>
      </c>
    </row>
    <row r="76" spans="1:44" customFormat="1" ht="25.5">
      <c r="A76" s="499">
        <v>46084</v>
      </c>
      <c r="B76" s="447" t="s">
        <v>2487</v>
      </c>
      <c r="C76" s="437" t="s">
        <v>2456</v>
      </c>
      <c r="D76" s="361" t="s">
        <v>2508</v>
      </c>
      <c r="E76" s="393" t="s">
        <v>2794</v>
      </c>
      <c r="F76" s="363" t="s">
        <v>1680</v>
      </c>
      <c r="G76" s="723">
        <v>1900</v>
      </c>
      <c r="H76" s="498" t="s">
        <v>2484</v>
      </c>
      <c r="I76" s="644" t="s">
        <v>2489</v>
      </c>
      <c r="J76" s="363" t="s">
        <v>59</v>
      </c>
      <c r="K76" s="787" t="s">
        <v>2485</v>
      </c>
      <c r="L76" s="363" t="s">
        <v>76</v>
      </c>
      <c r="M76" s="406">
        <v>46181</v>
      </c>
      <c r="N76" s="328"/>
      <c r="O76" s="395" t="s">
        <v>2486</v>
      </c>
      <c r="P76" s="328" t="s">
        <v>44</v>
      </c>
      <c r="Q76" s="490">
        <v>46106</v>
      </c>
      <c r="R76" s="395" t="s">
        <v>49</v>
      </c>
      <c r="S76" s="368">
        <v>150</v>
      </c>
      <c r="T76" s="368">
        <v>80</v>
      </c>
      <c r="U76" s="368">
        <v>86</v>
      </c>
      <c r="V76" s="368">
        <v>500</v>
      </c>
      <c r="W76" s="368">
        <f>ROUND(G76/V76,2)</f>
        <v>3.8</v>
      </c>
      <c r="X76" s="753">
        <f>(0.5*V76+40)*W76</f>
        <v>1102</v>
      </c>
      <c r="Y76" s="408">
        <f>ROUND((S76*T76*U76)*0.000001*W76,2)</f>
        <v>3.92</v>
      </c>
      <c r="Z76" s="376">
        <v>3.31</v>
      </c>
      <c r="AA76" s="788">
        <f>Z76*G76</f>
        <v>6289</v>
      </c>
      <c r="AB76" s="355" t="s">
        <v>46</v>
      </c>
      <c r="AC76" s="355"/>
      <c r="AD76" s="409"/>
      <c r="AE76" s="490">
        <v>46106</v>
      </c>
      <c r="AF76" s="446">
        <v>46108</v>
      </c>
      <c r="AG76" s="329"/>
      <c r="AH76" s="329"/>
      <c r="AI76" s="329"/>
      <c r="AJ76" s="375" t="s">
        <v>3379</v>
      </c>
      <c r="AK76" s="375" t="s">
        <v>3379</v>
      </c>
      <c r="AL76" s="375"/>
      <c r="AM76" s="375"/>
      <c r="AN76" s="329" t="s">
        <v>51</v>
      </c>
      <c r="AO76" s="329"/>
      <c r="AP76" s="329"/>
      <c r="AQ76" s="329"/>
      <c r="AR76" s="375" t="s">
        <v>2882</v>
      </c>
    </row>
    <row r="77" spans="1:44" customFormat="1" ht="25.5">
      <c r="A77" s="499">
        <v>46084</v>
      </c>
      <c r="B77" s="447" t="s">
        <v>2487</v>
      </c>
      <c r="C77" s="437" t="s">
        <v>2488</v>
      </c>
      <c r="D77" s="361" t="s">
        <v>2508</v>
      </c>
      <c r="E77" s="393" t="s">
        <v>3251</v>
      </c>
      <c r="F77" s="363" t="s">
        <v>1680</v>
      </c>
      <c r="G77" s="723">
        <v>1100</v>
      </c>
      <c r="H77" s="393" t="s">
        <v>2484</v>
      </c>
      <c r="I77" s="644" t="s">
        <v>2489</v>
      </c>
      <c r="J77" s="363" t="s">
        <v>59</v>
      </c>
      <c r="K77" s="787" t="s">
        <v>2485</v>
      </c>
      <c r="L77" s="363" t="s">
        <v>76</v>
      </c>
      <c r="M77" s="406">
        <v>46181</v>
      </c>
      <c r="N77" s="328"/>
      <c r="O77" s="395" t="s">
        <v>2486</v>
      </c>
      <c r="P77" s="328" t="s">
        <v>44</v>
      </c>
      <c r="Q77" s="490">
        <v>46153</v>
      </c>
      <c r="R77" s="395" t="s">
        <v>49</v>
      </c>
      <c r="S77" s="368">
        <v>150</v>
      </c>
      <c r="T77" s="368">
        <v>80</v>
      </c>
      <c r="U77" s="368">
        <v>86</v>
      </c>
      <c r="V77" s="368">
        <v>500</v>
      </c>
      <c r="W77" s="368">
        <f>ROUND(G77/V77,2)</f>
        <v>2.2000000000000002</v>
      </c>
      <c r="X77" s="753">
        <f>(0.5*V77+40)*W77</f>
        <v>638</v>
      </c>
      <c r="Y77" s="408">
        <f>ROUND((S77*T77*U77)*0.000001*W77,2)</f>
        <v>2.27</v>
      </c>
      <c r="Z77" s="376">
        <v>3.31</v>
      </c>
      <c r="AA77" s="788">
        <f>Z77*G77</f>
        <v>3641</v>
      </c>
      <c r="AB77" s="355" t="s">
        <v>46</v>
      </c>
      <c r="AC77" s="355"/>
      <c r="AD77" s="409"/>
      <c r="AE77" s="490">
        <v>46153</v>
      </c>
      <c r="AF77" s="446">
        <v>46154</v>
      </c>
      <c r="AG77" s="329"/>
      <c r="AH77" s="329"/>
      <c r="AI77" s="329"/>
      <c r="AJ77" s="375"/>
      <c r="AK77" s="375"/>
      <c r="AL77" s="375"/>
      <c r="AM77" s="375"/>
      <c r="AN77" s="329" t="s">
        <v>51</v>
      </c>
      <c r="AO77" s="329"/>
      <c r="AP77" s="329"/>
      <c r="AQ77" s="329"/>
      <c r="AR77" s="375" t="s">
        <v>2882</v>
      </c>
    </row>
    <row r="78" spans="1:44" ht="27" customHeight="1">
      <c r="A78" s="330"/>
      <c r="B78" s="331"/>
      <c r="C78" s="332"/>
      <c r="D78" s="333"/>
      <c r="E78" s="334"/>
      <c r="F78" s="334"/>
      <c r="G78" s="335">
        <f>SUM(G75:G77)</f>
        <v>4000</v>
      </c>
      <c r="H78" s="334"/>
      <c r="I78" s="334"/>
      <c r="J78" s="334"/>
      <c r="K78" s="334"/>
      <c r="L78" s="336"/>
      <c r="M78" s="332"/>
      <c r="N78" s="332"/>
      <c r="O78" s="337"/>
      <c r="P78" s="338"/>
      <c r="Q78" s="337"/>
      <c r="R78" s="339"/>
      <c r="S78" s="340"/>
      <c r="T78" s="340"/>
      <c r="U78" s="340"/>
      <c r="V78" s="340"/>
      <c r="W78" s="341"/>
      <c r="X78" s="342"/>
      <c r="Y78" s="343">
        <f>SUM(Y75:Y77)</f>
        <v>9.42</v>
      </c>
      <c r="Z78" s="342"/>
      <c r="AA78" s="344"/>
      <c r="AB78" s="332"/>
      <c r="AC78" s="332"/>
      <c r="AD78" s="339"/>
      <c r="AE78" s="337"/>
      <c r="AF78" s="338"/>
      <c r="AG78" s="337"/>
      <c r="AH78" s="338"/>
      <c r="AI78" s="337"/>
      <c r="AJ78" s="338"/>
      <c r="AK78" s="338"/>
      <c r="AL78" s="338"/>
      <c r="AM78" s="338"/>
      <c r="AN78" s="338"/>
      <c r="AO78" s="338"/>
      <c r="AP78" s="338"/>
      <c r="AQ78" s="338"/>
      <c r="AR78" s="338"/>
    </row>
    <row r="79" spans="1:44" ht="27.75" customHeight="1">
      <c r="A79" s="351" t="s">
        <v>3468</v>
      </c>
      <c r="B79" s="331"/>
      <c r="C79" s="332"/>
      <c r="D79" s="333"/>
      <c r="E79" s="334"/>
      <c r="F79" s="334"/>
      <c r="G79" s="524"/>
      <c r="H79" s="341"/>
      <c r="I79" s="334"/>
      <c r="J79" s="334"/>
      <c r="K79" s="334"/>
      <c r="L79" s="336"/>
      <c r="M79" s="332"/>
      <c r="N79" s="332"/>
      <c r="O79" s="337"/>
      <c r="P79" s="338"/>
      <c r="Q79" s="337"/>
      <c r="R79" s="339"/>
      <c r="S79" s="340"/>
      <c r="T79" s="340"/>
      <c r="U79" s="340"/>
      <c r="V79" s="340"/>
      <c r="W79" s="341"/>
      <c r="X79" s="342"/>
      <c r="Y79" s="350"/>
      <c r="Z79" s="342"/>
      <c r="AA79" s="344"/>
      <c r="AB79" s="332"/>
      <c r="AC79" s="332"/>
      <c r="AD79" s="339"/>
      <c r="AE79" s="337"/>
      <c r="AF79" s="338"/>
      <c r="AG79" s="337"/>
      <c r="AH79" s="338"/>
      <c r="AI79" s="337"/>
      <c r="AJ79" s="338"/>
      <c r="AK79" s="338"/>
      <c r="AL79" s="338"/>
      <c r="AM79" s="338"/>
      <c r="AN79" s="338"/>
      <c r="AO79" s="338"/>
      <c r="AP79" s="338"/>
      <c r="AQ79" s="338"/>
      <c r="AR79" s="338"/>
    </row>
    <row r="80" spans="1:44" ht="25.5" customHeight="1">
      <c r="A80" s="487">
        <v>46100</v>
      </c>
      <c r="B80" s="445" t="s">
        <v>2585</v>
      </c>
      <c r="C80" s="437" t="s">
        <v>2538</v>
      </c>
      <c r="D80" s="361" t="s">
        <v>3301</v>
      </c>
      <c r="E80" s="525"/>
      <c r="F80" s="396" t="s">
        <v>52</v>
      </c>
      <c r="G80" s="396">
        <v>100</v>
      </c>
      <c r="H80" s="393" t="s">
        <v>1270</v>
      </c>
      <c r="I80" s="404" t="s">
        <v>2233</v>
      </c>
      <c r="J80" s="484" t="s">
        <v>59</v>
      </c>
      <c r="K80" s="404" t="s">
        <v>63</v>
      </c>
      <c r="L80" s="392" t="s">
        <v>64</v>
      </c>
      <c r="M80" s="383">
        <v>46181</v>
      </c>
      <c r="N80" s="665" t="s">
        <v>54</v>
      </c>
      <c r="O80" s="369" t="s">
        <v>1386</v>
      </c>
      <c r="P80" s="395">
        <v>45320</v>
      </c>
      <c r="Q80" s="425">
        <v>46150</v>
      </c>
      <c r="R80" s="390" t="s">
        <v>59</v>
      </c>
      <c r="S80" s="683">
        <v>134</v>
      </c>
      <c r="T80" s="683">
        <v>102</v>
      </c>
      <c r="U80" s="683">
        <v>20</v>
      </c>
      <c r="V80" s="389">
        <v>1</v>
      </c>
      <c r="W80" s="347">
        <f t="shared" ref="W80:W83" si="14">ROUND(G80/V80,2)</f>
        <v>100</v>
      </c>
      <c r="X80" s="682">
        <f>50*W80</f>
        <v>5000</v>
      </c>
      <c r="Y80" s="414">
        <f t="shared" ref="Y80:Y83" si="15">ROUND((S80*T80*U80)*0.000001*W80,2)</f>
        <v>27.34</v>
      </c>
      <c r="Z80" s="761">
        <v>305.75</v>
      </c>
      <c r="AA80" s="360">
        <f t="shared" ref="AA80:AA83" si="16">Z80*G80</f>
        <v>30575</v>
      </c>
      <c r="AB80" s="355" t="s">
        <v>46</v>
      </c>
      <c r="AC80" s="355"/>
      <c r="AD80" s="327"/>
      <c r="AE80" s="425">
        <v>46150</v>
      </c>
      <c r="AF80" s="425">
        <v>46135</v>
      </c>
      <c r="AG80" s="345"/>
      <c r="AH80" s="345"/>
      <c r="AI80" s="345"/>
      <c r="AJ80" s="375" t="s">
        <v>3389</v>
      </c>
      <c r="AK80" s="375"/>
      <c r="AL80" s="375"/>
      <c r="AM80" s="375"/>
      <c r="AN80" s="375"/>
      <c r="AO80" s="345"/>
      <c r="AP80" s="375"/>
      <c r="AQ80" s="446" t="s">
        <v>2075</v>
      </c>
      <c r="AR80" s="375">
        <v>46161</v>
      </c>
    </row>
    <row r="81" spans="1:44" ht="26.25" customHeight="1">
      <c r="A81" s="487">
        <v>46136</v>
      </c>
      <c r="B81" s="445" t="s">
        <v>3137</v>
      </c>
      <c r="C81" s="437" t="s">
        <v>3136</v>
      </c>
      <c r="D81" s="361" t="s">
        <v>3308</v>
      </c>
      <c r="E81" s="1054" t="s">
        <v>3467</v>
      </c>
      <c r="F81" s="396" t="s">
        <v>52</v>
      </c>
      <c r="G81" s="392">
        <v>216</v>
      </c>
      <c r="H81" s="1055" t="s">
        <v>335</v>
      </c>
      <c r="I81" s="363" t="s">
        <v>58</v>
      </c>
      <c r="J81" s="363" t="s">
        <v>2432</v>
      </c>
      <c r="K81" s="663" t="s">
        <v>56</v>
      </c>
      <c r="L81" s="392" t="s">
        <v>634</v>
      </c>
      <c r="M81" s="383">
        <v>46181</v>
      </c>
      <c r="N81" s="505"/>
      <c r="O81" s="327" t="s">
        <v>1822</v>
      </c>
      <c r="P81" s="328">
        <v>45713</v>
      </c>
      <c r="Q81" s="490">
        <v>46139</v>
      </c>
      <c r="R81" s="327" t="s">
        <v>2431</v>
      </c>
      <c r="S81" s="355">
        <v>120</v>
      </c>
      <c r="T81" s="355">
        <v>100</v>
      </c>
      <c r="U81" s="355">
        <v>120</v>
      </c>
      <c r="V81" s="355">
        <v>18</v>
      </c>
      <c r="W81" s="347">
        <f>G81/V81</f>
        <v>12</v>
      </c>
      <c r="X81" s="969">
        <f>160*W81</f>
        <v>1920</v>
      </c>
      <c r="Y81" s="408">
        <f>ROUND((S81*T81*U81)*0.000001*W81,2)</f>
        <v>17.28</v>
      </c>
      <c r="Z81" s="931">
        <v>62.31</v>
      </c>
      <c r="AA81" s="713">
        <v>72899.399999999994</v>
      </c>
      <c r="AB81" s="355" t="s">
        <v>46</v>
      </c>
      <c r="AC81" s="355"/>
      <c r="AD81" s="327"/>
      <c r="AE81" s="490">
        <v>46139</v>
      </c>
      <c r="AF81" s="490">
        <v>46139</v>
      </c>
      <c r="AG81" s="345"/>
      <c r="AH81" s="446">
        <v>46151</v>
      </c>
      <c r="AI81" s="345"/>
      <c r="AJ81" s="375" t="s">
        <v>3404</v>
      </c>
      <c r="AK81" s="375"/>
      <c r="AL81" s="375"/>
      <c r="AM81" s="375"/>
      <c r="AN81" s="345"/>
      <c r="AO81" s="345"/>
      <c r="AP81" s="375"/>
      <c r="AQ81" s="375">
        <v>46183</v>
      </c>
      <c r="AR81" s="446" t="s">
        <v>1301</v>
      </c>
    </row>
    <row r="82" spans="1:44" ht="30" customHeight="1">
      <c r="A82" s="487">
        <v>46060</v>
      </c>
      <c r="B82" s="445" t="s">
        <v>2411</v>
      </c>
      <c r="C82" s="437" t="s">
        <v>2410</v>
      </c>
      <c r="D82" s="361" t="s">
        <v>2507</v>
      </c>
      <c r="E82" s="680"/>
      <c r="F82" s="396" t="s">
        <v>52</v>
      </c>
      <c r="G82" s="428">
        <v>500</v>
      </c>
      <c r="H82" s="484" t="s">
        <v>2409</v>
      </c>
      <c r="I82" s="392" t="s">
        <v>429</v>
      </c>
      <c r="J82" s="404" t="s">
        <v>49</v>
      </c>
      <c r="K82" s="392" t="s">
        <v>63</v>
      </c>
      <c r="L82" s="446" t="s">
        <v>2384</v>
      </c>
      <c r="M82" s="383">
        <v>46181</v>
      </c>
      <c r="N82" s="656"/>
      <c r="O82" s="382" t="s">
        <v>55</v>
      </c>
      <c r="P82" s="374" t="s">
        <v>44</v>
      </c>
      <c r="Q82" s="425">
        <v>46088</v>
      </c>
      <c r="R82" s="390" t="s">
        <v>59</v>
      </c>
      <c r="S82" s="401">
        <v>56</v>
      </c>
      <c r="T82" s="368">
        <v>25</v>
      </c>
      <c r="U82" s="368">
        <v>40</v>
      </c>
      <c r="V82" s="368">
        <v>20</v>
      </c>
      <c r="W82" s="364">
        <f t="shared" si="14"/>
        <v>25</v>
      </c>
      <c r="X82" s="347">
        <f>12*W82</f>
        <v>300</v>
      </c>
      <c r="Y82" s="347">
        <f t="shared" si="15"/>
        <v>1.4</v>
      </c>
      <c r="Z82" s="376">
        <v>6.05</v>
      </c>
      <c r="AA82" s="360">
        <f t="shared" si="16"/>
        <v>3025</v>
      </c>
      <c r="AB82" s="346" t="s">
        <v>46</v>
      </c>
      <c r="AC82" s="362"/>
      <c r="AD82" s="327"/>
      <c r="AE82" s="425">
        <v>46088</v>
      </c>
      <c r="AF82" s="446">
        <v>46093</v>
      </c>
      <c r="AG82" s="345"/>
      <c r="AH82" s="345"/>
      <c r="AI82" s="345"/>
      <c r="AJ82" s="375" t="s">
        <v>3050</v>
      </c>
      <c r="AK82" s="375"/>
      <c r="AL82" s="375"/>
      <c r="AM82" s="375"/>
      <c r="AN82" s="345"/>
      <c r="AO82" s="345"/>
      <c r="AP82" s="345"/>
      <c r="AQ82" s="345"/>
      <c r="AR82" s="446" t="s">
        <v>1301</v>
      </c>
    </row>
    <row r="83" spans="1:44" ht="27" customHeight="1">
      <c r="A83" s="487">
        <v>46099</v>
      </c>
      <c r="B83" s="445" t="s">
        <v>2566</v>
      </c>
      <c r="C83" s="437" t="s">
        <v>2565</v>
      </c>
      <c r="D83" s="361" t="s">
        <v>2889</v>
      </c>
      <c r="E83" s="525" t="s">
        <v>3106</v>
      </c>
      <c r="F83" s="396" t="s">
        <v>52</v>
      </c>
      <c r="G83" s="421">
        <v>400</v>
      </c>
      <c r="H83" s="631" t="s">
        <v>2349</v>
      </c>
      <c r="I83" s="393" t="s">
        <v>2031</v>
      </c>
      <c r="J83" s="484" t="s">
        <v>59</v>
      </c>
      <c r="K83" s="729" t="s">
        <v>50</v>
      </c>
      <c r="L83" s="363" t="s">
        <v>68</v>
      </c>
      <c r="M83" s="383">
        <v>46181</v>
      </c>
      <c r="N83" s="328"/>
      <c r="O83" s="382" t="s">
        <v>55</v>
      </c>
      <c r="P83" s="628">
        <v>42508</v>
      </c>
      <c r="Q83" s="425">
        <v>46108</v>
      </c>
      <c r="R83" s="395" t="s">
        <v>49</v>
      </c>
      <c r="S83" s="407">
        <v>40</v>
      </c>
      <c r="T83" s="407">
        <v>40</v>
      </c>
      <c r="U83" s="407">
        <v>65</v>
      </c>
      <c r="V83" s="368">
        <v>5</v>
      </c>
      <c r="W83" s="386">
        <f t="shared" si="14"/>
        <v>80</v>
      </c>
      <c r="X83" s="365">
        <f>14*W83</f>
        <v>1120</v>
      </c>
      <c r="Y83" s="347">
        <f t="shared" si="15"/>
        <v>8.32</v>
      </c>
      <c r="Z83" s="396">
        <v>41.95</v>
      </c>
      <c r="AA83" s="411">
        <f t="shared" si="16"/>
        <v>16780</v>
      </c>
      <c r="AB83" s="346" t="s">
        <v>46</v>
      </c>
      <c r="AC83" s="362"/>
      <c r="AD83" s="327"/>
      <c r="AE83" s="425">
        <v>46108</v>
      </c>
      <c r="AF83" s="425">
        <v>46108</v>
      </c>
      <c r="AG83" s="345"/>
      <c r="AH83" s="345"/>
      <c r="AI83" s="345"/>
      <c r="AJ83" s="375" t="s">
        <v>3050</v>
      </c>
      <c r="AK83" s="375"/>
      <c r="AL83" s="375"/>
      <c r="AM83" s="375"/>
      <c r="AN83" s="375"/>
      <c r="AO83" s="345"/>
      <c r="AP83" s="375"/>
      <c r="AQ83" s="446" t="s">
        <v>2075</v>
      </c>
      <c r="AR83" s="446" t="s">
        <v>1301</v>
      </c>
    </row>
    <row r="84" spans="1:44" ht="27" customHeight="1">
      <c r="A84" s="330"/>
      <c r="B84" s="331"/>
      <c r="C84" s="332"/>
      <c r="D84" s="333"/>
      <c r="E84" s="334"/>
      <c r="F84" s="334"/>
      <c r="G84" s="335">
        <f>SUM(G80:G83)</f>
        <v>1216</v>
      </c>
      <c r="H84" s="334"/>
      <c r="I84" s="334"/>
      <c r="J84" s="334"/>
      <c r="K84" s="334"/>
      <c r="L84" s="336"/>
      <c r="M84" s="332"/>
      <c r="N84" s="332"/>
      <c r="O84" s="337"/>
      <c r="P84" s="338"/>
      <c r="Q84" s="337"/>
      <c r="R84" s="339"/>
      <c r="S84" s="340"/>
      <c r="T84" s="340"/>
      <c r="U84" s="340"/>
      <c r="V84" s="340"/>
      <c r="W84" s="341"/>
      <c r="X84" s="342"/>
      <c r="Y84" s="343">
        <f>SUM(Y80:Y83)</f>
        <v>54.34</v>
      </c>
      <c r="Z84" s="342"/>
      <c r="AA84" s="344"/>
      <c r="AB84" s="332"/>
      <c r="AC84" s="332"/>
      <c r="AD84" s="339"/>
      <c r="AE84" s="337"/>
      <c r="AF84" s="338"/>
      <c r="AG84" s="337"/>
      <c r="AH84" s="338"/>
      <c r="AI84" s="337"/>
      <c r="AJ84" s="338"/>
      <c r="AK84" s="338"/>
      <c r="AL84" s="338"/>
      <c r="AM84" s="338"/>
      <c r="AN84" s="338"/>
      <c r="AO84" s="338"/>
      <c r="AP84" s="338"/>
      <c r="AQ84" s="338"/>
      <c r="AR84" s="338"/>
    </row>
    <row r="85" spans="1:44" ht="27.75" customHeight="1">
      <c r="A85" s="351" t="s">
        <v>3469</v>
      </c>
      <c r="B85" s="331"/>
      <c r="C85" s="332"/>
      <c r="D85" s="333"/>
      <c r="E85" s="334"/>
      <c r="F85" s="334"/>
      <c r="G85" s="524"/>
      <c r="H85" s="341"/>
      <c r="I85" s="334"/>
      <c r="J85" s="334"/>
      <c r="K85" s="334"/>
      <c r="L85" s="336"/>
      <c r="M85" s="332"/>
      <c r="N85" s="332"/>
      <c r="O85" s="337"/>
      <c r="P85" s="338"/>
      <c r="Q85" s="337"/>
      <c r="R85" s="339"/>
      <c r="S85" s="340"/>
      <c r="T85" s="340"/>
      <c r="U85" s="340"/>
      <c r="V85" s="340"/>
      <c r="W85" s="341"/>
      <c r="X85" s="342"/>
      <c r="Y85" s="350"/>
      <c r="Z85" s="342"/>
      <c r="AA85" s="344"/>
      <c r="AB85" s="332"/>
      <c r="AC85" s="332"/>
      <c r="AD85" s="339"/>
      <c r="AE85" s="337"/>
      <c r="AF85" s="338"/>
      <c r="AG85" s="337"/>
      <c r="AH85" s="338"/>
      <c r="AI85" s="337"/>
      <c r="AJ85" s="338"/>
      <c r="AK85" s="338"/>
      <c r="AL85" s="338"/>
      <c r="AM85" s="338"/>
      <c r="AN85" s="338"/>
      <c r="AO85" s="338"/>
      <c r="AP85" s="338"/>
      <c r="AQ85" s="338"/>
      <c r="AR85" s="338"/>
    </row>
    <row r="86" spans="1:44" ht="30" customHeight="1">
      <c r="A86" s="487">
        <v>46100</v>
      </c>
      <c r="B86" s="445" t="s">
        <v>2585</v>
      </c>
      <c r="C86" s="437" t="s">
        <v>2540</v>
      </c>
      <c r="D86" s="361" t="s">
        <v>3302</v>
      </c>
      <c r="E86" s="525"/>
      <c r="F86" s="396" t="s">
        <v>52</v>
      </c>
      <c r="G86" s="396">
        <v>100</v>
      </c>
      <c r="H86" s="393" t="s">
        <v>1270</v>
      </c>
      <c r="I86" s="404" t="s">
        <v>2233</v>
      </c>
      <c r="J86" s="484" t="s">
        <v>59</v>
      </c>
      <c r="K86" s="404" t="s">
        <v>63</v>
      </c>
      <c r="L86" s="392" t="s">
        <v>64</v>
      </c>
      <c r="M86" s="406">
        <v>46185</v>
      </c>
      <c r="N86" s="665" t="s">
        <v>54</v>
      </c>
      <c r="O86" s="369" t="s">
        <v>1386</v>
      </c>
      <c r="P86" s="395">
        <v>45320</v>
      </c>
      <c r="Q86" s="348"/>
      <c r="R86" s="390" t="s">
        <v>59</v>
      </c>
      <c r="S86" s="683">
        <v>134</v>
      </c>
      <c r="T86" s="683">
        <v>102</v>
      </c>
      <c r="U86" s="683">
        <v>20</v>
      </c>
      <c r="V86" s="389">
        <v>1</v>
      </c>
      <c r="W86" s="347">
        <f t="shared" ref="W86:W88" si="17">ROUND(G86/V86,2)</f>
        <v>100</v>
      </c>
      <c r="X86" s="682">
        <f>50*W86</f>
        <v>5000</v>
      </c>
      <c r="Y86" s="414">
        <f t="shared" ref="Y86:Y88" si="18">ROUND((S86*T86*U86)*0.000001*W86,2)</f>
        <v>27.34</v>
      </c>
      <c r="Z86" s="761">
        <v>305.75</v>
      </c>
      <c r="AA86" s="360">
        <f>Z86*G86</f>
        <v>30575</v>
      </c>
      <c r="AB86" s="355" t="s">
        <v>46</v>
      </c>
      <c r="AC86" s="355"/>
      <c r="AD86" s="327"/>
      <c r="AE86" s="375"/>
      <c r="AF86" s="375"/>
      <c r="AG86" s="345"/>
      <c r="AH86" s="345"/>
      <c r="AI86" s="345"/>
      <c r="AJ86" s="375" t="s">
        <v>3390</v>
      </c>
      <c r="AK86" s="375"/>
      <c r="AL86" s="375"/>
      <c r="AM86" s="375"/>
      <c r="AN86" s="375"/>
      <c r="AO86" s="345"/>
      <c r="AP86" s="375"/>
      <c r="AQ86" s="446" t="s">
        <v>2075</v>
      </c>
      <c r="AR86" s="375">
        <v>46167</v>
      </c>
    </row>
    <row r="87" spans="1:44" ht="26.25" customHeight="1">
      <c r="A87" s="487">
        <v>46136</v>
      </c>
      <c r="B87" s="445" t="s">
        <v>3137</v>
      </c>
      <c r="C87" s="437" t="s">
        <v>3136</v>
      </c>
      <c r="D87" s="361" t="s">
        <v>3308</v>
      </c>
      <c r="E87" s="1054" t="s">
        <v>3467</v>
      </c>
      <c r="F87" s="396" t="s">
        <v>52</v>
      </c>
      <c r="G87" s="392">
        <v>284</v>
      </c>
      <c r="H87" s="653" t="s">
        <v>335</v>
      </c>
      <c r="I87" s="363" t="s">
        <v>58</v>
      </c>
      <c r="J87" s="363" t="s">
        <v>2432</v>
      </c>
      <c r="K87" s="663" t="s">
        <v>56</v>
      </c>
      <c r="L87" s="392" t="s">
        <v>634</v>
      </c>
      <c r="M87" s="406">
        <v>46185</v>
      </c>
      <c r="N87" s="505"/>
      <c r="O87" s="327" t="s">
        <v>1822</v>
      </c>
      <c r="P87" s="328">
        <v>45713</v>
      </c>
      <c r="Q87" s="490">
        <v>46139</v>
      </c>
      <c r="R87" s="327" t="s">
        <v>2431</v>
      </c>
      <c r="S87" s="355">
        <v>120</v>
      </c>
      <c r="T87" s="355">
        <v>100</v>
      </c>
      <c r="U87" s="355">
        <v>120</v>
      </c>
      <c r="V87" s="355">
        <v>18</v>
      </c>
      <c r="W87" s="347">
        <f>G87/V87</f>
        <v>15.777777777777779</v>
      </c>
      <c r="X87" s="969">
        <f>160*W87</f>
        <v>2524.4444444444443</v>
      </c>
      <c r="Y87" s="408">
        <f>ROUND((S87*T87*U87)*0.000001*W87,2)</f>
        <v>22.72</v>
      </c>
      <c r="Z87" s="931">
        <v>62.31</v>
      </c>
      <c r="AA87" s="713">
        <v>72899.399999999994</v>
      </c>
      <c r="AB87" s="355" t="s">
        <v>46</v>
      </c>
      <c r="AC87" s="355"/>
      <c r="AD87" s="327"/>
      <c r="AE87" s="490">
        <v>46139</v>
      </c>
      <c r="AF87" s="490">
        <v>46139</v>
      </c>
      <c r="AG87" s="345"/>
      <c r="AH87" s="446">
        <v>46151</v>
      </c>
      <c r="AI87" s="345"/>
      <c r="AJ87" s="375" t="s">
        <v>3404</v>
      </c>
      <c r="AK87" s="375"/>
      <c r="AL87" s="375"/>
      <c r="AM87" s="375"/>
      <c r="AN87" s="345"/>
      <c r="AO87" s="345"/>
      <c r="AP87" s="375"/>
      <c r="AQ87" s="375">
        <v>46183</v>
      </c>
      <c r="AR87" s="446" t="s">
        <v>1301</v>
      </c>
    </row>
    <row r="88" spans="1:44" ht="23.25" customHeight="1">
      <c r="A88" s="487">
        <v>46106</v>
      </c>
      <c r="B88" s="445" t="s">
        <v>2803</v>
      </c>
      <c r="C88" s="437" t="s">
        <v>2802</v>
      </c>
      <c r="D88" s="361" t="s">
        <v>3038</v>
      </c>
      <c r="E88" s="736"/>
      <c r="F88" s="396" t="s">
        <v>52</v>
      </c>
      <c r="G88" s="401">
        <v>500</v>
      </c>
      <c r="H88" s="701" t="s">
        <v>2801</v>
      </c>
      <c r="I88" s="391" t="s">
        <v>58</v>
      </c>
      <c r="J88" s="404" t="s">
        <v>49</v>
      </c>
      <c r="K88" s="391" t="s">
        <v>63</v>
      </c>
      <c r="L88" s="486" t="s">
        <v>692</v>
      </c>
      <c r="M88" s="406">
        <v>46185</v>
      </c>
      <c r="N88" s="733"/>
      <c r="O88" s="382" t="s">
        <v>55</v>
      </c>
      <c r="P88" s="394">
        <v>42919</v>
      </c>
      <c r="Q88" s="425">
        <v>46119</v>
      </c>
      <c r="R88" s="390" t="s">
        <v>59</v>
      </c>
      <c r="S88" s="380">
        <v>66</v>
      </c>
      <c r="T88" s="380">
        <v>40</v>
      </c>
      <c r="U88" s="380">
        <v>23</v>
      </c>
      <c r="V88" s="379">
        <v>2</v>
      </c>
      <c r="W88" s="378">
        <f t="shared" si="17"/>
        <v>250</v>
      </c>
      <c r="X88" s="377">
        <f>32*W88</f>
        <v>8000</v>
      </c>
      <c r="Y88" s="768">
        <f t="shared" si="18"/>
        <v>15.18</v>
      </c>
      <c r="Z88" s="528">
        <v>51.84</v>
      </c>
      <c r="AA88" s="360">
        <f t="shared" ref="AA88" si="19">Z88*G88</f>
        <v>25920</v>
      </c>
      <c r="AB88" s="749" t="s">
        <v>46</v>
      </c>
      <c r="AD88" s="327"/>
      <c r="AE88" s="425">
        <v>46119</v>
      </c>
      <c r="AF88" s="425">
        <v>46119</v>
      </c>
      <c r="AG88" s="345"/>
      <c r="AH88" s="345"/>
      <c r="AI88" s="345"/>
      <c r="AJ88" s="375" t="s">
        <v>3438</v>
      </c>
      <c r="AK88" s="375"/>
      <c r="AL88" s="375"/>
      <c r="AM88" s="375"/>
      <c r="AN88" s="375"/>
      <c r="AO88" s="345"/>
      <c r="AP88" s="375"/>
      <c r="AQ88" s="446" t="s">
        <v>2075</v>
      </c>
      <c r="AR88" s="375">
        <v>46161</v>
      </c>
    </row>
    <row r="89" spans="1:44" ht="27" customHeight="1">
      <c r="A89" s="330"/>
      <c r="B89" s="331"/>
      <c r="C89" s="332"/>
      <c r="D89" s="333"/>
      <c r="E89" s="334"/>
      <c r="F89" s="334"/>
      <c r="G89" s="335">
        <f>SUM(G86:G88)</f>
        <v>884</v>
      </c>
      <c r="H89" s="334"/>
      <c r="I89" s="334"/>
      <c r="J89" s="334"/>
      <c r="K89" s="334"/>
      <c r="L89" s="336"/>
      <c r="M89" s="332"/>
      <c r="N89" s="332"/>
      <c r="O89" s="337"/>
      <c r="P89" s="338"/>
      <c r="Q89" s="337"/>
      <c r="R89" s="339"/>
      <c r="S89" s="340"/>
      <c r="T89" s="340"/>
      <c r="U89" s="340"/>
      <c r="V89" s="340"/>
      <c r="W89" s="341"/>
      <c r="X89" s="342"/>
      <c r="Y89" s="343">
        <f>SUM(Y86:Y88)</f>
        <v>65.240000000000009</v>
      </c>
      <c r="Z89" s="342"/>
      <c r="AA89" s="344"/>
      <c r="AB89" s="332"/>
      <c r="AC89" s="332"/>
      <c r="AD89" s="339"/>
      <c r="AE89" s="337"/>
      <c r="AF89" s="338"/>
      <c r="AG89" s="337"/>
      <c r="AH89" s="338"/>
      <c r="AI89" s="337"/>
      <c r="AJ89" s="338"/>
      <c r="AK89" s="338"/>
      <c r="AL89" s="338"/>
      <c r="AM89" s="338"/>
      <c r="AN89" s="338"/>
      <c r="AO89" s="338"/>
      <c r="AP89" s="338"/>
      <c r="AQ89" s="338"/>
      <c r="AR89" s="338"/>
    </row>
    <row r="90" spans="1:44" ht="27.75" customHeight="1">
      <c r="A90" s="351" t="s">
        <v>3470</v>
      </c>
      <c r="B90" s="331"/>
      <c r="C90" s="332"/>
      <c r="D90" s="333"/>
      <c r="E90" s="334"/>
      <c r="F90" s="334"/>
      <c r="G90" s="524"/>
      <c r="H90" s="341"/>
      <c r="I90" s="334"/>
      <c r="J90" s="334"/>
      <c r="K90" s="334"/>
      <c r="L90" s="336"/>
      <c r="M90" s="332"/>
      <c r="N90" s="332"/>
      <c r="O90" s="337"/>
      <c r="P90" s="338"/>
      <c r="Q90" s="337"/>
      <c r="R90" s="339"/>
      <c r="S90" s="340"/>
      <c r="T90" s="340"/>
      <c r="U90" s="340"/>
      <c r="V90" s="340"/>
      <c r="W90" s="341"/>
      <c r="X90" s="342"/>
      <c r="Y90" s="350"/>
      <c r="Z90" s="342"/>
      <c r="AA90" s="344"/>
      <c r="AB90" s="332"/>
      <c r="AC90" s="332"/>
      <c r="AD90" s="339"/>
      <c r="AE90" s="337"/>
      <c r="AF90" s="338"/>
      <c r="AG90" s="337"/>
      <c r="AH90" s="338"/>
      <c r="AI90" s="337"/>
      <c r="AJ90" s="338"/>
      <c r="AK90" s="338"/>
      <c r="AL90" s="338"/>
      <c r="AM90" s="338"/>
      <c r="AN90" s="338"/>
      <c r="AO90" s="338"/>
      <c r="AP90" s="338"/>
      <c r="AQ90" s="338"/>
      <c r="AR90" s="338"/>
    </row>
    <row r="91" spans="1:44" ht="27" customHeight="1">
      <c r="A91" s="487">
        <v>46099</v>
      </c>
      <c r="B91" s="445" t="s">
        <v>2564</v>
      </c>
      <c r="C91" s="437" t="s">
        <v>2563</v>
      </c>
      <c r="D91" s="361" t="s">
        <v>3028</v>
      </c>
      <c r="E91" s="736"/>
      <c r="F91" s="396" t="s">
        <v>52</v>
      </c>
      <c r="G91" s="421">
        <v>150</v>
      </c>
      <c r="H91" s="497" t="s">
        <v>2391</v>
      </c>
      <c r="I91" s="387" t="s">
        <v>58</v>
      </c>
      <c r="J91" s="404" t="s">
        <v>49</v>
      </c>
      <c r="K91" s="485" t="s">
        <v>56</v>
      </c>
      <c r="L91" s="392" t="s">
        <v>64</v>
      </c>
      <c r="M91" s="383">
        <v>46190</v>
      </c>
      <c r="N91" s="665" t="s">
        <v>54</v>
      </c>
      <c r="O91" s="369" t="s">
        <v>1386</v>
      </c>
      <c r="P91" s="356">
        <v>42011</v>
      </c>
      <c r="Q91" s="425">
        <v>46121</v>
      </c>
      <c r="R91" s="349" t="s">
        <v>49</v>
      </c>
      <c r="S91" s="368">
        <v>120</v>
      </c>
      <c r="T91" s="368">
        <v>100</v>
      </c>
      <c r="U91" s="368">
        <v>120</v>
      </c>
      <c r="V91" s="368">
        <v>25</v>
      </c>
      <c r="W91" s="364">
        <f>ROUND(G91/V91,2)</f>
        <v>6</v>
      </c>
      <c r="X91" s="377">
        <f>211*W91</f>
        <v>1266</v>
      </c>
      <c r="Y91" s="408">
        <f>ROUND((S91*T91*U91)*0.000001*W91,2)</f>
        <v>8.64</v>
      </c>
      <c r="Z91" s="376">
        <v>79.930000000000007</v>
      </c>
      <c r="AA91" s="360">
        <v>43980</v>
      </c>
      <c r="AB91" s="346" t="s">
        <v>46</v>
      </c>
      <c r="AC91" s="362"/>
      <c r="AD91" s="327"/>
      <c r="AE91" s="425">
        <v>46121</v>
      </c>
      <c r="AF91" s="425">
        <v>46121</v>
      </c>
      <c r="AG91" s="345"/>
      <c r="AH91" s="345"/>
      <c r="AI91" s="345"/>
      <c r="AJ91" s="375"/>
      <c r="AK91" s="375"/>
      <c r="AL91" s="375"/>
      <c r="AM91" s="375"/>
      <c r="AN91" s="375"/>
      <c r="AO91" s="345"/>
      <c r="AP91" s="446">
        <v>46139</v>
      </c>
      <c r="AQ91" s="446" t="s">
        <v>2075</v>
      </c>
      <c r="AR91" s="446" t="s">
        <v>1301</v>
      </c>
    </row>
    <row r="92" spans="1:44" ht="23.25" customHeight="1">
      <c r="A92" s="487">
        <v>46107</v>
      </c>
      <c r="B92" s="445" t="s">
        <v>2856</v>
      </c>
      <c r="C92" s="437" t="s">
        <v>2855</v>
      </c>
      <c r="D92" s="361" t="s">
        <v>3037</v>
      </c>
      <c r="E92" s="736"/>
      <c r="F92" s="396" t="s">
        <v>52</v>
      </c>
      <c r="G92" s="401">
        <v>100</v>
      </c>
      <c r="H92" s="498" t="s">
        <v>2854</v>
      </c>
      <c r="I92" s="363" t="s">
        <v>2853</v>
      </c>
      <c r="J92" s="363" t="s">
        <v>716</v>
      </c>
      <c r="K92" s="363" t="s">
        <v>53</v>
      </c>
      <c r="L92" s="427" t="s">
        <v>64</v>
      </c>
      <c r="M92" s="383">
        <v>46190</v>
      </c>
      <c r="N92" s="733"/>
      <c r="O92" s="877" t="s">
        <v>2567</v>
      </c>
      <c r="P92" s="356">
        <v>43475</v>
      </c>
      <c r="Q92" s="417">
        <v>46113</v>
      </c>
      <c r="R92" s="390" t="s">
        <v>49</v>
      </c>
      <c r="S92" s="380">
        <v>66</v>
      </c>
      <c r="T92" s="380">
        <v>62</v>
      </c>
      <c r="U92" s="380">
        <v>23</v>
      </c>
      <c r="V92" s="380">
        <v>2</v>
      </c>
      <c r="W92" s="347">
        <f>G92/V92</f>
        <v>50</v>
      </c>
      <c r="X92" s="386">
        <f>20*W92</f>
        <v>1000</v>
      </c>
      <c r="Y92" s="408">
        <f t="shared" ref="Y92:Y98" si="20">ROUND((S92*T92*U92)*0.000001*W92,2)</f>
        <v>4.71</v>
      </c>
      <c r="Z92" s="876">
        <v>78.010000000000005</v>
      </c>
      <c r="AA92" s="360">
        <f t="shared" ref="AA92:AA98" si="21">Z92*G92</f>
        <v>7801.0000000000009</v>
      </c>
      <c r="AB92" s="725" t="s">
        <v>46</v>
      </c>
      <c r="AC92" s="355" t="s">
        <v>46</v>
      </c>
      <c r="AD92" s="327"/>
      <c r="AE92" s="417">
        <v>46113</v>
      </c>
      <c r="AF92" s="425">
        <v>46121</v>
      </c>
      <c r="AG92" s="345"/>
      <c r="AH92" s="345"/>
      <c r="AI92" s="345"/>
      <c r="AJ92" s="375" t="s">
        <v>3051</v>
      </c>
      <c r="AK92" s="375"/>
      <c r="AL92" s="375"/>
      <c r="AM92" s="375"/>
      <c r="AN92" s="345"/>
      <c r="AO92" s="345"/>
      <c r="AP92" s="345"/>
      <c r="AQ92" s="345"/>
      <c r="AR92" s="375">
        <v>46167</v>
      </c>
    </row>
    <row r="93" spans="1:44" ht="23.25" customHeight="1">
      <c r="A93" s="487">
        <v>46106</v>
      </c>
      <c r="B93" s="445" t="s">
        <v>2817</v>
      </c>
      <c r="C93" s="437" t="s">
        <v>2818</v>
      </c>
      <c r="D93" s="361" t="s">
        <v>3032</v>
      </c>
      <c r="E93" s="736"/>
      <c r="F93" s="396" t="s">
        <v>52</v>
      </c>
      <c r="G93" s="401">
        <v>250</v>
      </c>
      <c r="H93" s="497" t="s">
        <v>2441</v>
      </c>
      <c r="I93" s="484" t="s">
        <v>2440</v>
      </c>
      <c r="J93" s="484" t="s">
        <v>59</v>
      </c>
      <c r="K93" s="387" t="s">
        <v>53</v>
      </c>
      <c r="L93" s="427" t="s">
        <v>2310</v>
      </c>
      <c r="M93" s="383">
        <v>46190</v>
      </c>
      <c r="N93" s="733"/>
      <c r="O93" s="382" t="s">
        <v>55</v>
      </c>
      <c r="P93" s="679">
        <v>43875</v>
      </c>
      <c r="Q93" s="425">
        <v>46118</v>
      </c>
      <c r="R93" s="395" t="s">
        <v>49</v>
      </c>
      <c r="S93" s="422">
        <v>78</v>
      </c>
      <c r="T93" s="422">
        <v>40</v>
      </c>
      <c r="U93" s="422">
        <v>20</v>
      </c>
      <c r="V93" s="549">
        <v>10</v>
      </c>
      <c r="W93" s="386">
        <f>ROUND(G93/V93,2)</f>
        <v>25</v>
      </c>
      <c r="X93" s="388">
        <f>18*W93</f>
        <v>450</v>
      </c>
      <c r="Y93" s="408">
        <f>ROUND((S93*T93*U93)*0.000001*W93,2)</f>
        <v>1.56</v>
      </c>
      <c r="Z93" s="627">
        <v>14.27</v>
      </c>
      <c r="AA93" s="360">
        <f>Z93*G93</f>
        <v>3567.5</v>
      </c>
      <c r="AB93" s="419" t="s">
        <v>46</v>
      </c>
      <c r="AD93" s="327"/>
      <c r="AE93" s="425">
        <v>46118</v>
      </c>
      <c r="AF93" s="425">
        <v>46118</v>
      </c>
      <c r="AG93" s="345"/>
      <c r="AH93" s="345"/>
      <c r="AI93" s="345"/>
      <c r="AJ93" s="375" t="s">
        <v>3403</v>
      </c>
      <c r="AK93" s="375"/>
      <c r="AL93" s="375"/>
      <c r="AM93" s="375"/>
      <c r="AN93" s="345"/>
      <c r="AO93" s="345"/>
      <c r="AP93" s="345"/>
      <c r="AQ93" s="345"/>
      <c r="AR93" s="375" t="s">
        <v>2881</v>
      </c>
    </row>
    <row r="94" spans="1:44" ht="23.25" customHeight="1">
      <c r="A94" s="487">
        <v>46107</v>
      </c>
      <c r="B94" s="445" t="s">
        <v>2848</v>
      </c>
      <c r="C94" s="437" t="s">
        <v>2847</v>
      </c>
      <c r="D94" s="361" t="s">
        <v>3032</v>
      </c>
      <c r="E94" s="736"/>
      <c r="F94" s="396" t="s">
        <v>52</v>
      </c>
      <c r="G94" s="401">
        <v>300</v>
      </c>
      <c r="H94" s="497" t="s">
        <v>2846</v>
      </c>
      <c r="I94" s="484" t="s">
        <v>2440</v>
      </c>
      <c r="J94" s="404" t="s">
        <v>2845</v>
      </c>
      <c r="K94" s="387" t="s">
        <v>53</v>
      </c>
      <c r="L94" s="427" t="s">
        <v>2310</v>
      </c>
      <c r="M94" s="383">
        <v>46190</v>
      </c>
      <c r="N94" s="733"/>
      <c r="O94" s="382" t="s">
        <v>55</v>
      </c>
      <c r="P94" s="679">
        <v>43875</v>
      </c>
      <c r="Q94" s="425">
        <v>46118</v>
      </c>
      <c r="R94" s="366" t="s">
        <v>636</v>
      </c>
      <c r="S94" s="422">
        <v>78</v>
      </c>
      <c r="T94" s="422">
        <v>40</v>
      </c>
      <c r="U94" s="422">
        <v>20</v>
      </c>
      <c r="V94" s="549">
        <v>10</v>
      </c>
      <c r="W94" s="386">
        <f>ROUND(G94/V94,2)</f>
        <v>30</v>
      </c>
      <c r="X94" s="388">
        <f>18*W94</f>
        <v>540</v>
      </c>
      <c r="Y94" s="408">
        <f>ROUND((S94*T94*U94)*0.000001*W94,2)</f>
        <v>1.87</v>
      </c>
      <c r="Z94" s="627">
        <v>15.14</v>
      </c>
      <c r="AA94" s="360">
        <f>Z94*G94</f>
        <v>4542</v>
      </c>
      <c r="AB94" s="419" t="s">
        <v>46</v>
      </c>
      <c r="AC94" s="355" t="s">
        <v>46</v>
      </c>
      <c r="AD94" s="327"/>
      <c r="AE94" s="425">
        <v>46118</v>
      </c>
      <c r="AF94" s="425">
        <v>46118</v>
      </c>
      <c r="AG94" s="345"/>
      <c r="AH94" s="446">
        <v>46129</v>
      </c>
      <c r="AI94" s="345"/>
      <c r="AJ94" s="375" t="s">
        <v>3403</v>
      </c>
      <c r="AK94" s="375"/>
      <c r="AL94" s="375"/>
      <c r="AM94" s="375"/>
      <c r="AN94" s="345"/>
      <c r="AO94" s="345"/>
      <c r="AP94" s="345"/>
      <c r="AQ94" s="345"/>
      <c r="AR94" s="446" t="s">
        <v>1301</v>
      </c>
    </row>
    <row r="95" spans="1:44" ht="27" customHeight="1">
      <c r="A95" s="487">
        <v>46083</v>
      </c>
      <c r="B95" s="445" t="s">
        <v>2452</v>
      </c>
      <c r="C95" s="437" t="s">
        <v>2451</v>
      </c>
      <c r="D95" s="361" t="s">
        <v>2515</v>
      </c>
      <c r="E95" s="736"/>
      <c r="F95" s="396" t="s">
        <v>52</v>
      </c>
      <c r="G95" s="486">
        <v>200</v>
      </c>
      <c r="H95" s="497" t="s">
        <v>2450</v>
      </c>
      <c r="I95" s="393" t="s">
        <v>317</v>
      </c>
      <c r="J95" s="914" t="s">
        <v>59</v>
      </c>
      <c r="K95" s="485" t="s">
        <v>53</v>
      </c>
      <c r="L95" s="363" t="s">
        <v>2408</v>
      </c>
      <c r="M95" s="383">
        <v>46190</v>
      </c>
      <c r="N95" s="328"/>
      <c r="O95" s="417" t="s">
        <v>55</v>
      </c>
      <c r="P95" s="417">
        <v>45428</v>
      </c>
      <c r="Q95" s="417">
        <v>46101</v>
      </c>
      <c r="R95" s="328" t="s">
        <v>49</v>
      </c>
      <c r="S95" s="368">
        <v>62</v>
      </c>
      <c r="T95" s="368">
        <v>37</v>
      </c>
      <c r="U95" s="407">
        <v>55</v>
      </c>
      <c r="V95" s="368">
        <v>5</v>
      </c>
      <c r="W95" s="386">
        <f>ROUND(G95/V95,2)</f>
        <v>40</v>
      </c>
      <c r="X95" s="777">
        <f>16.5*W95</f>
        <v>660</v>
      </c>
      <c r="Y95" s="776">
        <f>ROUND((S95*T95*U95)*0.000001*W95,2)</f>
        <v>5.05</v>
      </c>
      <c r="Z95" s="376">
        <v>28.02</v>
      </c>
      <c r="AA95" s="775">
        <f>Z95*G95</f>
        <v>5604</v>
      </c>
      <c r="AB95" s="355" t="s">
        <v>46</v>
      </c>
      <c r="AC95" s="362"/>
      <c r="AD95" s="327"/>
      <c r="AE95" s="417">
        <v>46101</v>
      </c>
      <c r="AF95" s="446">
        <v>46104</v>
      </c>
      <c r="AG95" s="345"/>
      <c r="AH95" s="345"/>
      <c r="AI95" s="345"/>
      <c r="AJ95" s="375" t="s">
        <v>3403</v>
      </c>
      <c r="AK95" s="375"/>
      <c r="AL95" s="375"/>
      <c r="AM95" s="375"/>
      <c r="AN95" s="375"/>
      <c r="AO95" s="345"/>
      <c r="AP95" s="345"/>
      <c r="AQ95" s="345"/>
      <c r="AR95" s="663" t="s">
        <v>1301</v>
      </c>
    </row>
    <row r="96" spans="1:44" ht="27" customHeight="1">
      <c r="A96" s="487">
        <v>46083</v>
      </c>
      <c r="B96" s="445" t="s">
        <v>2455</v>
      </c>
      <c r="C96" s="437" t="s">
        <v>2454</v>
      </c>
      <c r="D96" s="361" t="s">
        <v>2515</v>
      </c>
      <c r="E96" s="736"/>
      <c r="F96" s="396" t="s">
        <v>52</v>
      </c>
      <c r="G96" s="486">
        <v>100</v>
      </c>
      <c r="H96" s="497" t="s">
        <v>2453</v>
      </c>
      <c r="I96" s="393" t="s">
        <v>317</v>
      </c>
      <c r="J96" s="914" t="s">
        <v>59</v>
      </c>
      <c r="K96" s="485" t="s">
        <v>56</v>
      </c>
      <c r="L96" s="363" t="s">
        <v>2408</v>
      </c>
      <c r="M96" s="383">
        <v>46190</v>
      </c>
      <c r="N96" s="328"/>
      <c r="O96" s="417" t="s">
        <v>55</v>
      </c>
      <c r="P96" s="417">
        <v>45428</v>
      </c>
      <c r="Q96" s="417">
        <v>46101</v>
      </c>
      <c r="R96" s="328" t="s">
        <v>49</v>
      </c>
      <c r="S96" s="368">
        <v>62</v>
      </c>
      <c r="T96" s="368">
        <v>37</v>
      </c>
      <c r="U96" s="407">
        <v>55</v>
      </c>
      <c r="V96" s="368">
        <v>5</v>
      </c>
      <c r="W96" s="386">
        <f>ROUND(G96/V96,2)</f>
        <v>20</v>
      </c>
      <c r="X96" s="777">
        <f>16.5*W96</f>
        <v>330</v>
      </c>
      <c r="Y96" s="776">
        <f>ROUND((S96*T96*U96)*0.000001*W96,2)</f>
        <v>2.52</v>
      </c>
      <c r="Z96" s="376">
        <v>28.02</v>
      </c>
      <c r="AA96" s="775">
        <f>Z96*G96</f>
        <v>2802</v>
      </c>
      <c r="AB96" s="355" t="s">
        <v>46</v>
      </c>
      <c r="AC96" s="362"/>
      <c r="AD96" s="327"/>
      <c r="AE96" s="417">
        <v>46101</v>
      </c>
      <c r="AF96" s="446">
        <v>46104</v>
      </c>
      <c r="AG96" s="345"/>
      <c r="AH96" s="345"/>
      <c r="AI96" s="345"/>
      <c r="AJ96" s="375" t="s">
        <v>3403</v>
      </c>
      <c r="AK96" s="375"/>
      <c r="AL96" s="375"/>
      <c r="AM96" s="375"/>
      <c r="AN96" s="375"/>
      <c r="AO96" s="345"/>
      <c r="AP96" s="345"/>
      <c r="AQ96" s="345"/>
      <c r="AR96" s="663" t="s">
        <v>1301</v>
      </c>
    </row>
    <row r="97" spans="1:44" ht="30" customHeight="1">
      <c r="A97" s="487">
        <v>46035</v>
      </c>
      <c r="B97" s="445" t="s">
        <v>3110</v>
      </c>
      <c r="C97" s="437" t="s">
        <v>2386</v>
      </c>
      <c r="D97" s="361" t="s">
        <v>3303</v>
      </c>
      <c r="E97" s="992" t="s">
        <v>3336</v>
      </c>
      <c r="F97" s="396" t="s">
        <v>52</v>
      </c>
      <c r="G97" s="401">
        <v>100</v>
      </c>
      <c r="H97" s="534" t="s">
        <v>2123</v>
      </c>
      <c r="I97" s="363" t="s">
        <v>2122</v>
      </c>
      <c r="J97" s="484" t="s">
        <v>59</v>
      </c>
      <c r="K97" s="363" t="s">
        <v>56</v>
      </c>
      <c r="L97" s="427" t="s">
        <v>68</v>
      </c>
      <c r="M97" s="383">
        <v>46190</v>
      </c>
      <c r="N97" s="505"/>
      <c r="O97" s="423" t="s">
        <v>85</v>
      </c>
      <c r="P97" s="633">
        <v>42300</v>
      </c>
      <c r="Q97" s="425">
        <v>46038</v>
      </c>
      <c r="R97" s="390" t="s">
        <v>59</v>
      </c>
      <c r="S97" s="368">
        <v>71</v>
      </c>
      <c r="T97" s="368">
        <v>43</v>
      </c>
      <c r="U97" s="368">
        <v>86</v>
      </c>
      <c r="V97" s="368">
        <v>2</v>
      </c>
      <c r="W97" s="364">
        <f t="shared" ref="W97:W102" si="22">ROUND(G97/V97,2)</f>
        <v>50</v>
      </c>
      <c r="X97" s="347">
        <f>22*W97</f>
        <v>1100</v>
      </c>
      <c r="Y97" s="359">
        <f t="shared" si="20"/>
        <v>13.13</v>
      </c>
      <c r="Z97" s="629">
        <v>99.27</v>
      </c>
      <c r="AA97" s="360">
        <f t="shared" si="21"/>
        <v>9927</v>
      </c>
      <c r="AB97" s="355" t="s">
        <v>46</v>
      </c>
      <c r="AC97" s="355"/>
      <c r="AD97" s="327"/>
      <c r="AE97" s="425">
        <v>46038</v>
      </c>
      <c r="AF97" s="425">
        <v>46038</v>
      </c>
      <c r="AG97" s="345"/>
      <c r="AH97" s="345"/>
      <c r="AI97" s="345"/>
      <c r="AJ97" s="446">
        <v>46091</v>
      </c>
      <c r="AK97" s="446">
        <v>46091</v>
      </c>
      <c r="AL97" s="446">
        <v>46111</v>
      </c>
      <c r="AM97" s="375"/>
      <c r="AN97" s="375"/>
      <c r="AO97" s="345"/>
      <c r="AP97" s="345"/>
      <c r="AQ97" s="375">
        <v>46158</v>
      </c>
      <c r="AR97" s="446" t="s">
        <v>2333</v>
      </c>
    </row>
    <row r="98" spans="1:44" ht="30" customHeight="1">
      <c r="A98" s="487">
        <v>46136</v>
      </c>
      <c r="B98" s="445" t="s">
        <v>3110</v>
      </c>
      <c r="C98" s="437" t="s">
        <v>3113</v>
      </c>
      <c r="D98" s="361" t="s">
        <v>3303</v>
      </c>
      <c r="E98" s="993"/>
      <c r="F98" s="396" t="s">
        <v>52</v>
      </c>
      <c r="G98" s="392">
        <v>100</v>
      </c>
      <c r="H98" s="645" t="s">
        <v>2123</v>
      </c>
      <c r="I98" s="363" t="s">
        <v>2122</v>
      </c>
      <c r="J98" s="484" t="s">
        <v>59</v>
      </c>
      <c r="K98" s="363" t="s">
        <v>56</v>
      </c>
      <c r="L98" s="363" t="s">
        <v>68</v>
      </c>
      <c r="M98" s="383">
        <v>46190</v>
      </c>
      <c r="N98" s="505"/>
      <c r="O98" s="423" t="s">
        <v>85</v>
      </c>
      <c r="P98" s="633">
        <v>42300</v>
      </c>
      <c r="Q98" s="425">
        <v>46158</v>
      </c>
      <c r="R98" s="390" t="s">
        <v>59</v>
      </c>
      <c r="S98" s="368">
        <v>71</v>
      </c>
      <c r="T98" s="368">
        <v>43</v>
      </c>
      <c r="U98" s="368">
        <v>86</v>
      </c>
      <c r="V98" s="368">
        <v>2</v>
      </c>
      <c r="W98" s="364">
        <f t="shared" si="22"/>
        <v>50</v>
      </c>
      <c r="X98" s="347">
        <f>22*W98</f>
        <v>1100</v>
      </c>
      <c r="Y98" s="359">
        <f t="shared" si="20"/>
        <v>13.13</v>
      </c>
      <c r="Z98" s="629">
        <v>99.27</v>
      </c>
      <c r="AA98" s="360">
        <f t="shared" si="21"/>
        <v>9927</v>
      </c>
      <c r="AB98" s="355" t="s">
        <v>46</v>
      </c>
      <c r="AC98" s="355"/>
      <c r="AD98" s="327"/>
      <c r="AE98" s="425">
        <v>46158</v>
      </c>
      <c r="AF98" s="425">
        <v>46158</v>
      </c>
      <c r="AG98" s="345"/>
      <c r="AH98" s="345"/>
      <c r="AI98" s="345"/>
      <c r="AJ98" s="375"/>
      <c r="AK98" s="375"/>
      <c r="AL98" s="375"/>
      <c r="AM98" s="375"/>
      <c r="AN98" s="375"/>
      <c r="AO98" s="345"/>
      <c r="AP98" s="345"/>
      <c r="AQ98" s="375"/>
      <c r="AR98" s="446" t="s">
        <v>2333</v>
      </c>
    </row>
    <row r="99" spans="1:44" ht="23.25" customHeight="1">
      <c r="A99" s="487">
        <v>46106</v>
      </c>
      <c r="B99" s="445" t="s">
        <v>2811</v>
      </c>
      <c r="C99" s="437" t="s">
        <v>2810</v>
      </c>
      <c r="D99" s="361" t="s">
        <v>3039</v>
      </c>
      <c r="E99" s="994" t="s">
        <v>2809</v>
      </c>
      <c r="F99" s="396" t="s">
        <v>52</v>
      </c>
      <c r="G99" s="401">
        <v>200</v>
      </c>
      <c r="H99" s="498" t="s">
        <v>2328</v>
      </c>
      <c r="I99" s="393" t="s">
        <v>1206</v>
      </c>
      <c r="J99" s="363" t="s">
        <v>2808</v>
      </c>
      <c r="K99" s="392" t="s">
        <v>53</v>
      </c>
      <c r="L99" s="392" t="s">
        <v>2321</v>
      </c>
      <c r="M99" s="383">
        <v>46190</v>
      </c>
      <c r="N99" s="733"/>
      <c r="O99" s="382" t="s">
        <v>602</v>
      </c>
      <c r="P99" s="628">
        <v>45995</v>
      </c>
      <c r="Q99" s="417">
        <v>46113</v>
      </c>
      <c r="R99" s="395" t="s">
        <v>636</v>
      </c>
      <c r="S99" s="368">
        <v>55</v>
      </c>
      <c r="T99" s="368">
        <v>46</v>
      </c>
      <c r="U99" s="407">
        <v>42</v>
      </c>
      <c r="V99" s="368" t="s">
        <v>2471</v>
      </c>
      <c r="W99" s="386">
        <f t="shared" si="22"/>
        <v>4</v>
      </c>
      <c r="X99" s="694">
        <f>21.4*W99</f>
        <v>85.6</v>
      </c>
      <c r="Y99" s="408">
        <f>ROUND((S99*T99*U99)*0.000001*W99,2)</f>
        <v>0.43</v>
      </c>
      <c r="Z99" s="396">
        <v>3.89</v>
      </c>
      <c r="AA99" s="411">
        <f>Z99*G99</f>
        <v>778</v>
      </c>
      <c r="AB99" s="346" t="s">
        <v>46</v>
      </c>
      <c r="AD99" s="327"/>
      <c r="AE99" s="417">
        <v>46113</v>
      </c>
      <c r="AF99" s="417">
        <v>46113</v>
      </c>
      <c r="AG99" s="345"/>
      <c r="AH99" s="446">
        <v>46118</v>
      </c>
      <c r="AI99" s="345"/>
      <c r="AJ99" s="446">
        <v>46154</v>
      </c>
      <c r="AK99" s="446">
        <v>46154</v>
      </c>
      <c r="AL99" s="446">
        <v>46158</v>
      </c>
      <c r="AM99" s="375"/>
      <c r="AN99" s="345"/>
      <c r="AO99" s="345"/>
      <c r="AP99" s="345"/>
      <c r="AQ99" s="345"/>
      <c r="AR99" s="446" t="s">
        <v>2326</v>
      </c>
    </row>
    <row r="100" spans="1:44" ht="23.25" customHeight="1">
      <c r="A100" s="487">
        <v>46106</v>
      </c>
      <c r="B100" s="445" t="s">
        <v>2820</v>
      </c>
      <c r="C100" s="437" t="s">
        <v>2795</v>
      </c>
      <c r="D100" s="361" t="s">
        <v>2904</v>
      </c>
      <c r="E100" s="995"/>
      <c r="F100" s="396" t="s">
        <v>52</v>
      </c>
      <c r="G100" s="401">
        <v>200</v>
      </c>
      <c r="H100" s="881" t="s">
        <v>2329</v>
      </c>
      <c r="I100" s="418" t="s">
        <v>2819</v>
      </c>
      <c r="J100" s="404" t="s">
        <v>2808</v>
      </c>
      <c r="K100" s="418" t="s">
        <v>53</v>
      </c>
      <c r="L100" s="427" t="s">
        <v>68</v>
      </c>
      <c r="M100" s="383">
        <v>46190</v>
      </c>
      <c r="N100" s="733"/>
      <c r="O100" s="382" t="s">
        <v>55</v>
      </c>
      <c r="P100" s="628">
        <v>45995</v>
      </c>
      <c r="Q100" s="425">
        <v>46122</v>
      </c>
      <c r="R100" s="395" t="s">
        <v>636</v>
      </c>
      <c r="S100" s="407">
        <v>37</v>
      </c>
      <c r="T100" s="407">
        <v>37</v>
      </c>
      <c r="U100" s="407">
        <v>65</v>
      </c>
      <c r="V100" s="368">
        <v>5</v>
      </c>
      <c r="W100" s="386">
        <f t="shared" si="22"/>
        <v>40</v>
      </c>
      <c r="X100" s="365">
        <f>14*W100</f>
        <v>560</v>
      </c>
      <c r="Y100" s="347">
        <f>ROUND((S100*T100*U100)*0.000001*W100,2)</f>
        <v>3.56</v>
      </c>
      <c r="Z100" s="396">
        <v>43.27</v>
      </c>
      <c r="AA100" s="411">
        <f>Z100*G100</f>
        <v>8654</v>
      </c>
      <c r="AB100" s="346" t="s">
        <v>46</v>
      </c>
      <c r="AD100" s="327"/>
      <c r="AE100" s="425">
        <v>46122</v>
      </c>
      <c r="AF100" s="425">
        <v>46122</v>
      </c>
      <c r="AG100" s="345"/>
      <c r="AH100" s="446">
        <v>46129</v>
      </c>
      <c r="AI100" s="345"/>
      <c r="AJ100" s="375"/>
      <c r="AK100" s="375"/>
      <c r="AL100" s="375"/>
      <c r="AM100" s="375"/>
      <c r="AN100" s="375"/>
      <c r="AO100" s="345"/>
      <c r="AP100" s="375"/>
      <c r="AQ100" s="446" t="s">
        <v>2075</v>
      </c>
      <c r="AR100" s="375">
        <v>46161</v>
      </c>
    </row>
    <row r="101" spans="1:44" ht="24" customHeight="1">
      <c r="A101" s="487">
        <v>46093</v>
      </c>
      <c r="B101" s="445" t="s">
        <v>2524</v>
      </c>
      <c r="C101" s="437" t="s">
        <v>2523</v>
      </c>
      <c r="D101" s="361" t="s">
        <v>2888</v>
      </c>
      <c r="E101" s="736"/>
      <c r="F101" s="396" t="s">
        <v>52</v>
      </c>
      <c r="G101" s="486">
        <v>100</v>
      </c>
      <c r="H101" s="497" t="s">
        <v>2522</v>
      </c>
      <c r="I101" s="363" t="s">
        <v>58</v>
      </c>
      <c r="J101" s="392" t="s">
        <v>2521</v>
      </c>
      <c r="K101" s="402" t="s">
        <v>50</v>
      </c>
      <c r="L101" s="363" t="s">
        <v>68</v>
      </c>
      <c r="M101" s="383">
        <v>46190</v>
      </c>
      <c r="N101" s="328"/>
      <c r="O101" s="382" t="s">
        <v>55</v>
      </c>
      <c r="P101" s="390" t="s">
        <v>48</v>
      </c>
      <c r="Q101" s="425">
        <v>46108</v>
      </c>
      <c r="R101" s="366" t="s">
        <v>2457</v>
      </c>
      <c r="S101" s="422">
        <v>80</v>
      </c>
      <c r="T101" s="422">
        <v>53</v>
      </c>
      <c r="U101" s="422">
        <v>25</v>
      </c>
      <c r="V101" s="422">
        <v>2</v>
      </c>
      <c r="W101" s="407">
        <f t="shared" si="22"/>
        <v>50</v>
      </c>
      <c r="X101" s="532">
        <f>27*W101</f>
        <v>1350</v>
      </c>
      <c r="Y101" s="414">
        <f>ROUND((S101*T101*U101)*0.000001*W101,2)</f>
        <v>5.3</v>
      </c>
      <c r="Z101" s="376">
        <v>77.91</v>
      </c>
      <c r="AA101" s="688">
        <f>Z101*G101</f>
        <v>7791</v>
      </c>
      <c r="AB101" s="372" t="s">
        <v>46</v>
      </c>
      <c r="AC101" s="362"/>
      <c r="AD101" s="327"/>
      <c r="AE101" s="425">
        <v>46108</v>
      </c>
      <c r="AF101" s="425">
        <v>46108</v>
      </c>
      <c r="AG101" s="345"/>
      <c r="AH101" s="446">
        <v>46118</v>
      </c>
      <c r="AI101" s="345"/>
      <c r="AJ101" s="375" t="s">
        <v>3406</v>
      </c>
      <c r="AK101" s="375"/>
      <c r="AL101" s="375"/>
      <c r="AM101" s="375"/>
      <c r="AN101" s="375"/>
      <c r="AO101" s="375"/>
      <c r="AP101" s="446">
        <v>46136</v>
      </c>
      <c r="AQ101" s="446" t="s">
        <v>2075</v>
      </c>
      <c r="AR101" s="663" t="s">
        <v>1301</v>
      </c>
    </row>
    <row r="102" spans="1:44" ht="24" customHeight="1">
      <c r="A102" s="487">
        <v>46083</v>
      </c>
      <c r="B102" s="445" t="s">
        <v>2439</v>
      </c>
      <c r="C102" s="437" t="s">
        <v>2438</v>
      </c>
      <c r="D102" s="361" t="s">
        <v>2513</v>
      </c>
      <c r="E102" s="736"/>
      <c r="F102" s="396" t="s">
        <v>52</v>
      </c>
      <c r="G102" s="486">
        <v>100</v>
      </c>
      <c r="H102" s="497" t="s">
        <v>2437</v>
      </c>
      <c r="I102" s="770" t="s">
        <v>58</v>
      </c>
      <c r="J102" s="485" t="s">
        <v>2436</v>
      </c>
      <c r="K102" s="770" t="s">
        <v>56</v>
      </c>
      <c r="L102" s="363" t="s">
        <v>68</v>
      </c>
      <c r="M102" s="383">
        <v>46190</v>
      </c>
      <c r="N102" s="328"/>
      <c r="O102" s="382" t="s">
        <v>55</v>
      </c>
      <c r="P102" s="374">
        <v>42568</v>
      </c>
      <c r="Q102" s="490">
        <v>46091</v>
      </c>
      <c r="R102" s="355" t="s">
        <v>2147</v>
      </c>
      <c r="S102" s="422">
        <v>80</v>
      </c>
      <c r="T102" s="422">
        <v>53</v>
      </c>
      <c r="U102" s="422">
        <v>25</v>
      </c>
      <c r="V102" s="422">
        <v>2</v>
      </c>
      <c r="W102" s="407">
        <f t="shared" si="22"/>
        <v>50</v>
      </c>
      <c r="X102" s="532">
        <f>27*W102</f>
        <v>1350</v>
      </c>
      <c r="Y102" s="414">
        <f>ROUND((S102*T102*U102)*0.000001*W102,2)</f>
        <v>5.3</v>
      </c>
      <c r="Z102" s="769">
        <v>73.599999999999994</v>
      </c>
      <c r="AA102" s="360">
        <f>Z102*G102</f>
        <v>7359.9999999999991</v>
      </c>
      <c r="AB102" s="346" t="s">
        <v>46</v>
      </c>
      <c r="AC102" s="362"/>
      <c r="AD102" s="327"/>
      <c r="AE102" s="490">
        <v>46091</v>
      </c>
      <c r="AF102" s="490">
        <v>46092</v>
      </c>
      <c r="AG102" s="345"/>
      <c r="AH102" s="446">
        <v>46112</v>
      </c>
      <c r="AI102" s="345"/>
      <c r="AJ102" s="375" t="s">
        <v>3406</v>
      </c>
      <c r="AK102" s="375"/>
      <c r="AL102" s="375"/>
      <c r="AM102" s="375"/>
      <c r="AN102" s="375"/>
      <c r="AO102" s="375"/>
      <c r="AP102" s="446">
        <v>46132</v>
      </c>
      <c r="AQ102" s="446" t="s">
        <v>2075</v>
      </c>
      <c r="AR102" s="663" t="s">
        <v>1301</v>
      </c>
    </row>
    <row r="103" spans="1:44" ht="25.5" customHeight="1">
      <c r="A103" s="487">
        <v>46107</v>
      </c>
      <c r="B103" s="445" t="s">
        <v>2865</v>
      </c>
      <c r="C103" s="437" t="s">
        <v>2864</v>
      </c>
      <c r="D103" s="361" t="s">
        <v>3300</v>
      </c>
      <c r="E103" s="736"/>
      <c r="F103" s="396" t="s">
        <v>52</v>
      </c>
      <c r="G103" s="544">
        <v>100</v>
      </c>
      <c r="H103" s="794" t="s">
        <v>2863</v>
      </c>
      <c r="I103" s="363" t="s">
        <v>152</v>
      </c>
      <c r="J103" s="363" t="s">
        <v>2862</v>
      </c>
      <c r="K103" s="363" t="s">
        <v>53</v>
      </c>
      <c r="L103" s="545" t="s">
        <v>60</v>
      </c>
      <c r="M103" s="383">
        <v>46190</v>
      </c>
      <c r="N103" s="733"/>
      <c r="O103" s="327" t="s">
        <v>2861</v>
      </c>
      <c r="P103" s="395">
        <v>45947</v>
      </c>
      <c r="Q103" s="490">
        <v>46114</v>
      </c>
      <c r="R103" s="512" t="s">
        <v>2457</v>
      </c>
      <c r="S103" s="878">
        <v>48</v>
      </c>
      <c r="T103" s="878">
        <v>42</v>
      </c>
      <c r="U103" s="878">
        <v>40</v>
      </c>
      <c r="V103" s="512">
        <v>5</v>
      </c>
      <c r="W103" s="347">
        <f>G103/V103</f>
        <v>20</v>
      </c>
      <c r="X103" s="327">
        <f>18*W103</f>
        <v>360</v>
      </c>
      <c r="Y103" s="408">
        <f>ROUND((S103*T103*U103)*0.000001*W103,2)</f>
        <v>1.61</v>
      </c>
      <c r="Z103" s="712">
        <v>44.76</v>
      </c>
      <c r="AA103" s="713">
        <v>4430</v>
      </c>
      <c r="AB103" s="355" t="s">
        <v>46</v>
      </c>
      <c r="AC103" s="355" t="s">
        <v>46</v>
      </c>
      <c r="AD103" s="327"/>
      <c r="AE103" s="490">
        <v>46114</v>
      </c>
      <c r="AF103" s="446">
        <v>46129</v>
      </c>
      <c r="AG103" s="345"/>
      <c r="AH103" s="446">
        <v>46129</v>
      </c>
      <c r="AI103" s="345"/>
      <c r="AJ103" s="375"/>
      <c r="AK103" s="375"/>
      <c r="AL103" s="375"/>
      <c r="AM103" s="375"/>
      <c r="AN103" s="345"/>
      <c r="AO103" s="345"/>
      <c r="AP103" s="345"/>
      <c r="AQ103" s="345"/>
      <c r="AR103" s="375">
        <v>46167</v>
      </c>
    </row>
    <row r="104" spans="1:44" ht="25.5" customHeight="1">
      <c r="A104" s="487">
        <v>46107</v>
      </c>
      <c r="B104" s="445" t="s">
        <v>2844</v>
      </c>
      <c r="C104" s="437" t="s">
        <v>2843</v>
      </c>
      <c r="D104" s="361" t="s">
        <v>3300</v>
      </c>
      <c r="E104" s="736"/>
      <c r="F104" s="396" t="s">
        <v>52</v>
      </c>
      <c r="G104" s="544">
        <v>100</v>
      </c>
      <c r="H104" s="884" t="s">
        <v>2842</v>
      </c>
      <c r="I104" s="352" t="s">
        <v>2841</v>
      </c>
      <c r="J104" s="875" t="s">
        <v>2840</v>
      </c>
      <c r="K104" s="352" t="s">
        <v>56</v>
      </c>
      <c r="L104" s="545" t="s">
        <v>60</v>
      </c>
      <c r="M104" s="383">
        <v>46190</v>
      </c>
      <c r="N104" s="733"/>
      <c r="O104" s="382" t="s">
        <v>55</v>
      </c>
      <c r="P104" s="874" t="s">
        <v>44</v>
      </c>
      <c r="Q104" s="503"/>
      <c r="R104" s="750" t="s">
        <v>636</v>
      </c>
      <c r="S104" s="841">
        <v>120</v>
      </c>
      <c r="T104" s="841">
        <v>100</v>
      </c>
      <c r="U104" s="841">
        <f>110+10</f>
        <v>120</v>
      </c>
      <c r="V104" s="841">
        <v>100</v>
      </c>
      <c r="W104" s="873">
        <f>G104/V104</f>
        <v>1</v>
      </c>
      <c r="X104" s="872">
        <f>(1.3*V104+22+10)*W104</f>
        <v>162</v>
      </c>
      <c r="Y104" s="871">
        <f>ROUND((S104*T104*U104)*0.000001*W104,2)</f>
        <v>1.44</v>
      </c>
      <c r="Z104" s="347">
        <v>13.93</v>
      </c>
      <c r="AA104" s="870">
        <f>Z104*G104</f>
        <v>1393</v>
      </c>
      <c r="AB104" s="362" t="s">
        <v>46</v>
      </c>
      <c r="AC104" s="355" t="s">
        <v>46</v>
      </c>
      <c r="AD104" s="327"/>
      <c r="AE104" s="375"/>
      <c r="AF104" s="375"/>
      <c r="AG104" s="345"/>
      <c r="AH104" s="375"/>
      <c r="AI104" s="345"/>
      <c r="AJ104" s="375"/>
      <c r="AK104" s="375"/>
      <c r="AL104" s="375"/>
      <c r="AM104" s="375"/>
      <c r="AN104" s="345"/>
      <c r="AO104" s="345"/>
      <c r="AP104" s="345"/>
      <c r="AQ104" s="345"/>
      <c r="AR104" s="446" t="s">
        <v>1301</v>
      </c>
    </row>
    <row r="105" spans="1:44" ht="25.5" customHeight="1">
      <c r="A105" s="487">
        <v>46107</v>
      </c>
      <c r="B105" s="445" t="s">
        <v>2835</v>
      </c>
      <c r="C105" s="437" t="s">
        <v>2834</v>
      </c>
      <c r="D105" s="361" t="s">
        <v>3300</v>
      </c>
      <c r="E105" s="736"/>
      <c r="F105" s="396" t="s">
        <v>52</v>
      </c>
      <c r="G105" s="544">
        <v>100</v>
      </c>
      <c r="H105" s="795" t="s">
        <v>2833</v>
      </c>
      <c r="I105" s="349" t="s">
        <v>2832</v>
      </c>
      <c r="J105" s="868" t="s">
        <v>2831</v>
      </c>
      <c r="K105" s="601" t="s">
        <v>2830</v>
      </c>
      <c r="L105" s="545" t="s">
        <v>60</v>
      </c>
      <c r="M105" s="383">
        <v>46190</v>
      </c>
      <c r="N105" s="733"/>
      <c r="O105" s="744" t="s">
        <v>88</v>
      </c>
      <c r="P105" s="328">
        <v>40961</v>
      </c>
      <c r="Q105" s="503"/>
      <c r="R105" s="750" t="s">
        <v>45</v>
      </c>
      <c r="S105" s="683">
        <v>55</v>
      </c>
      <c r="T105" s="683">
        <v>46</v>
      </c>
      <c r="U105" s="683">
        <v>40</v>
      </c>
      <c r="V105" s="696">
        <v>8</v>
      </c>
      <c r="W105" s="424">
        <f>ROUND(G105/V105,2)</f>
        <v>12.5</v>
      </c>
      <c r="X105" s="359">
        <f>10*W105</f>
        <v>125</v>
      </c>
      <c r="Y105" s="347">
        <f>ROUND((S105*T105*U105)*0.000001*W105,2)</f>
        <v>1.27</v>
      </c>
      <c r="Z105" s="761">
        <v>10.210000000000001</v>
      </c>
      <c r="AA105" s="867">
        <f>Z105*G105</f>
        <v>1021.0000000000001</v>
      </c>
      <c r="AB105" s="866" t="s">
        <v>46</v>
      </c>
      <c r="AC105" s="355" t="s">
        <v>46</v>
      </c>
      <c r="AD105" s="327"/>
      <c r="AE105" s="375"/>
      <c r="AF105" s="375"/>
      <c r="AG105" s="345"/>
      <c r="AH105" s="375"/>
      <c r="AI105" s="345"/>
      <c r="AJ105" s="375"/>
      <c r="AK105" s="375"/>
      <c r="AL105" s="375"/>
      <c r="AM105" s="375"/>
      <c r="AN105" s="345"/>
      <c r="AO105" s="345"/>
      <c r="AP105" s="345"/>
      <c r="AQ105" s="345"/>
      <c r="AR105" s="375">
        <v>46167</v>
      </c>
    </row>
    <row r="106" spans="1:44" ht="27" customHeight="1">
      <c r="A106" s="330"/>
      <c r="B106" s="331"/>
      <c r="C106" s="332"/>
      <c r="D106" s="333"/>
      <c r="E106" s="334"/>
      <c r="F106" s="334"/>
      <c r="G106" s="335">
        <f>SUM(G91:G105)</f>
        <v>2200</v>
      </c>
      <c r="H106" s="334"/>
      <c r="I106" s="334"/>
      <c r="J106" s="334"/>
      <c r="K106" s="334"/>
      <c r="L106" s="336"/>
      <c r="M106" s="332"/>
      <c r="N106" s="332"/>
      <c r="O106" s="337"/>
      <c r="P106" s="338"/>
      <c r="Q106" s="337"/>
      <c r="R106" s="339"/>
      <c r="S106" s="340"/>
      <c r="T106" s="340"/>
      <c r="U106" s="340"/>
      <c r="V106" s="340"/>
      <c r="W106" s="341"/>
      <c r="X106" s="342"/>
      <c r="Y106" s="343">
        <f>SUM(Y91:Y105)</f>
        <v>69.52</v>
      </c>
      <c r="Z106" s="342"/>
      <c r="AA106" s="344"/>
      <c r="AB106" s="332"/>
      <c r="AC106" s="332"/>
      <c r="AD106" s="339"/>
      <c r="AE106" s="337"/>
      <c r="AF106" s="338"/>
      <c r="AG106" s="337"/>
      <c r="AH106" s="338"/>
      <c r="AI106" s="337"/>
      <c r="AJ106" s="338"/>
      <c r="AK106" s="338"/>
      <c r="AL106" s="338"/>
      <c r="AM106" s="338"/>
      <c r="AN106" s="338"/>
      <c r="AO106" s="338"/>
      <c r="AP106" s="338"/>
      <c r="AQ106" s="338"/>
      <c r="AR106" s="338"/>
    </row>
    <row r="107" spans="1:44" ht="27.75" customHeight="1">
      <c r="A107" s="351" t="s">
        <v>3417</v>
      </c>
      <c r="B107" s="331"/>
      <c r="C107" s="332"/>
      <c r="D107" s="333"/>
      <c r="E107" s="334"/>
      <c r="F107" s="334"/>
      <c r="G107" s="524"/>
      <c r="H107" s="341"/>
      <c r="I107" s="334"/>
      <c r="J107" s="334"/>
      <c r="K107" s="334"/>
      <c r="L107" s="336"/>
      <c r="M107" s="332"/>
      <c r="N107" s="332"/>
      <c r="O107" s="337"/>
      <c r="P107" s="338"/>
      <c r="Q107" s="337"/>
      <c r="R107" s="339"/>
      <c r="S107" s="340"/>
      <c r="T107" s="340"/>
      <c r="U107" s="340"/>
      <c r="V107" s="340"/>
      <c r="W107" s="341"/>
      <c r="X107" s="342"/>
      <c r="Y107" s="350"/>
      <c r="Z107" s="342"/>
      <c r="AA107" s="344"/>
      <c r="AB107" s="332"/>
      <c r="AC107" s="332"/>
      <c r="AD107" s="339"/>
      <c r="AE107" s="337"/>
      <c r="AF107" s="338"/>
      <c r="AG107" s="337"/>
      <c r="AH107" s="338"/>
      <c r="AI107" s="337"/>
      <c r="AJ107" s="338"/>
      <c r="AK107" s="338"/>
      <c r="AL107" s="338"/>
      <c r="AM107" s="338"/>
      <c r="AN107" s="338"/>
      <c r="AO107" s="338"/>
      <c r="AP107" s="338"/>
      <c r="AQ107" s="338"/>
      <c r="AR107" s="338"/>
    </row>
    <row r="108" spans="1:44" ht="30" customHeight="1">
      <c r="A108" s="487">
        <v>46136</v>
      </c>
      <c r="B108" s="445" t="s">
        <v>3108</v>
      </c>
      <c r="C108" s="437" t="s">
        <v>3232</v>
      </c>
      <c r="D108" s="361" t="s">
        <v>3304</v>
      </c>
      <c r="E108" s="680" t="s">
        <v>2132</v>
      </c>
      <c r="F108" s="396" t="s">
        <v>70</v>
      </c>
      <c r="G108" s="392">
        <v>864</v>
      </c>
      <c r="H108" s="527" t="s">
        <v>381</v>
      </c>
      <c r="I108" s="914" t="s">
        <v>135</v>
      </c>
      <c r="J108" s="914" t="s">
        <v>70</v>
      </c>
      <c r="K108" s="644" t="s">
        <v>53</v>
      </c>
      <c r="L108" s="601" t="s">
        <v>64</v>
      </c>
      <c r="M108" s="383">
        <v>46192</v>
      </c>
      <c r="N108" s="693" t="s">
        <v>1239</v>
      </c>
      <c r="O108" s="358" t="s">
        <v>1822</v>
      </c>
      <c r="P108" s="495" t="s">
        <v>44</v>
      </c>
      <c r="Q108" s="417">
        <v>46161</v>
      </c>
      <c r="R108" s="390" t="s">
        <v>57</v>
      </c>
      <c r="S108" s="380">
        <f>ROUND(15.5*2.54,2)</f>
        <v>39.369999999999997</v>
      </c>
      <c r="T108" s="380">
        <f>ROUND(11.5*2.54,2)</f>
        <v>29.21</v>
      </c>
      <c r="U108" s="380">
        <f>ROUND(8*2.54,2)</f>
        <v>20.32</v>
      </c>
      <c r="V108" s="368">
        <v>6</v>
      </c>
      <c r="W108" s="386">
        <f>ROUND(G108/V108,2)</f>
        <v>144</v>
      </c>
      <c r="X108" s="385">
        <f>4.5*W108</f>
        <v>648</v>
      </c>
      <c r="Y108" s="420">
        <f>ROUND((S108*T108*U108)*0.000001*W108,2)</f>
        <v>3.36</v>
      </c>
      <c r="Z108" s="641">
        <v>4.49</v>
      </c>
      <c r="AA108" s="913">
        <f>Z108*G108</f>
        <v>3879.36</v>
      </c>
      <c r="AB108" s="355" t="s">
        <v>46</v>
      </c>
      <c r="AC108" s="355"/>
      <c r="AD108" s="327"/>
      <c r="AE108" s="417">
        <v>46161</v>
      </c>
      <c r="AF108" s="375"/>
      <c r="AG108" s="345"/>
      <c r="AH108" s="375"/>
      <c r="AI108" s="345"/>
      <c r="AJ108" s="375"/>
      <c r="AK108" s="375"/>
      <c r="AL108" s="375"/>
      <c r="AM108" s="375"/>
      <c r="AN108" s="345"/>
      <c r="AO108" s="345"/>
      <c r="AP108" s="345"/>
      <c r="AQ108" s="345"/>
      <c r="AR108" s="375">
        <v>46170</v>
      </c>
    </row>
    <row r="109" spans="1:44" ht="30" customHeight="1">
      <c r="A109" s="487">
        <v>46136</v>
      </c>
      <c r="B109" s="445" t="s">
        <v>3108</v>
      </c>
      <c r="C109" s="437" t="s">
        <v>3233</v>
      </c>
      <c r="D109" s="361" t="s">
        <v>3304</v>
      </c>
      <c r="E109" s="680" t="s">
        <v>2132</v>
      </c>
      <c r="F109" s="396" t="s">
        <v>70</v>
      </c>
      <c r="G109" s="392">
        <v>3672</v>
      </c>
      <c r="H109" s="527" t="s">
        <v>291</v>
      </c>
      <c r="I109" s="914" t="s">
        <v>74</v>
      </c>
      <c r="J109" s="914" t="s">
        <v>70</v>
      </c>
      <c r="K109" s="644" t="s">
        <v>75</v>
      </c>
      <c r="L109" s="601" t="s">
        <v>64</v>
      </c>
      <c r="M109" s="383">
        <v>46192</v>
      </c>
      <c r="N109" s="505"/>
      <c r="O109" s="358" t="s">
        <v>1710</v>
      </c>
      <c r="P109" s="495" t="s">
        <v>44</v>
      </c>
      <c r="Q109" s="390" t="s">
        <v>3398</v>
      </c>
      <c r="R109" s="390" t="s">
        <v>123</v>
      </c>
      <c r="S109" s="380">
        <f>ROUND(15.5*2.54,2)</f>
        <v>39.369999999999997</v>
      </c>
      <c r="T109" s="380">
        <f>ROUND(11.5*2.54,2)</f>
        <v>29.21</v>
      </c>
      <c r="U109" s="380">
        <f>ROUND(8*2.54,2)</f>
        <v>20.32</v>
      </c>
      <c r="V109" s="368">
        <v>6</v>
      </c>
      <c r="W109" s="386">
        <f>ROUND(G109/V109,2)</f>
        <v>612</v>
      </c>
      <c r="X109" s="385">
        <f>4.5*W109</f>
        <v>2754</v>
      </c>
      <c r="Y109" s="420">
        <f>ROUND((S109*T109*U109)*0.000001*W109,2)</f>
        <v>14.3</v>
      </c>
      <c r="Z109" s="641">
        <v>4.49</v>
      </c>
      <c r="AA109" s="913">
        <f>Z109*G109</f>
        <v>16487.280000000002</v>
      </c>
      <c r="AB109" s="355" t="s">
        <v>46</v>
      </c>
      <c r="AC109" s="355"/>
      <c r="AD109" s="327"/>
      <c r="AE109" s="390" t="s">
        <v>3398</v>
      </c>
      <c r="AF109" s="375"/>
      <c r="AG109" s="345"/>
      <c r="AH109" s="375"/>
      <c r="AI109" s="345"/>
      <c r="AJ109" s="375"/>
      <c r="AK109" s="375"/>
      <c r="AL109" s="375"/>
      <c r="AM109" s="375"/>
      <c r="AN109" s="345"/>
      <c r="AO109" s="345"/>
      <c r="AP109" s="345"/>
      <c r="AQ109" s="345"/>
      <c r="AR109" s="375">
        <v>46170</v>
      </c>
    </row>
    <row r="110" spans="1:44" ht="27" customHeight="1">
      <c r="A110" s="330"/>
      <c r="B110" s="331"/>
      <c r="C110" s="332"/>
      <c r="D110" s="333"/>
      <c r="E110" s="334"/>
      <c r="F110" s="334"/>
      <c r="G110" s="335">
        <f>SUM(G108:G109)</f>
        <v>4536</v>
      </c>
      <c r="H110" s="334"/>
      <c r="I110" s="334"/>
      <c r="J110" s="334"/>
      <c r="K110" s="334"/>
      <c r="L110" s="336"/>
      <c r="M110" s="332"/>
      <c r="N110" s="332"/>
      <c r="O110" s="337"/>
      <c r="P110" s="338"/>
      <c r="Q110" s="337"/>
      <c r="R110" s="339"/>
      <c r="S110" s="340"/>
      <c r="T110" s="340"/>
      <c r="U110" s="340"/>
      <c r="V110" s="340"/>
      <c r="W110" s="341"/>
      <c r="X110" s="342"/>
      <c r="Y110" s="343">
        <f>SUM(Y108:Y109)</f>
        <v>17.66</v>
      </c>
      <c r="Z110" s="342"/>
      <c r="AA110" s="344"/>
      <c r="AB110" s="332"/>
      <c r="AC110" s="332"/>
      <c r="AD110" s="339"/>
      <c r="AE110" s="337"/>
      <c r="AF110" s="338"/>
      <c r="AG110" s="337"/>
      <c r="AH110" s="338"/>
      <c r="AI110" s="337"/>
      <c r="AJ110" s="338"/>
      <c r="AK110" s="338"/>
      <c r="AL110" s="338"/>
      <c r="AM110" s="338"/>
      <c r="AN110" s="338"/>
      <c r="AO110" s="338"/>
      <c r="AP110" s="338"/>
      <c r="AQ110" s="338"/>
      <c r="AR110" s="338"/>
    </row>
    <row r="111" spans="1:44" ht="27.75" customHeight="1">
      <c r="A111" s="351" t="s">
        <v>3471</v>
      </c>
      <c r="B111" s="331"/>
      <c r="C111" s="332"/>
      <c r="D111" s="333"/>
      <c r="E111" s="334"/>
      <c r="F111" s="334"/>
      <c r="G111" s="524"/>
      <c r="H111" s="341"/>
      <c r="I111" s="334"/>
      <c r="J111" s="334"/>
      <c r="K111" s="334"/>
      <c r="L111" s="336"/>
      <c r="M111" s="332"/>
      <c r="N111" s="332"/>
      <c r="O111" s="337"/>
      <c r="P111" s="338"/>
      <c r="Q111" s="337"/>
      <c r="R111" s="339"/>
      <c r="S111" s="340"/>
      <c r="T111" s="340"/>
      <c r="U111" s="340"/>
      <c r="V111" s="340"/>
      <c r="W111" s="341"/>
      <c r="X111" s="342"/>
      <c r="Y111" s="350"/>
      <c r="Z111" s="342"/>
      <c r="AA111" s="344"/>
      <c r="AB111" s="332"/>
      <c r="AC111" s="332"/>
      <c r="AD111" s="339"/>
      <c r="AE111" s="337"/>
      <c r="AF111" s="338"/>
      <c r="AG111" s="337"/>
      <c r="AH111" s="338"/>
      <c r="AI111" s="337"/>
      <c r="AJ111" s="338"/>
      <c r="AK111" s="338"/>
      <c r="AL111" s="338"/>
      <c r="AM111" s="338"/>
      <c r="AN111" s="338"/>
      <c r="AO111" s="338"/>
      <c r="AP111" s="338"/>
      <c r="AQ111" s="338"/>
      <c r="AR111" s="338"/>
    </row>
    <row r="112" spans="1:44" ht="30" customHeight="1">
      <c r="A112" s="487">
        <v>46100</v>
      </c>
      <c r="B112" s="445" t="s">
        <v>2585</v>
      </c>
      <c r="C112" s="437" t="s">
        <v>2535</v>
      </c>
      <c r="D112" s="361" t="s">
        <v>3305</v>
      </c>
      <c r="E112" s="525" t="s">
        <v>2526</v>
      </c>
      <c r="F112" s="396" t="s">
        <v>52</v>
      </c>
      <c r="G112" s="396">
        <v>100</v>
      </c>
      <c r="H112" s="393" t="s">
        <v>1270</v>
      </c>
      <c r="I112" s="404" t="s">
        <v>2233</v>
      </c>
      <c r="J112" s="484" t="s">
        <v>59</v>
      </c>
      <c r="K112" s="404" t="s">
        <v>63</v>
      </c>
      <c r="L112" s="392" t="s">
        <v>64</v>
      </c>
      <c r="M112" s="383">
        <v>46195</v>
      </c>
      <c r="N112" s="665" t="s">
        <v>54</v>
      </c>
      <c r="O112" s="369" t="s">
        <v>1386</v>
      </c>
      <c r="P112" s="395">
        <v>45320</v>
      </c>
      <c r="Q112" s="348"/>
      <c r="R112" s="390" t="s">
        <v>59</v>
      </c>
      <c r="S112" s="683">
        <v>134</v>
      </c>
      <c r="T112" s="683">
        <v>102</v>
      </c>
      <c r="U112" s="683">
        <v>20</v>
      </c>
      <c r="V112" s="389">
        <v>1</v>
      </c>
      <c r="W112" s="347">
        <f t="shared" ref="W112:W124" si="23">ROUND(G112/V112,2)</f>
        <v>100</v>
      </c>
      <c r="X112" s="682">
        <f>50*W112</f>
        <v>5000</v>
      </c>
      <c r="Y112" s="414">
        <f t="shared" ref="Y112:Y124" si="24">ROUND((S112*T112*U112)*0.000001*W112,2)</f>
        <v>27.34</v>
      </c>
      <c r="Z112" s="761">
        <v>305.75</v>
      </c>
      <c r="AA112" s="360">
        <f t="shared" ref="AA112:AA124" si="25">Z112*G112</f>
        <v>30575</v>
      </c>
      <c r="AB112" s="355" t="s">
        <v>46</v>
      </c>
      <c r="AC112" s="355"/>
      <c r="AD112" s="327"/>
      <c r="AE112" s="375"/>
      <c r="AF112" s="375"/>
      <c r="AG112" s="345"/>
      <c r="AH112" s="345"/>
      <c r="AI112" s="345"/>
      <c r="AJ112" s="720" t="s">
        <v>3391</v>
      </c>
      <c r="AK112" s="375"/>
      <c r="AL112" s="375"/>
      <c r="AM112" s="375"/>
      <c r="AN112" s="375"/>
      <c r="AO112" s="345"/>
      <c r="AP112" s="375"/>
      <c r="AQ112" s="375" t="s">
        <v>3380</v>
      </c>
      <c r="AR112" s="375" t="s">
        <v>2881</v>
      </c>
    </row>
    <row r="113" spans="1:44" ht="29.25" customHeight="1">
      <c r="A113" s="487">
        <v>46050</v>
      </c>
      <c r="B113" s="445" t="s">
        <v>2404</v>
      </c>
      <c r="C113" s="437" t="s">
        <v>2407</v>
      </c>
      <c r="D113" s="361" t="s">
        <v>2506</v>
      </c>
      <c r="E113" s="556"/>
      <c r="F113" s="751" t="s">
        <v>52</v>
      </c>
      <c r="G113" s="363">
        <v>64</v>
      </c>
      <c r="H113" s="686" t="s">
        <v>2403</v>
      </c>
      <c r="I113" s="418" t="s">
        <v>1434</v>
      </c>
      <c r="J113" s="600" t="s">
        <v>49</v>
      </c>
      <c r="K113" s="618" t="s">
        <v>1961</v>
      </c>
      <c r="L113" s="427" t="s">
        <v>2310</v>
      </c>
      <c r="M113" s="383">
        <v>46195</v>
      </c>
      <c r="N113" s="328"/>
      <c r="O113" s="417" t="s">
        <v>2162</v>
      </c>
      <c r="P113" s="416" t="s">
        <v>48</v>
      </c>
      <c r="Q113" s="1053">
        <v>46160</v>
      </c>
      <c r="R113" s="390" t="s">
        <v>59</v>
      </c>
      <c r="S113" s="401">
        <v>155</v>
      </c>
      <c r="T113" s="401">
        <v>80</v>
      </c>
      <c r="U113" s="401">
        <v>25</v>
      </c>
      <c r="V113" s="401">
        <v>1</v>
      </c>
      <c r="W113" s="386">
        <f>ROUND(G113/V113,2)</f>
        <v>64</v>
      </c>
      <c r="X113" s="385">
        <f>20*W113</f>
        <v>1280</v>
      </c>
      <c r="Y113" s="414">
        <f>ROUND((S113*T113*U113)*0.000001*W113,2)</f>
        <v>19.84</v>
      </c>
      <c r="Z113" s="363">
        <v>271.5</v>
      </c>
      <c r="AA113" s="360">
        <f>Z113*G113</f>
        <v>17376</v>
      </c>
      <c r="AB113" s="346" t="s">
        <v>46</v>
      </c>
      <c r="AC113" s="362"/>
      <c r="AD113" s="327"/>
      <c r="AE113" s="446">
        <v>46160</v>
      </c>
      <c r="AF113" s="446">
        <v>46160</v>
      </c>
      <c r="AG113" s="345"/>
      <c r="AH113" s="345"/>
      <c r="AI113" s="345"/>
      <c r="AJ113" s="720" t="s">
        <v>3047</v>
      </c>
      <c r="AK113" s="375"/>
      <c r="AL113" s="375"/>
      <c r="AM113" s="375"/>
      <c r="AN113" s="375"/>
      <c r="AO113" s="345"/>
      <c r="AP113" s="345"/>
      <c r="AQ113" s="345"/>
      <c r="AR113" s="663" t="s">
        <v>1301</v>
      </c>
    </row>
    <row r="114" spans="1:44" ht="23.25" customHeight="1">
      <c r="A114" s="487">
        <v>46107</v>
      </c>
      <c r="B114" s="445" t="s">
        <v>2826</v>
      </c>
      <c r="C114" s="437" t="s">
        <v>2828</v>
      </c>
      <c r="D114" s="361" t="s">
        <v>3034</v>
      </c>
      <c r="E114" s="736"/>
      <c r="F114" s="396" t="s">
        <v>52</v>
      </c>
      <c r="G114" s="401">
        <v>500</v>
      </c>
      <c r="H114" s="865" t="s">
        <v>2824</v>
      </c>
      <c r="I114" s="363" t="s">
        <v>628</v>
      </c>
      <c r="J114" s="759" t="s">
        <v>2823</v>
      </c>
      <c r="K114" s="485" t="s">
        <v>56</v>
      </c>
      <c r="L114" s="446" t="s">
        <v>2310</v>
      </c>
      <c r="M114" s="383">
        <v>46195</v>
      </c>
      <c r="N114" s="733"/>
      <c r="O114" s="382" t="s">
        <v>55</v>
      </c>
      <c r="P114" s="374" t="s">
        <v>44</v>
      </c>
      <c r="Q114" s="425">
        <v>46118</v>
      </c>
      <c r="R114" s="381" t="s">
        <v>57</v>
      </c>
      <c r="S114" s="549">
        <v>55</v>
      </c>
      <c r="T114" s="549">
        <v>46</v>
      </c>
      <c r="U114" s="549">
        <v>35</v>
      </c>
      <c r="V114" s="549">
        <v>20</v>
      </c>
      <c r="W114" s="420">
        <f>ROUND(G114/V114,2)</f>
        <v>25</v>
      </c>
      <c r="X114" s="347">
        <f>W114*13.5</f>
        <v>337.5</v>
      </c>
      <c r="Y114" s="359">
        <f>ROUND((S114*T114*U114)*0.000001*W114,2)</f>
        <v>2.21</v>
      </c>
      <c r="Z114" s="761">
        <v>9.99</v>
      </c>
      <c r="AA114" s="360">
        <f>Z114*G114</f>
        <v>4995</v>
      </c>
      <c r="AB114" s="373" t="s">
        <v>46</v>
      </c>
      <c r="AD114" s="327"/>
      <c r="AE114" s="425">
        <v>46118</v>
      </c>
      <c r="AF114" s="425">
        <v>46118</v>
      </c>
      <c r="AG114" s="345"/>
      <c r="AH114" s="375"/>
      <c r="AI114" s="345"/>
      <c r="AJ114" s="375"/>
      <c r="AK114" s="375"/>
      <c r="AL114" s="375"/>
      <c r="AM114" s="375"/>
      <c r="AN114" s="345"/>
      <c r="AO114" s="345"/>
      <c r="AP114" s="345"/>
      <c r="AQ114" s="345"/>
      <c r="AR114" s="375">
        <v>46161</v>
      </c>
    </row>
    <row r="115" spans="1:44" ht="23.25" customHeight="1">
      <c r="A115" s="487">
        <v>46107</v>
      </c>
      <c r="B115" s="445" t="s">
        <v>2826</v>
      </c>
      <c r="C115" s="437" t="s">
        <v>2827</v>
      </c>
      <c r="D115" s="361" t="s">
        <v>3035</v>
      </c>
      <c r="E115" s="736"/>
      <c r="F115" s="396" t="s">
        <v>52</v>
      </c>
      <c r="G115" s="401">
        <v>500</v>
      </c>
      <c r="H115" s="865" t="s">
        <v>2824</v>
      </c>
      <c r="I115" s="363" t="s">
        <v>628</v>
      </c>
      <c r="J115" s="759" t="s">
        <v>2823</v>
      </c>
      <c r="K115" s="485" t="s">
        <v>56</v>
      </c>
      <c r="L115" s="446" t="s">
        <v>2310</v>
      </c>
      <c r="M115" s="383">
        <v>46195</v>
      </c>
      <c r="N115" s="733"/>
      <c r="O115" s="382" t="s">
        <v>55</v>
      </c>
      <c r="P115" s="374" t="s">
        <v>44</v>
      </c>
      <c r="Q115" s="425">
        <v>46118</v>
      </c>
      <c r="R115" s="381" t="s">
        <v>57</v>
      </c>
      <c r="S115" s="549">
        <v>55</v>
      </c>
      <c r="T115" s="549">
        <v>46</v>
      </c>
      <c r="U115" s="549">
        <v>35</v>
      </c>
      <c r="V115" s="549">
        <v>20</v>
      </c>
      <c r="W115" s="420">
        <f>ROUND(G115/V115,2)</f>
        <v>25</v>
      </c>
      <c r="X115" s="347">
        <f>W115*13.5</f>
        <v>337.5</v>
      </c>
      <c r="Y115" s="359">
        <f>ROUND((S115*T115*U115)*0.000001*W115,2)</f>
        <v>2.21</v>
      </c>
      <c r="Z115" s="761">
        <v>9.99</v>
      </c>
      <c r="AA115" s="360">
        <f>Z115*G115</f>
        <v>4995</v>
      </c>
      <c r="AB115" s="373" t="s">
        <v>46</v>
      </c>
      <c r="AD115" s="327"/>
      <c r="AE115" s="425">
        <v>46118</v>
      </c>
      <c r="AF115" s="425">
        <v>46118</v>
      </c>
      <c r="AG115" s="345"/>
      <c r="AH115" s="375"/>
      <c r="AI115" s="345"/>
      <c r="AJ115" s="375"/>
      <c r="AK115" s="375"/>
      <c r="AL115" s="375"/>
      <c r="AM115" s="375"/>
      <c r="AN115" s="345"/>
      <c r="AO115" s="345"/>
      <c r="AP115" s="345"/>
      <c r="AQ115" s="345"/>
      <c r="AR115" s="375">
        <v>46161</v>
      </c>
    </row>
    <row r="116" spans="1:44" ht="23.25" customHeight="1">
      <c r="A116" s="487">
        <v>46107</v>
      </c>
      <c r="B116" s="445" t="s">
        <v>2826</v>
      </c>
      <c r="C116" s="437" t="s">
        <v>2825</v>
      </c>
      <c r="D116" s="361" t="s">
        <v>3036</v>
      </c>
      <c r="E116" s="736"/>
      <c r="F116" s="396" t="s">
        <v>52</v>
      </c>
      <c r="G116" s="401">
        <v>500</v>
      </c>
      <c r="H116" s="865" t="s">
        <v>2824</v>
      </c>
      <c r="I116" s="363" t="s">
        <v>628</v>
      </c>
      <c r="J116" s="759" t="s">
        <v>2823</v>
      </c>
      <c r="K116" s="485" t="s">
        <v>56</v>
      </c>
      <c r="L116" s="446" t="s">
        <v>2310</v>
      </c>
      <c r="M116" s="383">
        <v>46195</v>
      </c>
      <c r="N116" s="733"/>
      <c r="O116" s="382" t="s">
        <v>55</v>
      </c>
      <c r="P116" s="374" t="s">
        <v>44</v>
      </c>
      <c r="Q116" s="425">
        <v>46118</v>
      </c>
      <c r="R116" s="381" t="s">
        <v>57</v>
      </c>
      <c r="S116" s="549">
        <v>55</v>
      </c>
      <c r="T116" s="549">
        <v>46</v>
      </c>
      <c r="U116" s="549">
        <v>35</v>
      </c>
      <c r="V116" s="549">
        <v>20</v>
      </c>
      <c r="W116" s="420">
        <f>ROUND(G116/V116,2)</f>
        <v>25</v>
      </c>
      <c r="X116" s="347">
        <f>W116*13.5</f>
        <v>337.5</v>
      </c>
      <c r="Y116" s="359">
        <f>ROUND((S116*T116*U116)*0.000001*W116,2)</f>
        <v>2.21</v>
      </c>
      <c r="Z116" s="761">
        <v>9.99</v>
      </c>
      <c r="AA116" s="360">
        <f>Z116*G116</f>
        <v>4995</v>
      </c>
      <c r="AB116" s="373" t="s">
        <v>46</v>
      </c>
      <c r="AD116" s="327"/>
      <c r="AE116" s="425">
        <v>46118</v>
      </c>
      <c r="AF116" s="425">
        <v>46118</v>
      </c>
      <c r="AG116" s="345"/>
      <c r="AH116" s="375"/>
      <c r="AI116" s="345"/>
      <c r="AJ116" s="375"/>
      <c r="AK116" s="375"/>
      <c r="AL116" s="375"/>
      <c r="AM116" s="375"/>
      <c r="AN116" s="345"/>
      <c r="AO116" s="345"/>
      <c r="AP116" s="345"/>
      <c r="AQ116" s="345"/>
      <c r="AR116" s="375">
        <v>46161</v>
      </c>
    </row>
    <row r="117" spans="1:44" ht="25.5" customHeight="1">
      <c r="A117" s="487">
        <v>46107</v>
      </c>
      <c r="B117" s="445" t="s">
        <v>2868</v>
      </c>
      <c r="C117" s="437" t="s">
        <v>2867</v>
      </c>
      <c r="D117" s="361" t="s">
        <v>3045</v>
      </c>
      <c r="E117" s="736"/>
      <c r="F117" s="396" t="s">
        <v>52</v>
      </c>
      <c r="G117" s="401">
        <v>600</v>
      </c>
      <c r="H117" s="497" t="s">
        <v>2866</v>
      </c>
      <c r="I117" s="393" t="s">
        <v>429</v>
      </c>
      <c r="J117" s="393" t="s">
        <v>2383</v>
      </c>
      <c r="K117" s="392" t="s">
        <v>63</v>
      </c>
      <c r="L117" s="427" t="s">
        <v>2503</v>
      </c>
      <c r="M117" s="383">
        <v>46195</v>
      </c>
      <c r="N117" s="733"/>
      <c r="O117" s="745" t="s">
        <v>85</v>
      </c>
      <c r="P117" s="374" t="s">
        <v>44</v>
      </c>
      <c r="Q117" s="425">
        <v>46119</v>
      </c>
      <c r="R117" s="381" t="s">
        <v>1729</v>
      </c>
      <c r="S117" s="368">
        <v>56</v>
      </c>
      <c r="T117" s="368">
        <v>25</v>
      </c>
      <c r="U117" s="368">
        <v>40</v>
      </c>
      <c r="V117" s="379" t="s">
        <v>2382</v>
      </c>
      <c r="W117" s="385">
        <f>ROUND(G117/V117,2)</f>
        <v>30</v>
      </c>
      <c r="X117" s="365">
        <f>12*W117</f>
        <v>360</v>
      </c>
      <c r="Y117" s="371">
        <f>ROUND((S117*T117*U117)*0.000001*W117,2)</f>
        <v>1.68</v>
      </c>
      <c r="Z117" s="376">
        <v>6.91</v>
      </c>
      <c r="AA117" s="360">
        <f>Z117*G117</f>
        <v>4146</v>
      </c>
      <c r="AB117" s="373" t="s">
        <v>46</v>
      </c>
      <c r="AC117" s="355" t="s">
        <v>46</v>
      </c>
      <c r="AD117" s="327"/>
      <c r="AE117" s="425">
        <v>46119</v>
      </c>
      <c r="AF117" s="446">
        <v>46120</v>
      </c>
      <c r="AG117" s="345"/>
      <c r="AH117" s="446">
        <v>46128</v>
      </c>
      <c r="AI117" s="345"/>
      <c r="AJ117" s="375"/>
      <c r="AK117" s="375"/>
      <c r="AL117" s="375"/>
      <c r="AM117" s="375"/>
      <c r="AN117" s="345"/>
      <c r="AO117" s="345"/>
      <c r="AP117" s="345"/>
      <c r="AQ117" s="345"/>
      <c r="AR117" s="375">
        <v>46167</v>
      </c>
    </row>
    <row r="118" spans="1:44" ht="27" customHeight="1">
      <c r="A118" s="330"/>
      <c r="B118" s="331"/>
      <c r="C118" s="332"/>
      <c r="D118" s="333"/>
      <c r="E118" s="334"/>
      <c r="F118" s="334"/>
      <c r="G118" s="335">
        <f>SUM(G112:G117)</f>
        <v>2264</v>
      </c>
      <c r="H118" s="334"/>
      <c r="I118" s="334"/>
      <c r="J118" s="334"/>
      <c r="K118" s="334"/>
      <c r="L118" s="336"/>
      <c r="M118" s="332"/>
      <c r="N118" s="332"/>
      <c r="O118" s="337"/>
      <c r="P118" s="338"/>
      <c r="Q118" s="337"/>
      <c r="R118" s="339"/>
      <c r="S118" s="340"/>
      <c r="T118" s="340"/>
      <c r="U118" s="340"/>
      <c r="V118" s="340"/>
      <c r="W118" s="341"/>
      <c r="X118" s="342"/>
      <c r="Y118" s="343">
        <f>SUM(Y112:Y117)</f>
        <v>55.49</v>
      </c>
      <c r="Z118" s="342"/>
      <c r="AA118" s="344"/>
      <c r="AB118" s="332"/>
      <c r="AC118" s="332"/>
      <c r="AD118" s="339"/>
      <c r="AE118" s="337"/>
      <c r="AF118" s="338"/>
      <c r="AG118" s="337"/>
      <c r="AH118" s="338"/>
      <c r="AI118" s="337"/>
      <c r="AJ118" s="338"/>
      <c r="AK118" s="338"/>
      <c r="AL118" s="338"/>
      <c r="AM118" s="338"/>
      <c r="AN118" s="338"/>
      <c r="AO118" s="338"/>
      <c r="AP118" s="338"/>
      <c r="AQ118" s="338"/>
      <c r="AR118" s="338"/>
    </row>
    <row r="119" spans="1:44" ht="27.75" customHeight="1">
      <c r="A119" s="351" t="s">
        <v>3472</v>
      </c>
      <c r="B119" s="331"/>
      <c r="C119" s="332"/>
      <c r="D119" s="333"/>
      <c r="E119" s="334"/>
      <c r="F119" s="334"/>
      <c r="G119" s="524"/>
      <c r="H119" s="341"/>
      <c r="I119" s="334"/>
      <c r="J119" s="334"/>
      <c r="K119" s="334"/>
      <c r="L119" s="336"/>
      <c r="M119" s="332"/>
      <c r="N119" s="332"/>
      <c r="O119" s="337"/>
      <c r="P119" s="338"/>
      <c r="Q119" s="337"/>
      <c r="R119" s="339"/>
      <c r="S119" s="340"/>
      <c r="T119" s="340"/>
      <c r="U119" s="340"/>
      <c r="V119" s="340"/>
      <c r="W119" s="341"/>
      <c r="X119" s="342"/>
      <c r="Y119" s="350"/>
      <c r="Z119" s="342"/>
      <c r="AA119" s="344"/>
      <c r="AB119" s="332"/>
      <c r="AC119" s="332"/>
      <c r="AD119" s="339"/>
      <c r="AE119" s="337"/>
      <c r="AF119" s="338"/>
      <c r="AG119" s="337"/>
      <c r="AH119" s="338"/>
      <c r="AI119" s="337"/>
      <c r="AJ119" s="338"/>
      <c r="AK119" s="338"/>
      <c r="AL119" s="338"/>
      <c r="AM119" s="338"/>
      <c r="AN119" s="338"/>
      <c r="AO119" s="338"/>
      <c r="AP119" s="338"/>
      <c r="AQ119" s="338"/>
      <c r="AR119" s="338"/>
    </row>
    <row r="120" spans="1:44" ht="30" customHeight="1">
      <c r="A120" s="487">
        <v>46083</v>
      </c>
      <c r="B120" s="445" t="s">
        <v>2480</v>
      </c>
      <c r="C120" s="437" t="s">
        <v>2479</v>
      </c>
      <c r="D120" s="361" t="s">
        <v>2518</v>
      </c>
      <c r="E120" s="736"/>
      <c r="F120" s="396" t="s">
        <v>52</v>
      </c>
      <c r="G120" s="486">
        <v>100</v>
      </c>
      <c r="H120" s="498" t="s">
        <v>1393</v>
      </c>
      <c r="I120" s="387" t="s">
        <v>2478</v>
      </c>
      <c r="J120" s="484" t="s">
        <v>59</v>
      </c>
      <c r="K120" s="484" t="s">
        <v>56</v>
      </c>
      <c r="L120" s="427" t="s">
        <v>634</v>
      </c>
      <c r="M120" s="383">
        <v>46198</v>
      </c>
      <c r="N120" s="693" t="s">
        <v>54</v>
      </c>
      <c r="O120" s="425" t="s">
        <v>65</v>
      </c>
      <c r="P120" s="425">
        <v>45443</v>
      </c>
      <c r="Q120" s="425">
        <v>46106</v>
      </c>
      <c r="R120" s="390" t="s">
        <v>59</v>
      </c>
      <c r="S120" s="380">
        <v>85</v>
      </c>
      <c r="T120" s="380">
        <v>35</v>
      </c>
      <c r="U120" s="380">
        <v>50</v>
      </c>
      <c r="V120" s="380">
        <v>1</v>
      </c>
      <c r="W120" s="386">
        <f>ROUND(G120/V120,2)</f>
        <v>100</v>
      </c>
      <c r="X120" s="347">
        <f>10*W120</f>
        <v>1000</v>
      </c>
      <c r="Y120" s="347">
        <f>ROUND((S120*T120*U120)*0.000001*W120,2)</f>
        <v>14.88</v>
      </c>
      <c r="Z120" s="761">
        <v>98.61</v>
      </c>
      <c r="AA120" s="410">
        <f>Z120*G120</f>
        <v>9861</v>
      </c>
      <c r="AB120" s="371" t="s">
        <v>46</v>
      </c>
      <c r="AC120" s="362"/>
      <c r="AD120" s="327"/>
      <c r="AE120" s="425">
        <v>46106</v>
      </c>
      <c r="AF120" s="425">
        <v>46106</v>
      </c>
      <c r="AG120" s="345"/>
      <c r="AH120" s="345"/>
      <c r="AI120" s="345"/>
      <c r="AJ120" s="720" t="s">
        <v>3388</v>
      </c>
      <c r="AK120" s="375"/>
      <c r="AL120" s="375"/>
      <c r="AM120" s="375"/>
      <c r="AN120" s="375"/>
      <c r="AO120" s="345"/>
      <c r="AP120" s="375"/>
      <c r="AQ120" s="446" t="s">
        <v>2075</v>
      </c>
      <c r="AR120" s="375">
        <v>46161</v>
      </c>
    </row>
    <row r="121" spans="1:44" ht="23.25" customHeight="1">
      <c r="A121" s="487">
        <v>46107</v>
      </c>
      <c r="B121" s="445" t="s">
        <v>2860</v>
      </c>
      <c r="C121" s="437" t="s">
        <v>2859</v>
      </c>
      <c r="D121" s="361" t="s">
        <v>3031</v>
      </c>
      <c r="E121" s="736"/>
      <c r="F121" s="396" t="s">
        <v>52</v>
      </c>
      <c r="G121" s="401">
        <v>100</v>
      </c>
      <c r="H121" s="527" t="s">
        <v>2858</v>
      </c>
      <c r="I121" s="363" t="s">
        <v>2122</v>
      </c>
      <c r="J121" s="392" t="s">
        <v>2857</v>
      </c>
      <c r="K121" s="485" t="s">
        <v>56</v>
      </c>
      <c r="L121" s="427" t="s">
        <v>68</v>
      </c>
      <c r="M121" s="383">
        <v>46198</v>
      </c>
      <c r="N121" s="328"/>
      <c r="O121" s="382" t="s">
        <v>55</v>
      </c>
      <c r="P121" s="356" t="s">
        <v>48</v>
      </c>
      <c r="Q121" s="425">
        <v>46122</v>
      </c>
      <c r="R121" s="366" t="s">
        <v>636</v>
      </c>
      <c r="S121" s="368">
        <v>71</v>
      </c>
      <c r="T121" s="368">
        <v>43</v>
      </c>
      <c r="U121" s="368">
        <v>86</v>
      </c>
      <c r="V121" s="355">
        <v>2</v>
      </c>
      <c r="W121" s="355">
        <f t="shared" si="23"/>
        <v>50</v>
      </c>
      <c r="X121" s="355">
        <f>22*W121</f>
        <v>1100</v>
      </c>
      <c r="Y121" s="355">
        <f t="shared" si="24"/>
        <v>13.13</v>
      </c>
      <c r="Z121" s="396">
        <v>107.08</v>
      </c>
      <c r="AA121" s="360">
        <f t="shared" si="25"/>
        <v>10708</v>
      </c>
      <c r="AB121" s="373" t="s">
        <v>46</v>
      </c>
      <c r="AC121" s="355" t="s">
        <v>46</v>
      </c>
      <c r="AD121" s="327"/>
      <c r="AE121" s="425">
        <v>46122</v>
      </c>
      <c r="AF121" s="425">
        <v>46122</v>
      </c>
      <c r="AG121" s="345"/>
      <c r="AH121" s="446">
        <v>46128</v>
      </c>
      <c r="AI121" s="345"/>
      <c r="AJ121" s="375"/>
      <c r="AK121" s="375"/>
      <c r="AL121" s="375"/>
      <c r="AM121" s="375"/>
      <c r="AN121" s="345"/>
      <c r="AO121" s="345"/>
      <c r="AP121" s="345"/>
      <c r="AQ121" s="345"/>
      <c r="AR121" s="663" t="s">
        <v>2350</v>
      </c>
    </row>
    <row r="122" spans="1:44" ht="30" customHeight="1">
      <c r="A122" s="487">
        <v>46083</v>
      </c>
      <c r="B122" s="445" t="s">
        <v>2466</v>
      </c>
      <c r="C122" s="437" t="s">
        <v>2465</v>
      </c>
      <c r="D122" s="361"/>
      <c r="E122" s="399"/>
      <c r="F122" s="396" t="s">
        <v>52</v>
      </c>
      <c r="G122" s="486">
        <v>500</v>
      </c>
      <c r="H122" s="645" t="s">
        <v>1363</v>
      </c>
      <c r="I122" s="363" t="s">
        <v>2464</v>
      </c>
      <c r="J122" s="484" t="s">
        <v>59</v>
      </c>
      <c r="K122" s="392" t="s">
        <v>56</v>
      </c>
      <c r="L122" s="363" t="s">
        <v>2495</v>
      </c>
      <c r="M122" s="383">
        <v>46198</v>
      </c>
      <c r="N122" s="328"/>
      <c r="O122" s="382" t="s">
        <v>629</v>
      </c>
      <c r="P122" s="369">
        <v>46147</v>
      </c>
      <c r="Q122" s="348"/>
      <c r="R122" s="327" t="s">
        <v>49</v>
      </c>
      <c r="S122" s="779">
        <v>69</v>
      </c>
      <c r="T122" s="779">
        <v>50</v>
      </c>
      <c r="U122" s="779">
        <v>37</v>
      </c>
      <c r="V122" s="532">
        <v>4</v>
      </c>
      <c r="W122" s="378">
        <f t="shared" si="23"/>
        <v>125</v>
      </c>
      <c r="X122" s="377">
        <f>11*W122</f>
        <v>1375</v>
      </c>
      <c r="Y122" s="359">
        <f t="shared" si="24"/>
        <v>15.96</v>
      </c>
      <c r="Z122" s="400">
        <v>28.72</v>
      </c>
      <c r="AA122" s="360">
        <f t="shared" si="25"/>
        <v>14360</v>
      </c>
      <c r="AB122" s="355" t="s">
        <v>46</v>
      </c>
      <c r="AC122" s="362"/>
      <c r="AD122" s="327"/>
      <c r="AE122" s="375"/>
      <c r="AF122" s="375"/>
      <c r="AG122" s="345"/>
      <c r="AH122" s="345"/>
      <c r="AI122" s="345"/>
      <c r="AJ122" s="375"/>
      <c r="AK122" s="375"/>
      <c r="AL122" s="375"/>
      <c r="AM122" s="375"/>
      <c r="AN122" s="375"/>
      <c r="AO122" s="345"/>
      <c r="AP122" s="345"/>
      <c r="AQ122" s="345"/>
      <c r="AR122" s="446" t="s">
        <v>1301</v>
      </c>
    </row>
    <row r="123" spans="1:44" ht="23.25" customHeight="1">
      <c r="A123" s="487">
        <v>46107</v>
      </c>
      <c r="B123" s="445" t="s">
        <v>2826</v>
      </c>
      <c r="C123" s="437" t="s">
        <v>2829</v>
      </c>
      <c r="D123" s="361" t="s">
        <v>3033</v>
      </c>
      <c r="E123" s="736"/>
      <c r="F123" s="396" t="s">
        <v>52</v>
      </c>
      <c r="G123" s="401">
        <v>500</v>
      </c>
      <c r="H123" s="883" t="s">
        <v>2824</v>
      </c>
      <c r="I123" s="363" t="s">
        <v>628</v>
      </c>
      <c r="J123" s="759" t="s">
        <v>2823</v>
      </c>
      <c r="K123" s="485" t="s">
        <v>56</v>
      </c>
      <c r="L123" s="427" t="s">
        <v>2877</v>
      </c>
      <c r="M123" s="383">
        <v>46198</v>
      </c>
      <c r="N123" s="733"/>
      <c r="O123" s="382" t="s">
        <v>55</v>
      </c>
      <c r="P123" s="374" t="s">
        <v>44</v>
      </c>
      <c r="Q123" s="446">
        <v>46120</v>
      </c>
      <c r="R123" s="381" t="s">
        <v>57</v>
      </c>
      <c r="S123" s="549">
        <v>55</v>
      </c>
      <c r="T123" s="549">
        <v>46</v>
      </c>
      <c r="U123" s="549">
        <v>35</v>
      </c>
      <c r="V123" s="549">
        <v>20</v>
      </c>
      <c r="W123" s="420">
        <f t="shared" si="23"/>
        <v>25</v>
      </c>
      <c r="X123" s="347">
        <f>W123*13.5</f>
        <v>337.5</v>
      </c>
      <c r="Y123" s="359">
        <f t="shared" si="24"/>
        <v>2.21</v>
      </c>
      <c r="Z123" s="761">
        <v>9.99</v>
      </c>
      <c r="AA123" s="360">
        <f t="shared" si="25"/>
        <v>4995</v>
      </c>
      <c r="AB123" s="373" t="s">
        <v>46</v>
      </c>
      <c r="AD123" s="327"/>
      <c r="AE123" s="446">
        <v>46120</v>
      </c>
      <c r="AF123" s="446">
        <v>46120</v>
      </c>
      <c r="AG123" s="345"/>
      <c r="AH123" s="375"/>
      <c r="AI123" s="345"/>
      <c r="AJ123" s="375"/>
      <c r="AK123" s="375"/>
      <c r="AL123" s="375"/>
      <c r="AM123" s="375"/>
      <c r="AN123" s="345"/>
      <c r="AO123" s="345"/>
      <c r="AP123" s="345"/>
      <c r="AQ123" s="345"/>
      <c r="AR123" s="375" t="s">
        <v>2881</v>
      </c>
    </row>
    <row r="124" spans="1:44" ht="27" customHeight="1">
      <c r="A124" s="487">
        <v>46100</v>
      </c>
      <c r="B124" s="445" t="s">
        <v>2574</v>
      </c>
      <c r="C124" s="437" t="s">
        <v>2573</v>
      </c>
      <c r="D124" s="361" t="s">
        <v>2891</v>
      </c>
      <c r="E124" s="736"/>
      <c r="F124" s="396" t="s">
        <v>52</v>
      </c>
      <c r="G124" s="392">
        <v>500</v>
      </c>
      <c r="H124" s="484" t="s">
        <v>2312</v>
      </c>
      <c r="I124" s="363" t="s">
        <v>95</v>
      </c>
      <c r="J124" s="484" t="s">
        <v>59</v>
      </c>
      <c r="K124" s="485" t="s">
        <v>56</v>
      </c>
      <c r="L124" s="363" t="s">
        <v>2504</v>
      </c>
      <c r="M124" s="383">
        <v>46198</v>
      </c>
      <c r="N124" s="328"/>
      <c r="O124" s="356" t="s">
        <v>2311</v>
      </c>
      <c r="P124" s="374">
        <v>42223</v>
      </c>
      <c r="Q124" s="446">
        <v>46042</v>
      </c>
      <c r="R124" s="390" t="s">
        <v>59</v>
      </c>
      <c r="S124" s="380">
        <v>50</v>
      </c>
      <c r="T124" s="380">
        <v>42</v>
      </c>
      <c r="U124" s="380">
        <v>60</v>
      </c>
      <c r="V124" s="368">
        <v>10</v>
      </c>
      <c r="W124" s="378">
        <f t="shared" si="23"/>
        <v>50</v>
      </c>
      <c r="X124" s="377">
        <f>21.5*W124</f>
        <v>1075</v>
      </c>
      <c r="Y124" s="359">
        <f t="shared" si="24"/>
        <v>6.3</v>
      </c>
      <c r="Z124" s="376">
        <v>22.58</v>
      </c>
      <c r="AA124" s="360">
        <f t="shared" si="25"/>
        <v>11290</v>
      </c>
      <c r="AB124" s="346" t="s">
        <v>46</v>
      </c>
      <c r="AC124" s="362"/>
      <c r="AD124" s="327"/>
      <c r="AE124" s="446">
        <v>46132</v>
      </c>
      <c r="AF124" s="446">
        <v>46133</v>
      </c>
      <c r="AG124" s="345"/>
      <c r="AH124" s="345"/>
      <c r="AI124" s="345"/>
      <c r="AJ124" s="375" t="s">
        <v>3047</v>
      </c>
      <c r="AK124" s="375"/>
      <c r="AL124" s="375"/>
      <c r="AM124" s="375"/>
      <c r="AN124" s="375"/>
      <c r="AO124" s="345"/>
      <c r="AP124" s="345"/>
      <c r="AQ124" s="345"/>
      <c r="AR124" s="375">
        <v>46157</v>
      </c>
    </row>
    <row r="125" spans="1:44" ht="27" customHeight="1">
      <c r="A125" s="487">
        <v>46100</v>
      </c>
      <c r="B125" s="445" t="s">
        <v>2583</v>
      </c>
      <c r="C125" s="437" t="s">
        <v>2582</v>
      </c>
      <c r="D125" s="361" t="s">
        <v>2897</v>
      </c>
      <c r="E125" s="736"/>
      <c r="F125" s="396" t="s">
        <v>52</v>
      </c>
      <c r="G125" s="392">
        <v>500</v>
      </c>
      <c r="H125" s="393" t="s">
        <v>2581</v>
      </c>
      <c r="I125" s="393" t="s">
        <v>2580</v>
      </c>
      <c r="J125" s="914" t="s">
        <v>59</v>
      </c>
      <c r="K125" s="392" t="s">
        <v>53</v>
      </c>
      <c r="L125" s="427" t="s">
        <v>2496</v>
      </c>
      <c r="M125" s="383">
        <v>46198</v>
      </c>
      <c r="N125" s="328"/>
      <c r="O125" s="423" t="s">
        <v>85</v>
      </c>
      <c r="P125" s="715" t="s">
        <v>44</v>
      </c>
      <c r="Q125" s="425">
        <v>46107</v>
      </c>
      <c r="R125" s="390" t="s">
        <v>59</v>
      </c>
      <c r="S125" s="368">
        <v>40</v>
      </c>
      <c r="T125" s="368">
        <v>40</v>
      </c>
      <c r="U125" s="368">
        <v>48</v>
      </c>
      <c r="V125" s="368">
        <v>5</v>
      </c>
      <c r="W125" s="364">
        <f>ROUND(G125/V125,2)</f>
        <v>100</v>
      </c>
      <c r="X125" s="347">
        <f>17.5*W125</f>
        <v>1750</v>
      </c>
      <c r="Y125" s="347">
        <f>ROUND((S125*T125*U125)*0.000001*W125,2)</f>
        <v>7.68</v>
      </c>
      <c r="Z125" s="376">
        <v>33.32</v>
      </c>
      <c r="AA125" s="360">
        <f>Z125*G125</f>
        <v>16660</v>
      </c>
      <c r="AB125" s="346" t="s">
        <v>46</v>
      </c>
      <c r="AC125" s="362"/>
      <c r="AD125" s="327"/>
      <c r="AE125" s="425">
        <v>46107</v>
      </c>
      <c r="AF125" s="425">
        <v>46107</v>
      </c>
      <c r="AG125" s="345"/>
      <c r="AH125" s="345"/>
      <c r="AI125" s="345"/>
      <c r="AJ125" s="720" t="s">
        <v>3407</v>
      </c>
      <c r="AK125" s="375"/>
      <c r="AL125" s="375"/>
      <c r="AM125" s="375"/>
      <c r="AN125" s="375"/>
      <c r="AO125" s="345"/>
      <c r="AP125" s="375"/>
      <c r="AQ125" s="446" t="s">
        <v>2075</v>
      </c>
      <c r="AR125" s="446" t="s">
        <v>1301</v>
      </c>
    </row>
    <row r="126" spans="1:44" ht="27" customHeight="1">
      <c r="A126" s="487">
        <v>46099</v>
      </c>
      <c r="B126" s="445" t="s">
        <v>2572</v>
      </c>
      <c r="C126" s="437" t="s">
        <v>2571</v>
      </c>
      <c r="D126" s="361" t="s">
        <v>2890</v>
      </c>
      <c r="E126" s="736"/>
      <c r="F126" s="396" t="s">
        <v>52</v>
      </c>
      <c r="G126" s="500">
        <v>100</v>
      </c>
      <c r="H126" s="527" t="s">
        <v>2570</v>
      </c>
      <c r="I126" s="363" t="s">
        <v>2569</v>
      </c>
      <c r="J126" s="484" t="s">
        <v>2568</v>
      </c>
      <c r="K126" s="363" t="s">
        <v>2417</v>
      </c>
      <c r="L126" s="363" t="s">
        <v>68</v>
      </c>
      <c r="M126" s="383">
        <v>46198</v>
      </c>
      <c r="N126" s="328"/>
      <c r="O126" s="811" t="s">
        <v>2567</v>
      </c>
      <c r="P126" s="374" t="s">
        <v>44</v>
      </c>
      <c r="Q126" s="425">
        <v>46108</v>
      </c>
      <c r="R126" s="328" t="s">
        <v>1674</v>
      </c>
      <c r="S126" s="407">
        <v>87</v>
      </c>
      <c r="T126" s="407">
        <v>36</v>
      </c>
      <c r="U126" s="407">
        <v>64</v>
      </c>
      <c r="V126" s="407">
        <v>6</v>
      </c>
      <c r="W126" s="388">
        <f>ROUND(G126/V126,2)</f>
        <v>16.670000000000002</v>
      </c>
      <c r="X126" s="760">
        <f>22*W126</f>
        <v>366.74</v>
      </c>
      <c r="Y126" s="408">
        <f>ROUND((S126*T126*U126)*0.000001*W126,2)</f>
        <v>3.34</v>
      </c>
      <c r="Z126" s="772">
        <v>34.5</v>
      </c>
      <c r="AA126" s="360">
        <f>Z126*G126</f>
        <v>3450</v>
      </c>
      <c r="AB126" s="346" t="s">
        <v>46</v>
      </c>
      <c r="AC126" s="362"/>
      <c r="AD126" s="327"/>
      <c r="AE126" s="425">
        <v>46108</v>
      </c>
      <c r="AF126" s="425">
        <v>46108</v>
      </c>
      <c r="AG126" s="345"/>
      <c r="AH126" s="446">
        <v>46109</v>
      </c>
      <c r="AI126" s="345"/>
      <c r="AJ126" s="720" t="s">
        <v>3406</v>
      </c>
      <c r="AK126" s="375"/>
      <c r="AL126" s="375"/>
      <c r="AM126" s="375"/>
      <c r="AN126" s="375"/>
      <c r="AO126" s="345"/>
      <c r="AP126" s="345"/>
      <c r="AQ126" s="345"/>
      <c r="AR126" s="446" t="s">
        <v>1301</v>
      </c>
    </row>
    <row r="127" spans="1:44" ht="23.25" customHeight="1">
      <c r="A127" s="487">
        <v>46106</v>
      </c>
      <c r="B127" s="445" t="s">
        <v>2815</v>
      </c>
      <c r="C127" s="437" t="s">
        <v>2814</v>
      </c>
      <c r="D127" s="361" t="s">
        <v>3040</v>
      </c>
      <c r="E127" s="736"/>
      <c r="F127" s="396" t="s">
        <v>52</v>
      </c>
      <c r="G127" s="401">
        <v>200</v>
      </c>
      <c r="H127" s="497" t="s">
        <v>2813</v>
      </c>
      <c r="I127" s="393" t="s">
        <v>2812</v>
      </c>
      <c r="J127" s="484" t="s">
        <v>59</v>
      </c>
      <c r="K127" s="365" t="s">
        <v>53</v>
      </c>
      <c r="L127" s="427" t="s">
        <v>2320</v>
      </c>
      <c r="M127" s="383">
        <v>46198</v>
      </c>
      <c r="N127" s="733"/>
      <c r="O127" s="423" t="s">
        <v>85</v>
      </c>
      <c r="P127" s="374">
        <v>45377</v>
      </c>
      <c r="Q127" s="490">
        <v>46126</v>
      </c>
      <c r="R127" s="327" t="s">
        <v>49</v>
      </c>
      <c r="S127" s="368">
        <v>35</v>
      </c>
      <c r="T127" s="368">
        <v>35</v>
      </c>
      <c r="U127" s="368">
        <v>50</v>
      </c>
      <c r="V127" s="368">
        <v>5</v>
      </c>
      <c r="W127" s="364">
        <f>ROUND(G127/V127,2)</f>
        <v>40</v>
      </c>
      <c r="X127" s="347">
        <f>14*W127</f>
        <v>560</v>
      </c>
      <c r="Y127" s="347">
        <f>ROUND((S127*T127*U127)*0.000001*W127,2)</f>
        <v>2.4500000000000002</v>
      </c>
      <c r="Z127" s="376">
        <v>33.22</v>
      </c>
      <c r="AA127" s="360">
        <f>Z127*G127</f>
        <v>6644</v>
      </c>
      <c r="AB127" s="346" t="s">
        <v>46</v>
      </c>
      <c r="AD127" s="327"/>
      <c r="AE127" s="490">
        <v>46126</v>
      </c>
      <c r="AF127" s="490">
        <v>46128</v>
      </c>
      <c r="AG127" s="345"/>
      <c r="AH127" s="345"/>
      <c r="AI127" s="345"/>
      <c r="AJ127" s="375" t="s">
        <v>3407</v>
      </c>
      <c r="AK127" s="375"/>
      <c r="AL127" s="375"/>
      <c r="AM127" s="375"/>
      <c r="AN127" s="375"/>
      <c r="AO127" s="345"/>
      <c r="AP127" s="375"/>
      <c r="AQ127" s="446" t="s">
        <v>2075</v>
      </c>
      <c r="AR127" s="375">
        <v>46167</v>
      </c>
    </row>
    <row r="128" spans="1:44" ht="26.25" customHeight="1">
      <c r="A128" s="487">
        <v>46136</v>
      </c>
      <c r="B128" s="445" t="s">
        <v>3185</v>
      </c>
      <c r="C128" s="437" t="s">
        <v>3184</v>
      </c>
      <c r="D128" s="361" t="s">
        <v>3300</v>
      </c>
      <c r="E128" s="880" t="s">
        <v>3183</v>
      </c>
      <c r="F128" s="396" t="s">
        <v>52</v>
      </c>
      <c r="G128" s="392">
        <v>50</v>
      </c>
      <c r="H128" s="795" t="s">
        <v>3182</v>
      </c>
      <c r="I128" s="327" t="s">
        <v>3181</v>
      </c>
      <c r="J128" s="484" t="s">
        <v>59</v>
      </c>
      <c r="K128" s="355" t="s">
        <v>53</v>
      </c>
      <c r="L128" s="488" t="s">
        <v>60</v>
      </c>
      <c r="M128" s="383">
        <v>46198</v>
      </c>
      <c r="N128" s="505"/>
      <c r="O128" s="811" t="s">
        <v>65</v>
      </c>
      <c r="P128" s="374">
        <v>45615</v>
      </c>
      <c r="Q128" s="348"/>
      <c r="R128" s="328" t="s">
        <v>49</v>
      </c>
      <c r="S128" s="368">
        <v>70</v>
      </c>
      <c r="T128" s="355">
        <v>50</v>
      </c>
      <c r="U128" s="368">
        <v>17</v>
      </c>
      <c r="V128" s="355">
        <v>100</v>
      </c>
      <c r="W128" s="355">
        <f>ROUND(G128/V128,2)</f>
        <v>0.5</v>
      </c>
      <c r="X128" s="327">
        <f>7*W128</f>
        <v>3.5</v>
      </c>
      <c r="Y128" s="355">
        <f>ROUND((S128*T128*U128)*0.000001*W128,2)</f>
        <v>0.03</v>
      </c>
      <c r="Z128" s="879">
        <v>1.23</v>
      </c>
      <c r="AA128" s="938">
        <f>Z128*G128</f>
        <v>61.5</v>
      </c>
      <c r="AB128" s="346" t="s">
        <v>46</v>
      </c>
      <c r="AC128" s="355"/>
      <c r="AD128" s="327"/>
      <c r="AE128" s="375"/>
      <c r="AF128" s="375"/>
      <c r="AG128" s="345"/>
      <c r="AH128" s="345"/>
      <c r="AI128" s="345"/>
      <c r="AJ128" s="375"/>
      <c r="AK128" s="375"/>
      <c r="AL128" s="375"/>
      <c r="AM128" s="375"/>
      <c r="AN128" s="375"/>
      <c r="AO128" s="345"/>
      <c r="AP128" s="345"/>
      <c r="AQ128" s="345"/>
      <c r="AR128" s="446" t="s">
        <v>2525</v>
      </c>
    </row>
    <row r="129" spans="1:44" ht="26.25" customHeight="1">
      <c r="A129" s="487">
        <v>46136</v>
      </c>
      <c r="B129" s="445" t="s">
        <v>3155</v>
      </c>
      <c r="C129" s="326" t="s">
        <v>3154</v>
      </c>
      <c r="D129" s="361" t="s">
        <v>3300</v>
      </c>
      <c r="E129" s="880" t="s">
        <v>3145</v>
      </c>
      <c r="F129" s="396" t="s">
        <v>52</v>
      </c>
      <c r="G129" s="392">
        <v>50</v>
      </c>
      <c r="H129" s="488" t="s">
        <v>3153</v>
      </c>
      <c r="I129" s="393" t="s">
        <v>3152</v>
      </c>
      <c r="J129" s="484" t="s">
        <v>59</v>
      </c>
      <c r="K129" s="392" t="s">
        <v>50</v>
      </c>
      <c r="L129" s="488" t="s">
        <v>60</v>
      </c>
      <c r="M129" s="383">
        <v>46198</v>
      </c>
      <c r="N129" s="505"/>
      <c r="O129" s="722" t="s">
        <v>602</v>
      </c>
      <c r="P129" s="390">
        <v>43914</v>
      </c>
      <c r="Q129" s="348"/>
      <c r="R129" s="395" t="s">
        <v>49</v>
      </c>
      <c r="S129" s="380">
        <v>45</v>
      </c>
      <c r="T129" s="380">
        <v>45</v>
      </c>
      <c r="U129" s="380">
        <v>48</v>
      </c>
      <c r="V129" s="380">
        <v>500</v>
      </c>
      <c r="W129" s="386">
        <f>ROUND(G129/V129,2)</f>
        <v>0.1</v>
      </c>
      <c r="X129" s="347">
        <f>14.5*W129</f>
        <v>1.4500000000000002</v>
      </c>
      <c r="Y129" s="347">
        <f>ROUND((S129*T129*U129)*0.000001*W129,2)</f>
        <v>0.01</v>
      </c>
      <c r="Z129" s="376">
        <f>0.86</f>
        <v>0.86</v>
      </c>
      <c r="AA129" s="737">
        <f>Z129*G129</f>
        <v>43</v>
      </c>
      <c r="AB129" s="346" t="s">
        <v>46</v>
      </c>
      <c r="AC129" s="355"/>
      <c r="AD129" s="327"/>
      <c r="AE129" s="375"/>
      <c r="AF129" s="375"/>
      <c r="AG129" s="345"/>
      <c r="AH129" s="345"/>
      <c r="AI129" s="345"/>
      <c r="AJ129" s="375"/>
      <c r="AK129" s="375"/>
      <c r="AL129" s="375"/>
      <c r="AM129" s="375"/>
      <c r="AN129" s="375"/>
      <c r="AO129" s="345"/>
      <c r="AP129" s="345"/>
      <c r="AQ129" s="345"/>
      <c r="AR129" s="446" t="s">
        <v>2525</v>
      </c>
    </row>
    <row r="130" spans="1:44" ht="26.25" customHeight="1">
      <c r="A130" s="487">
        <v>46136</v>
      </c>
      <c r="B130" s="445" t="s">
        <v>3147</v>
      </c>
      <c r="C130" s="437" t="s">
        <v>3146</v>
      </c>
      <c r="D130" s="361" t="s">
        <v>3300</v>
      </c>
      <c r="E130" s="880" t="s">
        <v>3145</v>
      </c>
      <c r="F130" s="396" t="s">
        <v>52</v>
      </c>
      <c r="G130" s="392">
        <v>50</v>
      </c>
      <c r="H130" s="934" t="s">
        <v>3144</v>
      </c>
      <c r="I130" s="363" t="s">
        <v>3143</v>
      </c>
      <c r="J130" s="363" t="s">
        <v>1992</v>
      </c>
      <c r="K130" s="521" t="s">
        <v>53</v>
      </c>
      <c r="L130" s="488" t="s">
        <v>60</v>
      </c>
      <c r="M130" s="383">
        <v>46198</v>
      </c>
      <c r="N130" s="505"/>
      <c r="O130" s="390" t="s">
        <v>3142</v>
      </c>
      <c r="P130" s="328">
        <v>40954</v>
      </c>
      <c r="Q130" s="933"/>
      <c r="R130" s="763" t="s">
        <v>2457</v>
      </c>
      <c r="S130" s="396">
        <v>40</v>
      </c>
      <c r="T130" s="396">
        <v>40</v>
      </c>
      <c r="U130" s="396">
        <v>25</v>
      </c>
      <c r="V130" s="500">
        <v>100</v>
      </c>
      <c r="W130" s="632">
        <f>ROUND(G130/V130,2)</f>
        <v>0.5</v>
      </c>
      <c r="X130" s="627">
        <v>1</v>
      </c>
      <c r="Y130" s="408">
        <f>ROUND((S130*T130*U130)*0.000001*W130,2)</f>
        <v>0.02</v>
      </c>
      <c r="Z130" s="376">
        <v>0.54</v>
      </c>
      <c r="AA130" s="932">
        <f>Z130*G130</f>
        <v>27</v>
      </c>
      <c r="AB130" s="346" t="s">
        <v>46</v>
      </c>
      <c r="AC130" s="355"/>
      <c r="AD130" s="327"/>
      <c r="AE130" s="375"/>
      <c r="AF130" s="375"/>
      <c r="AG130" s="345"/>
      <c r="AH130" s="375"/>
      <c r="AI130" s="345"/>
      <c r="AJ130" s="375"/>
      <c r="AK130" s="375"/>
      <c r="AL130" s="375"/>
      <c r="AM130" s="375"/>
      <c r="AN130" s="345"/>
      <c r="AO130" s="345"/>
      <c r="AP130" s="345"/>
      <c r="AQ130" s="345"/>
      <c r="AR130" s="446" t="s">
        <v>2525</v>
      </c>
    </row>
    <row r="131" spans="1:44" ht="26.25" customHeight="1">
      <c r="A131" s="487">
        <v>46136</v>
      </c>
      <c r="B131" s="445" t="s">
        <v>3166</v>
      </c>
      <c r="C131" s="437" t="s">
        <v>3165</v>
      </c>
      <c r="D131" s="361" t="s">
        <v>3300</v>
      </c>
      <c r="E131" s="880" t="s">
        <v>3164</v>
      </c>
      <c r="F131" s="396" t="s">
        <v>52</v>
      </c>
      <c r="G131" s="392">
        <v>50</v>
      </c>
      <c r="H131" s="915" t="s">
        <v>3163</v>
      </c>
      <c r="I131" s="393" t="s">
        <v>3162</v>
      </c>
      <c r="J131" s="484" t="s">
        <v>59</v>
      </c>
      <c r="K131" s="384" t="s">
        <v>3161</v>
      </c>
      <c r="L131" s="488" t="s">
        <v>60</v>
      </c>
      <c r="M131" s="383">
        <v>46198</v>
      </c>
      <c r="N131" s="505"/>
      <c r="O131" s="382" t="s">
        <v>1832</v>
      </c>
      <c r="P131" s="374">
        <v>45741</v>
      </c>
      <c r="Q131" s="348"/>
      <c r="R131" s="390" t="s">
        <v>59</v>
      </c>
      <c r="S131" s="543">
        <v>33</v>
      </c>
      <c r="T131" s="543">
        <v>27</v>
      </c>
      <c r="U131" s="543">
        <v>17</v>
      </c>
      <c r="V131" s="407">
        <v>50</v>
      </c>
      <c r="W131" s="388">
        <f>ROUND(G131/V131,2)</f>
        <v>1</v>
      </c>
      <c r="X131" s="424">
        <f>15*W131</f>
        <v>15</v>
      </c>
      <c r="Y131" s="408">
        <f>ROUND((S131*T131*U131)*0.000001*W131,2)</f>
        <v>0.02</v>
      </c>
      <c r="Z131" s="376">
        <v>2.4700000000000002</v>
      </c>
      <c r="AA131" s="360">
        <f>Z131*G131</f>
        <v>123.50000000000001</v>
      </c>
      <c r="AB131" s="346" t="s">
        <v>46</v>
      </c>
      <c r="AC131" s="355"/>
      <c r="AD131" s="327"/>
      <c r="AE131" s="375"/>
      <c r="AF131" s="375"/>
      <c r="AG131" s="345"/>
      <c r="AH131" s="345"/>
      <c r="AI131" s="345"/>
      <c r="AJ131" s="345"/>
      <c r="AK131" s="345"/>
      <c r="AL131" s="345"/>
      <c r="AM131" s="345"/>
      <c r="AN131" s="345"/>
      <c r="AO131" s="345"/>
      <c r="AP131" s="345"/>
      <c r="AQ131" s="345"/>
      <c r="AR131" s="446" t="s">
        <v>2525</v>
      </c>
    </row>
    <row r="132" spans="1:44" ht="27" customHeight="1">
      <c r="A132" s="330"/>
      <c r="B132" s="331"/>
      <c r="C132" s="332"/>
      <c r="D132" s="333"/>
      <c r="E132" s="334"/>
      <c r="F132" s="334"/>
      <c r="G132" s="335">
        <f>SUM(G120:G131)</f>
        <v>2700</v>
      </c>
      <c r="H132" s="334"/>
      <c r="I132" s="334"/>
      <c r="J132" s="334"/>
      <c r="K132" s="334"/>
      <c r="L132" s="336"/>
      <c r="M132" s="332"/>
      <c r="N132" s="332"/>
      <c r="O132" s="337"/>
      <c r="P132" s="338"/>
      <c r="Q132" s="337"/>
      <c r="R132" s="339"/>
      <c r="S132" s="340"/>
      <c r="T132" s="340"/>
      <c r="U132" s="340"/>
      <c r="V132" s="340"/>
      <c r="W132" s="341"/>
      <c r="X132" s="342"/>
      <c r="Y132" s="343">
        <f>SUM(Y120:Y131)</f>
        <v>66.03</v>
      </c>
      <c r="Z132" s="342"/>
      <c r="AA132" s="344"/>
      <c r="AB132" s="332"/>
      <c r="AC132" s="332"/>
      <c r="AD132" s="339"/>
      <c r="AE132" s="337"/>
      <c r="AF132" s="338"/>
      <c r="AG132" s="337"/>
      <c r="AH132" s="338"/>
      <c r="AI132" s="337"/>
      <c r="AJ132" s="338"/>
      <c r="AK132" s="338"/>
      <c r="AL132" s="338"/>
      <c r="AM132" s="338"/>
      <c r="AN132" s="338"/>
      <c r="AO132" s="338"/>
      <c r="AP132" s="338"/>
      <c r="AQ132" s="338"/>
      <c r="AR132" s="338"/>
    </row>
    <row r="133" spans="1:44" ht="27.75" customHeight="1">
      <c r="A133" s="351" t="s">
        <v>3473</v>
      </c>
      <c r="B133" s="331"/>
      <c r="C133" s="332"/>
      <c r="D133" s="333"/>
      <c r="E133" s="334"/>
      <c r="F133" s="334"/>
      <c r="G133" s="524"/>
      <c r="H133" s="341"/>
      <c r="I133" s="334"/>
      <c r="J133" s="334"/>
      <c r="K133" s="334"/>
      <c r="L133" s="336"/>
      <c r="M133" s="332"/>
      <c r="N133" s="332"/>
      <c r="O133" s="337"/>
      <c r="P133" s="338"/>
      <c r="Q133" s="337"/>
      <c r="R133" s="339"/>
      <c r="S133" s="340"/>
      <c r="T133" s="340"/>
      <c r="U133" s="340"/>
      <c r="V133" s="340"/>
      <c r="W133" s="341"/>
      <c r="X133" s="342"/>
      <c r="Y133" s="350"/>
      <c r="Z133" s="342"/>
      <c r="AA133" s="344"/>
      <c r="AB133" s="332"/>
      <c r="AC133" s="332"/>
      <c r="AD133" s="339"/>
      <c r="AE133" s="337"/>
      <c r="AF133" s="338"/>
      <c r="AG133" s="337"/>
      <c r="AH133" s="338"/>
      <c r="AI133" s="337"/>
      <c r="AJ133" s="338"/>
      <c r="AK133" s="338"/>
      <c r="AL133" s="338"/>
      <c r="AM133" s="338"/>
      <c r="AN133" s="338"/>
      <c r="AO133" s="338"/>
      <c r="AP133" s="338"/>
      <c r="AQ133" s="338"/>
      <c r="AR133" s="338"/>
    </row>
    <row r="134" spans="1:44" ht="30" customHeight="1">
      <c r="A134" s="487">
        <v>46100</v>
      </c>
      <c r="B134" s="445" t="s">
        <v>2585</v>
      </c>
      <c r="C134" s="437" t="s">
        <v>2539</v>
      </c>
      <c r="D134" s="361" t="s">
        <v>3307</v>
      </c>
      <c r="E134" s="525" t="s">
        <v>2526</v>
      </c>
      <c r="F134" s="396" t="s">
        <v>52</v>
      </c>
      <c r="G134" s="396">
        <v>100</v>
      </c>
      <c r="H134" s="393" t="s">
        <v>1270</v>
      </c>
      <c r="I134" s="404" t="s">
        <v>2233</v>
      </c>
      <c r="J134" s="484" t="s">
        <v>59</v>
      </c>
      <c r="K134" s="404" t="s">
        <v>63</v>
      </c>
      <c r="L134" s="392" t="s">
        <v>64</v>
      </c>
      <c r="M134" s="383">
        <v>46202</v>
      </c>
      <c r="N134" s="403" t="s">
        <v>54</v>
      </c>
      <c r="O134" s="369" t="s">
        <v>1386</v>
      </c>
      <c r="P134" s="395">
        <v>45320</v>
      </c>
      <c r="Q134" s="348"/>
      <c r="R134" s="390" t="s">
        <v>59</v>
      </c>
      <c r="S134" s="683">
        <v>134</v>
      </c>
      <c r="T134" s="683">
        <v>102</v>
      </c>
      <c r="U134" s="683">
        <v>20</v>
      </c>
      <c r="V134" s="389">
        <v>1</v>
      </c>
      <c r="W134" s="347">
        <f>ROUND(G134/V134,2)</f>
        <v>100</v>
      </c>
      <c r="X134" s="682">
        <f>50*W134</f>
        <v>5000</v>
      </c>
      <c r="Y134" s="414">
        <f>ROUND((S134*T134*U134)*0.000001*W134,2)</f>
        <v>27.34</v>
      </c>
      <c r="Z134" s="761">
        <v>305.75</v>
      </c>
      <c r="AA134" s="360">
        <f>Z134*G134</f>
        <v>30575</v>
      </c>
      <c r="AB134" s="355" t="s">
        <v>46</v>
      </c>
      <c r="AC134" s="355"/>
      <c r="AD134" s="327"/>
      <c r="AE134" s="375"/>
      <c r="AF134" s="375"/>
      <c r="AG134" s="345"/>
      <c r="AH134" s="345"/>
      <c r="AI134" s="345"/>
      <c r="AJ134" s="720" t="s">
        <v>3392</v>
      </c>
      <c r="AK134" s="375"/>
      <c r="AL134" s="375"/>
      <c r="AM134" s="375"/>
      <c r="AN134" s="375"/>
      <c r="AO134" s="345"/>
      <c r="AP134" s="375"/>
      <c r="AQ134" s="375" t="s">
        <v>3381</v>
      </c>
      <c r="AR134" s="375" t="s">
        <v>2881</v>
      </c>
    </row>
    <row r="135" spans="1:44" ht="27" customHeight="1">
      <c r="A135" s="487">
        <v>46100</v>
      </c>
      <c r="B135" s="445" t="s">
        <v>2574</v>
      </c>
      <c r="C135" s="437" t="s">
        <v>2575</v>
      </c>
      <c r="D135" s="361" t="s">
        <v>2893</v>
      </c>
      <c r="E135" s="736"/>
      <c r="F135" s="396" t="s">
        <v>52</v>
      </c>
      <c r="G135" s="392">
        <v>500</v>
      </c>
      <c r="H135" s="484" t="s">
        <v>2312</v>
      </c>
      <c r="I135" s="363" t="s">
        <v>95</v>
      </c>
      <c r="J135" s="484" t="s">
        <v>59</v>
      </c>
      <c r="K135" s="485" t="s">
        <v>56</v>
      </c>
      <c r="L135" s="427" t="s">
        <v>2496</v>
      </c>
      <c r="M135" s="383">
        <v>46202</v>
      </c>
      <c r="N135" s="863"/>
      <c r="O135" s="356" t="s">
        <v>2311</v>
      </c>
      <c r="P135" s="374">
        <v>42223</v>
      </c>
      <c r="Q135" s="446">
        <v>46132</v>
      </c>
      <c r="R135" s="390" t="s">
        <v>59</v>
      </c>
      <c r="S135" s="380">
        <v>50</v>
      </c>
      <c r="T135" s="380">
        <v>42</v>
      </c>
      <c r="U135" s="380">
        <v>60</v>
      </c>
      <c r="V135" s="368">
        <v>10</v>
      </c>
      <c r="W135" s="378">
        <f>ROUND(G135/V135,2)</f>
        <v>50</v>
      </c>
      <c r="X135" s="377">
        <f>21.5*W135</f>
        <v>1075</v>
      </c>
      <c r="Y135" s="359">
        <f>ROUND((S135*T135*U135)*0.000001*W135,2)</f>
        <v>6.3</v>
      </c>
      <c r="Z135" s="376">
        <v>22.58</v>
      </c>
      <c r="AA135" s="360">
        <f>Z135*G135</f>
        <v>11290</v>
      </c>
      <c r="AB135" s="346" t="s">
        <v>46</v>
      </c>
      <c r="AC135" s="362"/>
      <c r="AD135" s="327"/>
      <c r="AE135" s="446">
        <v>46132</v>
      </c>
      <c r="AF135" s="425">
        <v>46147</v>
      </c>
      <c r="AG135" s="345"/>
      <c r="AH135" s="345"/>
      <c r="AI135" s="345"/>
      <c r="AJ135" s="375" t="s">
        <v>3049</v>
      </c>
      <c r="AK135" s="375"/>
      <c r="AL135" s="375"/>
      <c r="AM135" s="375"/>
      <c r="AN135" s="375"/>
      <c r="AO135" s="345"/>
      <c r="AP135" s="345"/>
      <c r="AQ135" s="345"/>
      <c r="AR135" s="375" t="s">
        <v>2881</v>
      </c>
    </row>
    <row r="136" spans="1:44" ht="22.5" customHeight="1">
      <c r="A136" s="487">
        <v>46106</v>
      </c>
      <c r="B136" s="445" t="s">
        <v>2807</v>
      </c>
      <c r="C136" s="437" t="s">
        <v>2806</v>
      </c>
      <c r="D136" s="361" t="s">
        <v>2903</v>
      </c>
      <c r="E136" s="736"/>
      <c r="F136" s="396" t="s">
        <v>52</v>
      </c>
      <c r="G136" s="401">
        <v>500</v>
      </c>
      <c r="H136" s="631" t="s">
        <v>2364</v>
      </c>
      <c r="I136" s="363" t="s">
        <v>2365</v>
      </c>
      <c r="J136" s="550" t="s">
        <v>2366</v>
      </c>
      <c r="K136" s="392" t="s">
        <v>63</v>
      </c>
      <c r="L136" s="427" t="s">
        <v>68</v>
      </c>
      <c r="M136" s="383">
        <v>46202</v>
      </c>
      <c r="N136" s="733"/>
      <c r="O136" s="382" t="s">
        <v>55</v>
      </c>
      <c r="P136" s="369" t="s">
        <v>44</v>
      </c>
      <c r="Q136" s="425">
        <v>46121</v>
      </c>
      <c r="R136" s="395" t="s">
        <v>2147</v>
      </c>
      <c r="S136" s="401">
        <v>120</v>
      </c>
      <c r="T136" s="401">
        <v>100</v>
      </c>
      <c r="U136" s="401">
        <v>214</v>
      </c>
      <c r="V136" s="401">
        <v>96</v>
      </c>
      <c r="W136" s="413">
        <f>ROUND(G136/V136,2)</f>
        <v>5.21</v>
      </c>
      <c r="X136" s="627">
        <f>284*W136</f>
        <v>1479.64</v>
      </c>
      <c r="Y136" s="376">
        <f>ROUND((S136*T136*U136)*0.000001*W136,2)</f>
        <v>13.38</v>
      </c>
      <c r="Z136" s="376">
        <v>30.91</v>
      </c>
      <c r="AA136" s="360">
        <f>Z136*G136</f>
        <v>15455</v>
      </c>
      <c r="AB136" s="346" t="s">
        <v>46</v>
      </c>
      <c r="AD136" s="327"/>
      <c r="AE136" s="425">
        <v>46121</v>
      </c>
      <c r="AF136" s="425">
        <v>46122</v>
      </c>
      <c r="AG136" s="345"/>
      <c r="AH136" s="446">
        <v>46158</v>
      </c>
      <c r="AI136" s="345"/>
      <c r="AJ136" s="720" t="s">
        <v>3406</v>
      </c>
      <c r="AK136" s="375"/>
      <c r="AL136" s="375"/>
      <c r="AM136" s="375"/>
      <c r="AN136" s="345"/>
      <c r="AO136" s="345"/>
      <c r="AP136" s="345"/>
      <c r="AQ136" s="345"/>
      <c r="AR136" s="663" t="s">
        <v>2350</v>
      </c>
    </row>
    <row r="137" spans="1:44" ht="21" customHeight="1">
      <c r="A137" s="487">
        <v>46107</v>
      </c>
      <c r="B137" s="445" t="s">
        <v>2839</v>
      </c>
      <c r="C137" s="437" t="s">
        <v>2838</v>
      </c>
      <c r="D137" s="361" t="s">
        <v>2902</v>
      </c>
      <c r="E137" s="736"/>
      <c r="F137" s="396" t="s">
        <v>52</v>
      </c>
      <c r="G137" s="401">
        <v>100</v>
      </c>
      <c r="H137" s="497" t="s">
        <v>2837</v>
      </c>
      <c r="I137" s="363" t="s">
        <v>2569</v>
      </c>
      <c r="J137" s="869" t="s">
        <v>2836</v>
      </c>
      <c r="K137" s="365" t="s">
        <v>63</v>
      </c>
      <c r="L137" s="427" t="s">
        <v>68</v>
      </c>
      <c r="M137" s="383">
        <v>46202</v>
      </c>
      <c r="N137" s="733"/>
      <c r="O137" s="369" t="s">
        <v>2567</v>
      </c>
      <c r="P137" s="369" t="s">
        <v>44</v>
      </c>
      <c r="Q137" s="425">
        <v>46121</v>
      </c>
      <c r="R137" s="390" t="s">
        <v>2387</v>
      </c>
      <c r="S137" s="401">
        <v>87</v>
      </c>
      <c r="T137" s="401">
        <v>36</v>
      </c>
      <c r="U137" s="401">
        <v>64</v>
      </c>
      <c r="V137" s="401">
        <v>6</v>
      </c>
      <c r="W137" s="347">
        <f>G137/V137</f>
        <v>16.666666666666668</v>
      </c>
      <c r="X137" s="386">
        <f>22*W137</f>
        <v>366.66666666666669</v>
      </c>
      <c r="Y137" s="408">
        <f>ROUND((S137*T137*U137)*0.000001*W137,2)</f>
        <v>3.34</v>
      </c>
      <c r="Z137" s="761">
        <v>34.5</v>
      </c>
      <c r="AA137" s="360">
        <f>Z137*G137</f>
        <v>3450</v>
      </c>
      <c r="AB137" s="346" t="s">
        <v>46</v>
      </c>
      <c r="AC137" s="355" t="s">
        <v>46</v>
      </c>
      <c r="AD137" s="327"/>
      <c r="AE137" s="425">
        <v>46121</v>
      </c>
      <c r="AF137" s="425">
        <v>46122</v>
      </c>
      <c r="AG137" s="345"/>
      <c r="AH137" s="446">
        <v>46158</v>
      </c>
      <c r="AI137" s="345"/>
      <c r="AJ137" s="375"/>
      <c r="AK137" s="375"/>
      <c r="AL137" s="375"/>
      <c r="AM137" s="375"/>
      <c r="AN137" s="345"/>
      <c r="AO137" s="345"/>
      <c r="AP137" s="345"/>
      <c r="AQ137" s="345"/>
      <c r="AR137" s="375" t="s">
        <v>2881</v>
      </c>
    </row>
    <row r="138" spans="1:44" ht="27" customHeight="1">
      <c r="A138" s="487">
        <v>46100</v>
      </c>
      <c r="B138" s="445" t="s">
        <v>2577</v>
      </c>
      <c r="C138" s="437" t="s">
        <v>2576</v>
      </c>
      <c r="D138" s="361" t="s">
        <v>2894</v>
      </c>
      <c r="E138" s="736"/>
      <c r="F138" s="396" t="s">
        <v>52</v>
      </c>
      <c r="G138" s="392">
        <v>200</v>
      </c>
      <c r="H138" s="497" t="s">
        <v>2413</v>
      </c>
      <c r="I138" s="392" t="s">
        <v>66</v>
      </c>
      <c r="J138" s="484" t="s">
        <v>59</v>
      </c>
      <c r="K138" s="485" t="s">
        <v>53</v>
      </c>
      <c r="L138" s="363" t="s">
        <v>2490</v>
      </c>
      <c r="M138" s="383">
        <v>46202</v>
      </c>
      <c r="N138" s="328"/>
      <c r="O138" s="382" t="s">
        <v>55</v>
      </c>
      <c r="P138" s="417" t="s">
        <v>48</v>
      </c>
      <c r="Q138" s="417">
        <v>46113</v>
      </c>
      <c r="R138" s="395" t="s">
        <v>49</v>
      </c>
      <c r="S138" s="380">
        <v>120</v>
      </c>
      <c r="T138" s="380">
        <v>100</v>
      </c>
      <c r="U138" s="380">
        <v>120</v>
      </c>
      <c r="V138" s="368">
        <v>25</v>
      </c>
      <c r="W138" s="386">
        <f>ROUND(G138/V138,2)</f>
        <v>8</v>
      </c>
      <c r="X138" s="424">
        <f>136*W138</f>
        <v>1088</v>
      </c>
      <c r="Y138" s="347">
        <f>ROUND((S138*T138*U138)*0.000001*W138,2)</f>
        <v>11.52</v>
      </c>
      <c r="Z138" s="347">
        <v>41.02</v>
      </c>
      <c r="AA138" s="360">
        <f>Z138*G138</f>
        <v>8204</v>
      </c>
      <c r="AB138" s="346" t="s">
        <v>46</v>
      </c>
      <c r="AC138" s="362"/>
      <c r="AD138" s="327"/>
      <c r="AE138" s="417">
        <v>46113</v>
      </c>
      <c r="AF138" s="446">
        <v>46120</v>
      </c>
      <c r="AG138" s="345"/>
      <c r="AH138" s="345"/>
      <c r="AI138" s="345"/>
      <c r="AJ138" s="375"/>
      <c r="AK138" s="375"/>
      <c r="AL138" s="375"/>
      <c r="AM138" s="375"/>
      <c r="AN138" s="375"/>
      <c r="AO138" s="345"/>
      <c r="AP138" s="345"/>
      <c r="AQ138" s="345"/>
      <c r="AR138" s="446" t="s">
        <v>1301</v>
      </c>
    </row>
    <row r="139" spans="1:44" ht="26.25" customHeight="1">
      <c r="A139" s="487">
        <v>46136</v>
      </c>
      <c r="B139" s="445" t="s">
        <v>3160</v>
      </c>
      <c r="C139" s="437" t="s">
        <v>3159</v>
      </c>
      <c r="D139" s="361" t="s">
        <v>3300</v>
      </c>
      <c r="E139" s="809" t="s">
        <v>3158</v>
      </c>
      <c r="F139" s="396" t="s">
        <v>52</v>
      </c>
      <c r="G139" s="392">
        <v>50</v>
      </c>
      <c r="H139" s="399" t="s">
        <v>3157</v>
      </c>
      <c r="I139" s="393" t="s">
        <v>3156</v>
      </c>
      <c r="J139" s="550" t="s">
        <v>59</v>
      </c>
      <c r="K139" s="358" t="s">
        <v>948</v>
      </c>
      <c r="L139" s="488" t="s">
        <v>60</v>
      </c>
      <c r="M139" s="383">
        <v>46202</v>
      </c>
      <c r="N139" s="505"/>
      <c r="O139" s="382"/>
      <c r="P139" s="374"/>
      <c r="Q139" s="425" t="s">
        <v>1678</v>
      </c>
      <c r="R139" s="936" t="s">
        <v>49</v>
      </c>
      <c r="S139" s="368">
        <v>122</v>
      </c>
      <c r="T139" s="368">
        <v>72</v>
      </c>
      <c r="U139" s="368">
        <v>18</v>
      </c>
      <c r="V139" s="368">
        <v>2</v>
      </c>
      <c r="W139" s="388">
        <f t="shared" ref="W139" si="26">ROUND(G139/V139,2)</f>
        <v>25</v>
      </c>
      <c r="X139" s="386">
        <f>25*W139</f>
        <v>625</v>
      </c>
      <c r="Y139" s="408">
        <f t="shared" ref="Y139" si="27">ROUND((S139*T139*U139)*0.000001*W139,2)</f>
        <v>3.95</v>
      </c>
      <c r="Z139" s="641">
        <v>29.16</v>
      </c>
      <c r="AA139" s="788">
        <f t="shared" ref="AA139" si="28">Z139*G139</f>
        <v>1458</v>
      </c>
      <c r="AB139" s="346" t="s">
        <v>46</v>
      </c>
      <c r="AC139" s="355"/>
      <c r="AD139" s="327"/>
      <c r="AE139" s="345"/>
      <c r="AF139" s="345"/>
      <c r="AG139" s="345"/>
      <c r="AH139" s="345"/>
      <c r="AI139" s="345"/>
      <c r="AJ139" s="345"/>
      <c r="AK139" s="345"/>
      <c r="AL139" s="345"/>
      <c r="AM139" s="375"/>
      <c r="AN139" s="345"/>
      <c r="AO139" s="345"/>
      <c r="AP139" s="375"/>
      <c r="AQ139" s="446" t="s">
        <v>2075</v>
      </c>
      <c r="AR139" s="375"/>
    </row>
    <row r="140" spans="1:44" ht="27" customHeight="1">
      <c r="A140" s="330"/>
      <c r="B140" s="331"/>
      <c r="C140" s="332"/>
      <c r="D140" s="333"/>
      <c r="E140" s="334"/>
      <c r="F140" s="334"/>
      <c r="G140" s="335">
        <f>SUM(G134:G139)</f>
        <v>1450</v>
      </c>
      <c r="H140" s="334"/>
      <c r="I140" s="334"/>
      <c r="J140" s="334"/>
      <c r="K140" s="334"/>
      <c r="L140" s="336"/>
      <c r="M140" s="332"/>
      <c r="N140" s="332"/>
      <c r="O140" s="337"/>
      <c r="P140" s="338"/>
      <c r="Q140" s="337"/>
      <c r="R140" s="339"/>
      <c r="S140" s="340"/>
      <c r="T140" s="340"/>
      <c r="U140" s="340"/>
      <c r="V140" s="340"/>
      <c r="W140" s="341"/>
      <c r="X140" s="342"/>
      <c r="Y140" s="343">
        <f>SUM(Y134:Y139)</f>
        <v>65.83</v>
      </c>
      <c r="Z140" s="342"/>
      <c r="AA140" s="344"/>
      <c r="AB140" s="332"/>
      <c r="AC140" s="332"/>
      <c r="AD140" s="339"/>
      <c r="AE140" s="337"/>
      <c r="AF140" s="338"/>
      <c r="AG140" s="337"/>
      <c r="AH140" s="338"/>
      <c r="AI140" s="337"/>
      <c r="AJ140" s="338"/>
      <c r="AK140" s="338"/>
      <c r="AL140" s="338"/>
      <c r="AM140" s="338"/>
      <c r="AN140" s="338"/>
      <c r="AO140" s="338"/>
      <c r="AP140" s="338"/>
      <c r="AQ140" s="338"/>
      <c r="AR140" s="338"/>
    </row>
    <row r="141" spans="1:44" ht="27.75" customHeight="1">
      <c r="A141" s="351" t="s">
        <v>3461</v>
      </c>
      <c r="B141" s="331"/>
      <c r="C141" s="332"/>
      <c r="D141" s="333"/>
      <c r="E141" s="334"/>
      <c r="F141" s="334"/>
      <c r="G141" s="524"/>
      <c r="H141" s="341"/>
      <c r="I141" s="334"/>
      <c r="J141" s="334"/>
      <c r="K141" s="334"/>
      <c r="L141" s="336"/>
      <c r="M141" s="332"/>
      <c r="N141" s="332"/>
      <c r="O141" s="337"/>
      <c r="P141" s="338"/>
      <c r="Q141" s="337"/>
      <c r="R141" s="339"/>
      <c r="S141" s="340"/>
      <c r="T141" s="340"/>
      <c r="U141" s="340"/>
      <c r="V141" s="340"/>
      <c r="W141" s="341"/>
      <c r="X141" s="342"/>
      <c r="Y141" s="350"/>
      <c r="Z141" s="342"/>
      <c r="AA141" s="344"/>
      <c r="AB141" s="332"/>
      <c r="AC141" s="332"/>
      <c r="AD141" s="339"/>
      <c r="AE141" s="337"/>
      <c r="AF141" s="338"/>
      <c r="AG141" s="337"/>
      <c r="AH141" s="338"/>
      <c r="AI141" s="337"/>
      <c r="AJ141" s="338"/>
      <c r="AK141" s="338"/>
      <c r="AL141" s="338"/>
      <c r="AM141" s="338"/>
      <c r="AN141" s="338"/>
      <c r="AO141" s="338"/>
      <c r="AP141" s="338"/>
      <c r="AQ141" s="338"/>
      <c r="AR141" s="338"/>
    </row>
    <row r="142" spans="1:44" ht="54.75" customHeight="1">
      <c r="A142" s="487">
        <v>46157</v>
      </c>
      <c r="B142" s="445" t="s">
        <v>3436</v>
      </c>
      <c r="C142" s="326" t="s">
        <v>3437</v>
      </c>
      <c r="D142" s="361"/>
      <c r="E142" s="525" t="s">
        <v>3463</v>
      </c>
      <c r="F142" s="396" t="s">
        <v>70</v>
      </c>
      <c r="G142" s="392">
        <v>4536</v>
      </c>
      <c r="H142" s="497" t="s">
        <v>291</v>
      </c>
      <c r="I142" s="392" t="s">
        <v>74</v>
      </c>
      <c r="J142" s="484" t="s">
        <v>70</v>
      </c>
      <c r="K142" s="485" t="s">
        <v>75</v>
      </c>
      <c r="L142" s="363" t="s">
        <v>64</v>
      </c>
      <c r="M142" s="383">
        <v>46206</v>
      </c>
      <c r="N142" s="403" t="s">
        <v>1239</v>
      </c>
      <c r="O142" s="382" t="s">
        <v>1710</v>
      </c>
      <c r="P142" s="417" t="s">
        <v>44</v>
      </c>
      <c r="Q142" s="348"/>
      <c r="R142" s="395" t="s">
        <v>123</v>
      </c>
      <c r="S142" s="380">
        <f>ROUND(15.5*2.54,2)</f>
        <v>39.369999999999997</v>
      </c>
      <c r="T142" s="380">
        <f>ROUND(11.5*2.54,2)</f>
        <v>29.21</v>
      </c>
      <c r="U142" s="380">
        <f>ROUND(8*2.54,2)</f>
        <v>20.32</v>
      </c>
      <c r="V142" s="368">
        <v>6</v>
      </c>
      <c r="W142" s="386">
        <f>ROUND(G142/V142,2)</f>
        <v>756</v>
      </c>
      <c r="X142" s="424">
        <f>4.5*W142</f>
        <v>3402</v>
      </c>
      <c r="Y142" s="347">
        <f>ROUND((S142*T142*U142)*0.000001*W142,2)</f>
        <v>17.670000000000002</v>
      </c>
      <c r="Z142" s="347">
        <v>4.49</v>
      </c>
      <c r="AA142" s="360">
        <f>Z142*G142</f>
        <v>20366.64</v>
      </c>
      <c r="AB142" s="346" t="s">
        <v>46</v>
      </c>
      <c r="AC142" s="362"/>
      <c r="AD142" s="327"/>
      <c r="AE142" s="375"/>
      <c r="AF142" s="375"/>
      <c r="AG142" s="345"/>
      <c r="AH142" s="375"/>
      <c r="AI142" s="345"/>
      <c r="AJ142" s="375"/>
      <c r="AK142" s="375"/>
      <c r="AL142" s="375"/>
      <c r="AM142" s="375"/>
      <c r="AN142" s="375"/>
      <c r="AO142" s="345"/>
      <c r="AP142" s="345"/>
      <c r="AQ142" s="345"/>
      <c r="AR142" s="375"/>
    </row>
    <row r="143" spans="1:44" ht="27" customHeight="1">
      <c r="A143" s="330"/>
      <c r="B143" s="331"/>
      <c r="C143" s="332"/>
      <c r="D143" s="333"/>
      <c r="E143" s="334"/>
      <c r="F143" s="334"/>
      <c r="G143" s="335">
        <f>SUM(G142)</f>
        <v>4536</v>
      </c>
      <c r="H143" s="334"/>
      <c r="I143" s="334"/>
      <c r="J143" s="334"/>
      <c r="K143" s="334"/>
      <c r="L143" s="336"/>
      <c r="M143" s="332"/>
      <c r="N143" s="332"/>
      <c r="O143" s="337"/>
      <c r="P143" s="338"/>
      <c r="Q143" s="337"/>
      <c r="R143" s="339"/>
      <c r="S143" s="340"/>
      <c r="T143" s="340"/>
      <c r="U143" s="340"/>
      <c r="V143" s="340"/>
      <c r="W143" s="341"/>
      <c r="X143" s="342"/>
      <c r="Y143" s="343">
        <f>SUM(Y142)</f>
        <v>17.670000000000002</v>
      </c>
      <c r="Z143" s="342"/>
      <c r="AA143" s="344"/>
      <c r="AB143" s="332"/>
      <c r="AC143" s="332"/>
      <c r="AD143" s="339"/>
      <c r="AE143" s="337"/>
      <c r="AF143" s="338"/>
      <c r="AG143" s="337"/>
      <c r="AH143" s="338"/>
      <c r="AI143" s="337"/>
      <c r="AJ143" s="338"/>
      <c r="AK143" s="338"/>
      <c r="AL143" s="338"/>
      <c r="AM143" s="338"/>
      <c r="AN143" s="338"/>
      <c r="AO143" s="338"/>
      <c r="AP143" s="338"/>
      <c r="AQ143" s="338"/>
      <c r="AR143" s="338"/>
    </row>
    <row r="144" spans="1:44" ht="27.75" customHeight="1">
      <c r="A144" s="351" t="s">
        <v>3474</v>
      </c>
      <c r="B144" s="331"/>
      <c r="C144" s="332"/>
      <c r="D144" s="333"/>
      <c r="E144" s="334"/>
      <c r="F144" s="334"/>
      <c r="G144" s="524"/>
      <c r="H144" s="341"/>
      <c r="I144" s="334"/>
      <c r="J144" s="334"/>
      <c r="K144" s="334"/>
      <c r="L144" s="336"/>
      <c r="M144" s="332"/>
      <c r="N144" s="332"/>
      <c r="O144" s="337"/>
      <c r="P144" s="338"/>
      <c r="Q144" s="337"/>
      <c r="R144" s="339"/>
      <c r="S144" s="340"/>
      <c r="T144" s="340"/>
      <c r="U144" s="340"/>
      <c r="V144" s="340"/>
      <c r="W144" s="341"/>
      <c r="X144" s="342"/>
      <c r="Y144" s="350"/>
      <c r="Z144" s="342"/>
      <c r="AA144" s="344"/>
      <c r="AB144" s="332"/>
      <c r="AC144" s="332"/>
      <c r="AD144" s="339"/>
      <c r="AE144" s="337"/>
      <c r="AF144" s="338"/>
      <c r="AG144" s="337"/>
      <c r="AH144" s="338"/>
      <c r="AI144" s="337"/>
      <c r="AJ144" s="338"/>
      <c r="AK144" s="338"/>
      <c r="AL144" s="338"/>
      <c r="AM144" s="338"/>
      <c r="AN144" s="338"/>
      <c r="AO144" s="338"/>
      <c r="AP144" s="338"/>
      <c r="AQ144" s="338"/>
      <c r="AR144" s="338"/>
    </row>
    <row r="145" spans="1:44" ht="32.25" customHeight="1">
      <c r="A145" s="487">
        <v>45996</v>
      </c>
      <c r="B145" s="445" t="s">
        <v>2336</v>
      </c>
      <c r="C145" s="437" t="s">
        <v>2335</v>
      </c>
      <c r="D145" s="361" t="s">
        <v>2376</v>
      </c>
      <c r="E145" s="525" t="s">
        <v>3335</v>
      </c>
      <c r="F145" s="396" t="s">
        <v>52</v>
      </c>
      <c r="G145" s="428">
        <v>50</v>
      </c>
      <c r="H145" s="702" t="s">
        <v>2342</v>
      </c>
      <c r="I145" s="543" t="s">
        <v>2343</v>
      </c>
      <c r="J145" s="484" t="s">
        <v>59</v>
      </c>
      <c r="K145" s="363" t="s">
        <v>56</v>
      </c>
      <c r="L145" s="392" t="s">
        <v>64</v>
      </c>
      <c r="M145" s="383">
        <v>46207</v>
      </c>
      <c r="N145" s="693" t="s">
        <v>54</v>
      </c>
      <c r="O145" s="425" t="s">
        <v>65</v>
      </c>
      <c r="P145" s="425">
        <v>45940</v>
      </c>
      <c r="Q145" s="425">
        <v>46024</v>
      </c>
      <c r="R145" s="425" t="s">
        <v>59</v>
      </c>
      <c r="S145" s="380">
        <v>165</v>
      </c>
      <c r="T145" s="380">
        <v>123</v>
      </c>
      <c r="U145" s="380">
        <v>25</v>
      </c>
      <c r="V145" s="380">
        <v>1</v>
      </c>
      <c r="W145" s="386">
        <f>ROUND(G145/V145,2)</f>
        <v>50</v>
      </c>
      <c r="X145" s="347">
        <f>50*W145</f>
        <v>2500</v>
      </c>
      <c r="Y145" s="347">
        <f>ROUND((S145*T145*U145)*0.000001*W145,2)</f>
        <v>25.37</v>
      </c>
      <c r="Z145" s="376">
        <v>409.7</v>
      </c>
      <c r="AA145" s="410">
        <f>Z145*G145</f>
        <v>20485</v>
      </c>
      <c r="AB145" s="371" t="s">
        <v>46</v>
      </c>
      <c r="AC145" s="362"/>
      <c r="AD145" s="327"/>
      <c r="AE145" s="425">
        <v>46024</v>
      </c>
      <c r="AF145" s="425">
        <v>46024</v>
      </c>
      <c r="AG145" s="345"/>
      <c r="AH145" s="345"/>
      <c r="AI145" s="345"/>
      <c r="AJ145" s="375"/>
      <c r="AK145" s="375"/>
      <c r="AL145" s="375"/>
      <c r="AM145" s="375"/>
      <c r="AN145" s="345"/>
      <c r="AO145" s="345"/>
      <c r="AP145" s="375"/>
      <c r="AQ145" s="663" t="s">
        <v>1301</v>
      </c>
      <c r="AR145" s="446" t="s">
        <v>1301</v>
      </c>
    </row>
    <row r="146" spans="1:44" ht="30" customHeight="1">
      <c r="A146" s="487">
        <v>46083</v>
      </c>
      <c r="B146" s="445" t="s">
        <v>2470</v>
      </c>
      <c r="C146" s="437" t="s">
        <v>2469</v>
      </c>
      <c r="D146" s="361" t="s">
        <v>2519</v>
      </c>
      <c r="E146" s="736" t="s">
        <v>2468</v>
      </c>
      <c r="F146" s="396" t="s">
        <v>52</v>
      </c>
      <c r="G146" s="486">
        <v>50</v>
      </c>
      <c r="H146" s="730" t="s">
        <v>2158</v>
      </c>
      <c r="I146" s="363" t="s">
        <v>2159</v>
      </c>
      <c r="J146" s="396" t="s">
        <v>603</v>
      </c>
      <c r="K146" s="396" t="s">
        <v>748</v>
      </c>
      <c r="L146" s="427" t="s">
        <v>634</v>
      </c>
      <c r="M146" s="383">
        <v>46207</v>
      </c>
      <c r="N146" s="733"/>
      <c r="O146" s="382" t="s">
        <v>2467</v>
      </c>
      <c r="P146" s="374">
        <v>46006</v>
      </c>
      <c r="Q146" s="535"/>
      <c r="R146" s="390" t="s">
        <v>59</v>
      </c>
      <c r="S146" s="407">
        <v>175</v>
      </c>
      <c r="T146" s="407">
        <v>80</v>
      </c>
      <c r="U146" s="407">
        <v>25</v>
      </c>
      <c r="V146" s="407">
        <v>1</v>
      </c>
      <c r="W146" s="388">
        <f>ROUND(G146/V146,2)</f>
        <v>50</v>
      </c>
      <c r="X146" s="424">
        <f>20*W146</f>
        <v>1000</v>
      </c>
      <c r="Y146" s="408">
        <f>ROUND((S146*T146*U146)*0.000001*W146,2)</f>
        <v>17.5</v>
      </c>
      <c r="Z146" s="376">
        <v>272.32</v>
      </c>
      <c r="AA146" s="360">
        <f>Z146*G146</f>
        <v>13616</v>
      </c>
      <c r="AB146" s="346" t="s">
        <v>46</v>
      </c>
      <c r="AC146" s="362"/>
      <c r="AD146" s="327"/>
      <c r="AE146" s="375"/>
      <c r="AF146" s="375"/>
      <c r="AG146" s="345"/>
      <c r="AH146" s="345"/>
      <c r="AI146" s="345"/>
      <c r="AJ146" s="375"/>
      <c r="AK146" s="375"/>
      <c r="AL146" s="375"/>
      <c r="AM146" s="375"/>
      <c r="AN146" s="375"/>
      <c r="AO146" s="345"/>
      <c r="AP146" s="345"/>
      <c r="AQ146" s="345"/>
      <c r="AR146" s="375" t="s">
        <v>2881</v>
      </c>
    </row>
    <row r="147" spans="1:44" ht="23.25" customHeight="1">
      <c r="A147" s="487">
        <v>46106</v>
      </c>
      <c r="B147" s="445" t="s">
        <v>2798</v>
      </c>
      <c r="C147" s="437" t="s">
        <v>2797</v>
      </c>
      <c r="D147" s="361" t="s">
        <v>2902</v>
      </c>
      <c r="E147" s="736"/>
      <c r="F147" s="396" t="s">
        <v>52</v>
      </c>
      <c r="G147" s="401">
        <v>250</v>
      </c>
      <c r="H147" s="631" t="s">
        <v>2796</v>
      </c>
      <c r="I147" s="363" t="s">
        <v>2569</v>
      </c>
      <c r="J147" s="484" t="s">
        <v>59</v>
      </c>
      <c r="K147" s="392" t="s">
        <v>63</v>
      </c>
      <c r="L147" s="427" t="s">
        <v>68</v>
      </c>
      <c r="M147" s="383">
        <v>46207</v>
      </c>
      <c r="N147" s="733"/>
      <c r="O147" s="398" t="s">
        <v>55</v>
      </c>
      <c r="P147" s="369" t="s">
        <v>44</v>
      </c>
      <c r="Q147" s="425">
        <v>46121</v>
      </c>
      <c r="R147" s="365" t="s">
        <v>49</v>
      </c>
      <c r="S147" s="368">
        <v>87</v>
      </c>
      <c r="T147" s="355">
        <v>36</v>
      </c>
      <c r="U147" s="368">
        <v>64</v>
      </c>
      <c r="V147" s="355">
        <v>6</v>
      </c>
      <c r="W147" s="386">
        <f>ROUND(G147/V147,2)</f>
        <v>41.67</v>
      </c>
      <c r="X147" s="365">
        <f>22*W147</f>
        <v>916.74</v>
      </c>
      <c r="Y147" s="355">
        <f>ROUND((S147*T147*U147)*0.000001*W147,2)</f>
        <v>8.35</v>
      </c>
      <c r="Z147" s="396">
        <v>34.020000000000003</v>
      </c>
      <c r="AA147" s="410">
        <f>Z147*G147</f>
        <v>8505</v>
      </c>
      <c r="AB147" s="346" t="s">
        <v>46</v>
      </c>
      <c r="AD147" s="327"/>
      <c r="AE147" s="425">
        <v>46121</v>
      </c>
      <c r="AF147" s="425">
        <v>46122</v>
      </c>
      <c r="AG147" s="345"/>
      <c r="AH147" s="345"/>
      <c r="AI147" s="345"/>
      <c r="AJ147" s="375"/>
      <c r="AK147" s="375"/>
      <c r="AL147" s="375"/>
      <c r="AM147" s="375"/>
      <c r="AN147" s="345"/>
      <c r="AO147" s="345"/>
      <c r="AP147" s="345"/>
      <c r="AQ147" s="345"/>
      <c r="AR147" s="375" t="s">
        <v>2881</v>
      </c>
    </row>
    <row r="148" spans="1:44" ht="24.75" customHeight="1">
      <c r="A148" s="487">
        <v>46106</v>
      </c>
      <c r="B148" s="445" t="s">
        <v>2800</v>
      </c>
      <c r="C148" s="437" t="s">
        <v>2799</v>
      </c>
      <c r="D148" s="361" t="s">
        <v>2901</v>
      </c>
      <c r="E148" s="609" t="s">
        <v>3105</v>
      </c>
      <c r="F148" s="396" t="s">
        <v>52</v>
      </c>
      <c r="G148" s="401">
        <v>500</v>
      </c>
      <c r="H148" s="484" t="s">
        <v>2349</v>
      </c>
      <c r="I148" s="393" t="s">
        <v>2031</v>
      </c>
      <c r="J148" s="484" t="s">
        <v>59</v>
      </c>
      <c r="K148" s="729" t="s">
        <v>50</v>
      </c>
      <c r="L148" s="427" t="s">
        <v>68</v>
      </c>
      <c r="M148" s="383">
        <v>46207</v>
      </c>
      <c r="N148" s="733"/>
      <c r="O148" s="382" t="s">
        <v>55</v>
      </c>
      <c r="P148" s="628">
        <v>42508</v>
      </c>
      <c r="Q148" s="348"/>
      <c r="R148" s="395" t="s">
        <v>49</v>
      </c>
      <c r="S148" s="407">
        <v>40</v>
      </c>
      <c r="T148" s="407">
        <v>40</v>
      </c>
      <c r="U148" s="407">
        <v>65</v>
      </c>
      <c r="V148" s="368">
        <v>5</v>
      </c>
      <c r="W148" s="386">
        <f>ROUND(G148/V148,2)</f>
        <v>100</v>
      </c>
      <c r="X148" s="365">
        <f>14*W148</f>
        <v>1400</v>
      </c>
      <c r="Y148" s="347">
        <f>ROUND((S148*T148*U148)*0.000001*W148,2)</f>
        <v>10.4</v>
      </c>
      <c r="Z148" s="396">
        <v>41.95</v>
      </c>
      <c r="AA148" s="411">
        <f>Z148*G148</f>
        <v>20975</v>
      </c>
      <c r="AB148" s="346" t="s">
        <v>46</v>
      </c>
      <c r="AD148" s="327"/>
      <c r="AE148" s="375"/>
      <c r="AF148" s="375"/>
      <c r="AG148" s="345"/>
      <c r="AH148" s="345"/>
      <c r="AI148" s="345"/>
      <c r="AJ148" s="375"/>
      <c r="AK148" s="375"/>
      <c r="AL148" s="375"/>
      <c r="AM148" s="375"/>
      <c r="AN148" s="375"/>
      <c r="AO148" s="345"/>
      <c r="AP148" s="375"/>
      <c r="AQ148" s="446" t="s">
        <v>2075</v>
      </c>
      <c r="AR148" s="375">
        <v>46157</v>
      </c>
    </row>
    <row r="149" spans="1:44" ht="27" customHeight="1">
      <c r="A149" s="487">
        <v>46099</v>
      </c>
      <c r="B149" s="445" t="s">
        <v>2566</v>
      </c>
      <c r="C149" s="437" t="s">
        <v>2565</v>
      </c>
      <c r="D149" s="361" t="s">
        <v>2889</v>
      </c>
      <c r="E149" s="609" t="s">
        <v>3107</v>
      </c>
      <c r="F149" s="396" t="s">
        <v>52</v>
      </c>
      <c r="G149" s="421">
        <v>100</v>
      </c>
      <c r="H149" s="631" t="s">
        <v>2349</v>
      </c>
      <c r="I149" s="393" t="s">
        <v>2031</v>
      </c>
      <c r="J149" s="484" t="s">
        <v>59</v>
      </c>
      <c r="K149" s="729" t="s">
        <v>50</v>
      </c>
      <c r="L149" s="363" t="s">
        <v>68</v>
      </c>
      <c r="M149" s="383">
        <v>46207</v>
      </c>
      <c r="N149" s="328"/>
      <c r="O149" s="382" t="s">
        <v>55</v>
      </c>
      <c r="P149" s="628">
        <v>42508</v>
      </c>
      <c r="Q149" s="348"/>
      <c r="R149" s="395" t="s">
        <v>49</v>
      </c>
      <c r="S149" s="407">
        <v>40</v>
      </c>
      <c r="T149" s="407">
        <v>40</v>
      </c>
      <c r="U149" s="407">
        <v>65</v>
      </c>
      <c r="V149" s="368">
        <v>5</v>
      </c>
      <c r="W149" s="386">
        <f>ROUND(G149/V149,2)</f>
        <v>20</v>
      </c>
      <c r="X149" s="365">
        <f>14*W149</f>
        <v>280</v>
      </c>
      <c r="Y149" s="347">
        <f>ROUND((S149*T149*U149)*0.000001*W149,2)</f>
        <v>2.08</v>
      </c>
      <c r="Z149" s="396">
        <v>41.95</v>
      </c>
      <c r="AA149" s="411">
        <f>Z149*G149</f>
        <v>4195</v>
      </c>
      <c r="AB149" s="346" t="s">
        <v>46</v>
      </c>
      <c r="AC149" s="362"/>
      <c r="AD149" s="327"/>
      <c r="AE149" s="375"/>
      <c r="AF149" s="375"/>
      <c r="AG149" s="345"/>
      <c r="AH149" s="345"/>
      <c r="AI149" s="345"/>
      <c r="AJ149" s="375"/>
      <c r="AK149" s="375"/>
      <c r="AL149" s="375"/>
      <c r="AM149" s="375"/>
      <c r="AN149" s="375"/>
      <c r="AO149" s="345"/>
      <c r="AP149" s="375"/>
      <c r="AQ149" s="446" t="s">
        <v>2075</v>
      </c>
      <c r="AR149" s="375">
        <v>46157</v>
      </c>
    </row>
    <row r="150" spans="1:44" ht="27" customHeight="1">
      <c r="A150" s="330"/>
      <c r="B150" s="331"/>
      <c r="C150" s="332"/>
      <c r="D150" s="333"/>
      <c r="E150" s="334"/>
      <c r="F150" s="334"/>
      <c r="G150" s="335">
        <f>SUM(G145:G149)</f>
        <v>950</v>
      </c>
      <c r="H150" s="334"/>
      <c r="I150" s="334"/>
      <c r="J150" s="334"/>
      <c r="K150" s="334"/>
      <c r="L150" s="336"/>
      <c r="M150" s="332"/>
      <c r="N150" s="332"/>
      <c r="O150" s="337"/>
      <c r="P150" s="338"/>
      <c r="Q150" s="337"/>
      <c r="R150" s="339"/>
      <c r="S150" s="340"/>
      <c r="T150" s="340"/>
      <c r="U150" s="340"/>
      <c r="V150" s="340"/>
      <c r="W150" s="341"/>
      <c r="X150" s="342"/>
      <c r="Y150" s="343">
        <f>SUM(Y145:Y149)</f>
        <v>63.7</v>
      </c>
      <c r="Z150" s="342"/>
      <c r="AA150" s="344"/>
      <c r="AB150" s="332"/>
      <c r="AC150" s="332"/>
      <c r="AD150" s="339"/>
      <c r="AE150" s="337"/>
      <c r="AF150" s="338"/>
      <c r="AG150" s="337"/>
      <c r="AH150" s="338"/>
      <c r="AI150" s="337"/>
      <c r="AJ150" s="338"/>
      <c r="AK150" s="338"/>
      <c r="AL150" s="338"/>
      <c r="AM150" s="338"/>
      <c r="AN150" s="338"/>
      <c r="AO150" s="338"/>
      <c r="AP150" s="338"/>
      <c r="AQ150" s="338"/>
      <c r="AR150" s="338"/>
    </row>
    <row r="151" spans="1:44" ht="27.75" customHeight="1">
      <c r="A151" s="351" t="s">
        <v>3053</v>
      </c>
      <c r="B151" s="331"/>
      <c r="C151" s="332"/>
      <c r="D151" s="333"/>
      <c r="E151" s="334"/>
      <c r="F151" s="334"/>
      <c r="G151" s="524"/>
      <c r="H151" s="341"/>
      <c r="I151" s="334"/>
      <c r="J151" s="334"/>
      <c r="K151" s="334"/>
      <c r="L151" s="336"/>
      <c r="M151" s="332"/>
      <c r="N151" s="332"/>
      <c r="O151" s="337"/>
      <c r="P151" s="338"/>
      <c r="Q151" s="337"/>
      <c r="R151" s="339"/>
      <c r="S151" s="340"/>
      <c r="T151" s="340"/>
      <c r="U151" s="340"/>
      <c r="V151" s="340"/>
      <c r="W151" s="341"/>
      <c r="X151" s="342"/>
      <c r="Y151" s="350"/>
      <c r="Z151" s="342"/>
      <c r="AA151" s="344"/>
      <c r="AB151" s="332"/>
      <c r="AC151" s="332"/>
      <c r="AD151" s="339"/>
      <c r="AE151" s="337"/>
      <c r="AF151" s="338"/>
      <c r="AG151" s="337"/>
      <c r="AH151" s="338"/>
      <c r="AI151" s="337"/>
      <c r="AJ151" s="338"/>
      <c r="AK151" s="338"/>
      <c r="AL151" s="338"/>
      <c r="AM151" s="338"/>
      <c r="AN151" s="338"/>
      <c r="AO151" s="338"/>
      <c r="AP151" s="338"/>
      <c r="AQ151" s="338"/>
      <c r="AR151" s="338"/>
    </row>
    <row r="152" spans="1:44" ht="30" customHeight="1">
      <c r="A152" s="487">
        <v>46100</v>
      </c>
      <c r="B152" s="445" t="s">
        <v>2585</v>
      </c>
      <c r="C152" s="437" t="s">
        <v>2541</v>
      </c>
      <c r="D152" s="361"/>
      <c r="E152" s="525" t="s">
        <v>3462</v>
      </c>
      <c r="F152" s="396" t="s">
        <v>52</v>
      </c>
      <c r="G152" s="396">
        <v>100</v>
      </c>
      <c r="H152" s="393" t="s">
        <v>1270</v>
      </c>
      <c r="I152" s="404" t="s">
        <v>2233</v>
      </c>
      <c r="J152" s="484" t="s">
        <v>59</v>
      </c>
      <c r="K152" s="404" t="s">
        <v>63</v>
      </c>
      <c r="L152" s="392" t="s">
        <v>64</v>
      </c>
      <c r="M152" s="383">
        <v>46209</v>
      </c>
      <c r="N152" s="403" t="s">
        <v>54</v>
      </c>
      <c r="O152" s="369" t="s">
        <v>1386</v>
      </c>
      <c r="P152" s="395">
        <v>45320</v>
      </c>
      <c r="Q152" s="348"/>
      <c r="R152" s="390" t="s">
        <v>59</v>
      </c>
      <c r="S152" s="683">
        <v>134</v>
      </c>
      <c r="T152" s="683">
        <v>102</v>
      </c>
      <c r="U152" s="683">
        <v>20</v>
      </c>
      <c r="V152" s="389">
        <v>1</v>
      </c>
      <c r="W152" s="347">
        <f>ROUND(G152/V152,2)</f>
        <v>100</v>
      </c>
      <c r="X152" s="682">
        <f>50*W152</f>
        <v>5000</v>
      </c>
      <c r="Y152" s="414">
        <f>ROUND((S152*T152*U152)*0.000001*W152,2)</f>
        <v>27.34</v>
      </c>
      <c r="Z152" s="761">
        <v>305.75</v>
      </c>
      <c r="AA152" s="360">
        <f>Z152*G152</f>
        <v>30575</v>
      </c>
      <c r="AB152" s="355" t="s">
        <v>46</v>
      </c>
      <c r="AC152" s="355"/>
      <c r="AD152" s="327"/>
      <c r="AE152" s="375"/>
      <c r="AF152" s="375"/>
      <c r="AG152" s="345"/>
      <c r="AH152" s="345"/>
      <c r="AI152" s="345"/>
      <c r="AJ152" s="720" t="s">
        <v>3393</v>
      </c>
      <c r="AK152" s="375"/>
      <c r="AL152" s="375"/>
      <c r="AM152" s="375"/>
      <c r="AN152" s="375"/>
      <c r="AO152" s="345"/>
      <c r="AP152" s="375"/>
      <c r="AQ152" s="375" t="s">
        <v>3381</v>
      </c>
      <c r="AR152" s="375"/>
    </row>
    <row r="153" spans="1:44" ht="30" customHeight="1">
      <c r="A153" s="487">
        <v>46122</v>
      </c>
      <c r="B153" s="445" t="s">
        <v>3007</v>
      </c>
      <c r="C153" s="437" t="s">
        <v>3006</v>
      </c>
      <c r="D153" s="361"/>
      <c r="E153" s="736" t="s">
        <v>3015</v>
      </c>
      <c r="F153" s="396" t="s">
        <v>52</v>
      </c>
      <c r="G153" s="392">
        <v>200</v>
      </c>
      <c r="H153" s="498" t="s">
        <v>3005</v>
      </c>
      <c r="I153" s="363" t="s">
        <v>66</v>
      </c>
      <c r="J153" s="484" t="s">
        <v>59</v>
      </c>
      <c r="K153" s="391" t="s">
        <v>56</v>
      </c>
      <c r="L153" s="392" t="s">
        <v>2320</v>
      </c>
      <c r="M153" s="383">
        <v>46209</v>
      </c>
      <c r="N153" s="863"/>
      <c r="O153" s="382" t="s">
        <v>65</v>
      </c>
      <c r="P153" s="356">
        <v>44621</v>
      </c>
      <c r="Q153" s="348"/>
      <c r="R153" s="390" t="s">
        <v>59</v>
      </c>
      <c r="S153" s="380">
        <v>65</v>
      </c>
      <c r="T153" s="380">
        <v>65</v>
      </c>
      <c r="U153" s="380">
        <v>55</v>
      </c>
      <c r="V153" s="380">
        <v>4</v>
      </c>
      <c r="W153" s="364">
        <f>ROUND(G153/V153,2)</f>
        <v>50</v>
      </c>
      <c r="X153" s="386">
        <f>13.5*W153</f>
        <v>675</v>
      </c>
      <c r="Y153" s="386">
        <f>ROUND((S153*T153*U153)*0.000001*W153,2)</f>
        <v>11.62</v>
      </c>
      <c r="Z153" s="879">
        <v>47.4</v>
      </c>
      <c r="AA153" s="360">
        <f>Z153*G153</f>
        <v>9480</v>
      </c>
      <c r="AB153" s="355" t="s">
        <v>46</v>
      </c>
      <c r="AC153" s="355" t="s">
        <v>46</v>
      </c>
      <c r="AD153" s="327"/>
      <c r="AE153" s="375"/>
      <c r="AF153" s="375"/>
      <c r="AG153" s="345"/>
      <c r="AH153" s="345"/>
      <c r="AI153" s="345"/>
      <c r="AJ153" s="375"/>
      <c r="AK153" s="375"/>
      <c r="AL153" s="375"/>
      <c r="AM153" s="375"/>
      <c r="AN153" s="375"/>
      <c r="AO153" s="345"/>
      <c r="AP153" s="345"/>
      <c r="AQ153" s="345"/>
      <c r="AR153" s="375" t="s">
        <v>2881</v>
      </c>
    </row>
    <row r="154" spans="1:44" ht="26.25" customHeight="1">
      <c r="A154" s="487">
        <v>46136</v>
      </c>
      <c r="B154" s="445" t="s">
        <v>3141</v>
      </c>
      <c r="C154" s="437" t="s">
        <v>3140</v>
      </c>
      <c r="D154" s="361"/>
      <c r="E154" s="736"/>
      <c r="F154" s="396" t="s">
        <v>52</v>
      </c>
      <c r="G154" s="392">
        <v>500</v>
      </c>
      <c r="H154" s="631" t="s">
        <v>633</v>
      </c>
      <c r="I154" s="393" t="s">
        <v>632</v>
      </c>
      <c r="J154" s="393" t="s">
        <v>631</v>
      </c>
      <c r="K154" s="392" t="s">
        <v>56</v>
      </c>
      <c r="L154" s="427" t="s">
        <v>634</v>
      </c>
      <c r="M154" s="383">
        <v>46209</v>
      </c>
      <c r="N154" s="505"/>
      <c r="O154" s="382" t="s">
        <v>629</v>
      </c>
      <c r="P154" s="409">
        <v>42600</v>
      </c>
      <c r="Q154" s="425">
        <v>46149</v>
      </c>
      <c r="R154" s="366" t="s">
        <v>2147</v>
      </c>
      <c r="S154" s="549">
        <v>60</v>
      </c>
      <c r="T154" s="549">
        <v>30</v>
      </c>
      <c r="U154" s="549">
        <v>84</v>
      </c>
      <c r="V154" s="549">
        <v>5</v>
      </c>
      <c r="W154" s="386">
        <f>ROUND(G154/V154,2)</f>
        <v>100</v>
      </c>
      <c r="X154" s="407">
        <f>26.5*W154</f>
        <v>2650</v>
      </c>
      <c r="Y154" s="347">
        <f>ROUND((S154*T154*U154)*0.000001*W154,2)</f>
        <v>15.12</v>
      </c>
      <c r="Z154" s="376">
        <v>35.15</v>
      </c>
      <c r="AA154" s="360">
        <f>Z154*G154</f>
        <v>17575</v>
      </c>
      <c r="AB154" s="346" t="s">
        <v>46</v>
      </c>
      <c r="AC154" s="355"/>
      <c r="AD154" s="327"/>
      <c r="AE154" s="425">
        <v>46149</v>
      </c>
      <c r="AF154" s="425">
        <v>46149</v>
      </c>
      <c r="AG154" s="345"/>
      <c r="AH154" s="375"/>
      <c r="AI154" s="345"/>
      <c r="AJ154" s="720" t="s">
        <v>3405</v>
      </c>
      <c r="AK154" s="375"/>
      <c r="AL154" s="375"/>
      <c r="AM154" s="375"/>
      <c r="AN154" s="345"/>
      <c r="AO154" s="345"/>
      <c r="AP154" s="375"/>
      <c r="AQ154" s="375">
        <v>46183</v>
      </c>
      <c r="AR154" s="375" t="s">
        <v>2881</v>
      </c>
    </row>
    <row r="155" spans="1:44" ht="27" customHeight="1">
      <c r="A155" s="330"/>
      <c r="B155" s="331"/>
      <c r="C155" s="332"/>
      <c r="D155" s="333"/>
      <c r="E155" s="334"/>
      <c r="F155" s="334"/>
      <c r="G155" s="335">
        <f>SUM(G152:G154)</f>
        <v>800</v>
      </c>
      <c r="H155" s="334"/>
      <c r="I155" s="334"/>
      <c r="J155" s="334"/>
      <c r="K155" s="334"/>
      <c r="L155" s="336"/>
      <c r="M155" s="332"/>
      <c r="N155" s="332"/>
      <c r="O155" s="337"/>
      <c r="P155" s="338"/>
      <c r="Q155" s="337"/>
      <c r="R155" s="339"/>
      <c r="S155" s="340"/>
      <c r="T155" s="340"/>
      <c r="U155" s="340"/>
      <c r="V155" s="340"/>
      <c r="W155" s="341"/>
      <c r="X155" s="342"/>
      <c r="Y155" s="343">
        <f>SUM(Y152:Y154)</f>
        <v>54.08</v>
      </c>
      <c r="Z155" s="342"/>
      <c r="AA155" s="344"/>
      <c r="AB155" s="332"/>
      <c r="AC155" s="332"/>
      <c r="AD155" s="339"/>
      <c r="AE155" s="337"/>
      <c r="AF155" s="338"/>
      <c r="AG155" s="337"/>
      <c r="AH155" s="338"/>
      <c r="AI155" s="337"/>
      <c r="AJ155" s="338"/>
      <c r="AK155" s="338"/>
      <c r="AL155" s="338"/>
      <c r="AM155" s="338"/>
      <c r="AN155" s="338"/>
      <c r="AO155" s="338"/>
      <c r="AP155" s="338"/>
      <c r="AQ155" s="338"/>
      <c r="AR155" s="338"/>
    </row>
    <row r="156" spans="1:44" ht="27.75" customHeight="1">
      <c r="A156" s="351" t="s">
        <v>3054</v>
      </c>
      <c r="B156" s="331"/>
      <c r="C156" s="332"/>
      <c r="D156" s="333"/>
      <c r="E156" s="334"/>
      <c r="F156" s="334"/>
      <c r="G156" s="524"/>
      <c r="H156" s="341"/>
      <c r="I156" s="334"/>
      <c r="J156" s="334"/>
      <c r="K156" s="334"/>
      <c r="L156" s="336"/>
      <c r="M156" s="332"/>
      <c r="N156" s="332"/>
      <c r="O156" s="337"/>
      <c r="P156" s="338"/>
      <c r="Q156" s="337"/>
      <c r="R156" s="339"/>
      <c r="S156" s="340"/>
      <c r="T156" s="340"/>
      <c r="U156" s="340"/>
      <c r="V156" s="340"/>
      <c r="W156" s="341"/>
      <c r="X156" s="342"/>
      <c r="Y156" s="350"/>
      <c r="Z156" s="342"/>
      <c r="AA156" s="344"/>
      <c r="AB156" s="332"/>
      <c r="AC156" s="332"/>
      <c r="AD156" s="339"/>
      <c r="AE156" s="337"/>
      <c r="AF156" s="338"/>
      <c r="AG156" s="337"/>
      <c r="AH156" s="338"/>
      <c r="AI156" s="337"/>
      <c r="AJ156" s="338"/>
      <c r="AK156" s="338"/>
      <c r="AL156" s="338"/>
      <c r="AM156" s="338"/>
      <c r="AN156" s="338"/>
      <c r="AO156" s="338"/>
      <c r="AP156" s="338"/>
      <c r="AQ156" s="338"/>
      <c r="AR156" s="338"/>
    </row>
    <row r="157" spans="1:44" ht="30" customHeight="1">
      <c r="A157" s="487">
        <v>46100</v>
      </c>
      <c r="B157" s="445" t="s">
        <v>2585</v>
      </c>
      <c r="C157" s="437" t="s">
        <v>2542</v>
      </c>
      <c r="D157" s="361"/>
      <c r="E157" s="525" t="s">
        <v>2526</v>
      </c>
      <c r="F157" s="396" t="s">
        <v>52</v>
      </c>
      <c r="G157" s="396">
        <v>100</v>
      </c>
      <c r="H157" s="393" t="s">
        <v>1270</v>
      </c>
      <c r="I157" s="404" t="s">
        <v>2233</v>
      </c>
      <c r="J157" s="484" t="s">
        <v>59</v>
      </c>
      <c r="K157" s="404" t="s">
        <v>63</v>
      </c>
      <c r="L157" s="392" t="s">
        <v>64</v>
      </c>
      <c r="M157" s="383">
        <v>46214</v>
      </c>
      <c r="N157" s="665" t="s">
        <v>54</v>
      </c>
      <c r="O157" s="369" t="s">
        <v>1386</v>
      </c>
      <c r="P157" s="395">
        <v>45320</v>
      </c>
      <c r="Q157" s="348"/>
      <c r="R157" s="390" t="s">
        <v>59</v>
      </c>
      <c r="S157" s="683">
        <v>134</v>
      </c>
      <c r="T157" s="683">
        <v>102</v>
      </c>
      <c r="U157" s="683">
        <v>20</v>
      </c>
      <c r="V157" s="389">
        <v>1</v>
      </c>
      <c r="W157" s="347">
        <f t="shared" ref="W157:W164" si="29">ROUND(G157/V157,2)</f>
        <v>100</v>
      </c>
      <c r="X157" s="682">
        <f>50*W157</f>
        <v>5000</v>
      </c>
      <c r="Y157" s="414">
        <f>ROUND((S157*T157*U157)*0.000001*W157,2)</f>
        <v>27.34</v>
      </c>
      <c r="Z157" s="761">
        <v>305.75</v>
      </c>
      <c r="AA157" s="360">
        <f t="shared" ref="AA157:AA164" si="30">Z157*G157</f>
        <v>30575</v>
      </c>
      <c r="AB157" s="355" t="s">
        <v>46</v>
      </c>
      <c r="AC157" s="355"/>
      <c r="AD157" s="327"/>
      <c r="AE157" s="375"/>
      <c r="AF157" s="375"/>
      <c r="AG157" s="345"/>
      <c r="AH157" s="345"/>
      <c r="AI157" s="345"/>
      <c r="AJ157" s="375"/>
      <c r="AK157" s="375"/>
      <c r="AL157" s="375"/>
      <c r="AM157" s="375"/>
      <c r="AN157" s="375"/>
      <c r="AO157" s="345"/>
      <c r="AP157" s="375"/>
      <c r="AQ157" s="375"/>
      <c r="AR157" s="375"/>
    </row>
    <row r="158" spans="1:44" ht="45" customHeight="1">
      <c r="A158" s="487">
        <v>46140</v>
      </c>
      <c r="B158" s="445" t="s">
        <v>3218</v>
      </c>
      <c r="C158" s="437" t="s">
        <v>3217</v>
      </c>
      <c r="D158" s="361"/>
      <c r="E158" s="736"/>
      <c r="F158" s="396" t="s">
        <v>52</v>
      </c>
      <c r="G158" s="392">
        <v>500</v>
      </c>
      <c r="H158" s="881" t="s">
        <v>3235</v>
      </c>
      <c r="I158" s="418" t="s">
        <v>2819</v>
      </c>
      <c r="J158" s="484" t="s">
        <v>59</v>
      </c>
      <c r="K158" s="418" t="s">
        <v>53</v>
      </c>
      <c r="L158" s="363" t="s">
        <v>68</v>
      </c>
      <c r="M158" s="383">
        <v>46214</v>
      </c>
      <c r="N158" s="505"/>
      <c r="O158" s="382" t="s">
        <v>55</v>
      </c>
      <c r="P158" s="628">
        <v>42508</v>
      </c>
      <c r="Q158" s="348"/>
      <c r="R158" s="395" t="s">
        <v>49</v>
      </c>
      <c r="S158" s="407">
        <v>37</v>
      </c>
      <c r="T158" s="407">
        <v>37</v>
      </c>
      <c r="U158" s="407">
        <v>65</v>
      </c>
      <c r="V158" s="368">
        <v>5</v>
      </c>
      <c r="W158" s="386">
        <f t="shared" si="29"/>
        <v>100</v>
      </c>
      <c r="X158" s="365">
        <f>14*W158</f>
        <v>1400</v>
      </c>
      <c r="Y158" s="347">
        <f>ROUND((S158*T158*U158)*0.000001*W158,2)</f>
        <v>8.9</v>
      </c>
      <c r="Z158" s="396">
        <v>39.340000000000003</v>
      </c>
      <c r="AA158" s="411">
        <f t="shared" si="30"/>
        <v>19670</v>
      </c>
      <c r="AB158" s="346" t="s">
        <v>46</v>
      </c>
      <c r="AC158" s="355" t="s">
        <v>46</v>
      </c>
      <c r="AD158" s="327"/>
      <c r="AE158" s="375"/>
      <c r="AF158" s="375"/>
      <c r="AG158" s="345"/>
      <c r="AH158" s="345"/>
      <c r="AI158" s="345"/>
      <c r="AJ158" s="375"/>
      <c r="AK158" s="375"/>
      <c r="AL158" s="375"/>
      <c r="AM158" s="375"/>
      <c r="AN158" s="375"/>
      <c r="AO158" s="345"/>
      <c r="AP158" s="375"/>
      <c r="AQ158" s="375">
        <v>46183</v>
      </c>
      <c r="AR158" s="375" t="s">
        <v>2881</v>
      </c>
    </row>
    <row r="159" spans="1:44" ht="45" customHeight="1">
      <c r="A159" s="487">
        <v>46136</v>
      </c>
      <c r="B159" s="445" t="s">
        <v>3216</v>
      </c>
      <c r="C159" s="437" t="s">
        <v>3215</v>
      </c>
      <c r="D159" s="361"/>
      <c r="E159" s="736"/>
      <c r="F159" s="396" t="s">
        <v>52</v>
      </c>
      <c r="G159" s="392">
        <v>200</v>
      </c>
      <c r="H159" s="631" t="s">
        <v>3214</v>
      </c>
      <c r="I159" s="358" t="s">
        <v>3213</v>
      </c>
      <c r="J159" s="352" t="s">
        <v>59</v>
      </c>
      <c r="K159" s="875" t="s">
        <v>63</v>
      </c>
      <c r="L159" s="384" t="s">
        <v>2076</v>
      </c>
      <c r="M159" s="383">
        <v>46214</v>
      </c>
      <c r="N159" s="505"/>
      <c r="O159" s="382"/>
      <c r="P159" s="941"/>
      <c r="Q159" s="425">
        <v>46154</v>
      </c>
      <c r="R159" s="366" t="s">
        <v>3202</v>
      </c>
      <c r="S159" s="683">
        <v>60</v>
      </c>
      <c r="T159" s="683">
        <v>40</v>
      </c>
      <c r="U159" s="683">
        <v>50</v>
      </c>
      <c r="V159" s="683">
        <v>200</v>
      </c>
      <c r="W159" s="698">
        <f t="shared" si="29"/>
        <v>1</v>
      </c>
      <c r="X159" s="698">
        <f>17.5*W159</f>
        <v>17.5</v>
      </c>
      <c r="Y159" s="698">
        <v>0</v>
      </c>
      <c r="Z159" s="945">
        <v>1.53</v>
      </c>
      <c r="AA159" s="944">
        <f t="shared" si="30"/>
        <v>306</v>
      </c>
      <c r="AB159" s="346" t="s">
        <v>46</v>
      </c>
      <c r="AC159" s="355" t="s">
        <v>46</v>
      </c>
      <c r="AD159" s="327"/>
      <c r="AE159" s="425">
        <v>46154</v>
      </c>
      <c r="AF159" s="425">
        <v>46154</v>
      </c>
      <c r="AG159" s="345"/>
      <c r="AH159" s="345"/>
      <c r="AI159" s="345"/>
      <c r="AJ159" s="375"/>
      <c r="AK159" s="375"/>
      <c r="AL159" s="375"/>
      <c r="AM159" s="375"/>
      <c r="AN159" s="375"/>
      <c r="AO159" s="345"/>
      <c r="AP159" s="345"/>
      <c r="AQ159" s="345"/>
      <c r="AR159" s="446" t="s">
        <v>2525</v>
      </c>
    </row>
    <row r="160" spans="1:44" ht="26.25" customHeight="1">
      <c r="A160" s="487">
        <v>46136</v>
      </c>
      <c r="B160" s="445" t="s">
        <v>3133</v>
      </c>
      <c r="C160" s="437" t="s">
        <v>3134</v>
      </c>
      <c r="D160" s="361" t="s">
        <v>3309</v>
      </c>
      <c r="E160" s="736"/>
      <c r="F160" s="396" t="s">
        <v>52</v>
      </c>
      <c r="G160" s="392">
        <v>500</v>
      </c>
      <c r="H160" s="484" t="s">
        <v>3131</v>
      </c>
      <c r="I160" s="392" t="s">
        <v>1187</v>
      </c>
      <c r="J160" s="392" t="s">
        <v>3130</v>
      </c>
      <c r="K160" s="392" t="s">
        <v>56</v>
      </c>
      <c r="L160" s="384" t="s">
        <v>72</v>
      </c>
      <c r="M160" s="383">
        <v>46214</v>
      </c>
      <c r="N160" s="505"/>
      <c r="O160" s="382" t="s">
        <v>55</v>
      </c>
      <c r="P160" s="715" t="s">
        <v>44</v>
      </c>
      <c r="Q160" s="425">
        <v>46148</v>
      </c>
      <c r="R160" s="390" t="s">
        <v>57</v>
      </c>
      <c r="S160" s="389">
        <v>36</v>
      </c>
      <c r="T160" s="389">
        <v>36</v>
      </c>
      <c r="U160" s="389">
        <v>57</v>
      </c>
      <c r="V160" s="389">
        <v>5</v>
      </c>
      <c r="W160" s="388">
        <f t="shared" si="29"/>
        <v>100</v>
      </c>
      <c r="X160" s="385">
        <f>9*W160</f>
        <v>900</v>
      </c>
      <c r="Y160" s="930">
        <f>ROUND((S160*T160*U160)*0.000001*W160,2)</f>
        <v>7.39</v>
      </c>
      <c r="Z160" s="772">
        <v>14.57</v>
      </c>
      <c r="AA160" s="778">
        <f t="shared" si="30"/>
        <v>7285</v>
      </c>
      <c r="AB160" s="716" t="s">
        <v>46</v>
      </c>
      <c r="AC160" s="355"/>
      <c r="AD160" s="327"/>
      <c r="AE160" s="425">
        <v>46148</v>
      </c>
      <c r="AF160" s="425">
        <v>46148</v>
      </c>
      <c r="AG160" s="345"/>
      <c r="AH160" s="375"/>
      <c r="AI160" s="345"/>
      <c r="AJ160" s="375"/>
      <c r="AK160" s="375"/>
      <c r="AL160" s="375"/>
      <c r="AM160" s="375"/>
      <c r="AN160" s="345"/>
      <c r="AO160" s="345"/>
      <c r="AP160" s="375"/>
      <c r="AQ160" s="375">
        <v>46183</v>
      </c>
      <c r="AR160" s="375" t="s">
        <v>2881</v>
      </c>
    </row>
    <row r="161" spans="1:44" ht="26.25" customHeight="1">
      <c r="A161" s="487">
        <v>46136</v>
      </c>
      <c r="B161" s="445" t="s">
        <v>3133</v>
      </c>
      <c r="C161" s="437" t="s">
        <v>3132</v>
      </c>
      <c r="D161" s="361" t="s">
        <v>3310</v>
      </c>
      <c r="E161" s="736"/>
      <c r="F161" s="396" t="s">
        <v>52</v>
      </c>
      <c r="G161" s="392">
        <v>250</v>
      </c>
      <c r="H161" s="484" t="s">
        <v>3131</v>
      </c>
      <c r="I161" s="392" t="s">
        <v>1187</v>
      </c>
      <c r="J161" s="392" t="s">
        <v>3130</v>
      </c>
      <c r="K161" s="392" t="s">
        <v>56</v>
      </c>
      <c r="L161" s="384" t="s">
        <v>72</v>
      </c>
      <c r="M161" s="383">
        <v>46214</v>
      </c>
      <c r="N161" s="505"/>
      <c r="O161" s="382" t="s">
        <v>55</v>
      </c>
      <c r="P161" s="715" t="s">
        <v>44</v>
      </c>
      <c r="Q161" s="425">
        <v>46148</v>
      </c>
      <c r="R161" s="390" t="s">
        <v>57</v>
      </c>
      <c r="S161" s="389">
        <v>36</v>
      </c>
      <c r="T161" s="389">
        <v>36</v>
      </c>
      <c r="U161" s="389">
        <v>57</v>
      </c>
      <c r="V161" s="389">
        <v>5</v>
      </c>
      <c r="W161" s="388">
        <f t="shared" si="29"/>
        <v>50</v>
      </c>
      <c r="X161" s="385">
        <f>9*W161</f>
        <v>450</v>
      </c>
      <c r="Y161" s="930">
        <f>ROUND((S161*T161*U161)*0.000001*W161,2)</f>
        <v>3.69</v>
      </c>
      <c r="Z161" s="772">
        <v>14.57</v>
      </c>
      <c r="AA161" s="778">
        <f t="shared" si="30"/>
        <v>3642.5</v>
      </c>
      <c r="AB161" s="716" t="s">
        <v>46</v>
      </c>
      <c r="AC161" s="355"/>
      <c r="AD161" s="327"/>
      <c r="AE161" s="425">
        <v>46148</v>
      </c>
      <c r="AF161" s="425">
        <v>46148</v>
      </c>
      <c r="AG161" s="345"/>
      <c r="AH161" s="375"/>
      <c r="AI161" s="345"/>
      <c r="AJ161" s="375"/>
      <c r="AK161" s="375"/>
      <c r="AL161" s="375"/>
      <c r="AM161" s="375"/>
      <c r="AN161" s="345"/>
      <c r="AO161" s="345"/>
      <c r="AP161" s="375"/>
      <c r="AQ161" s="375">
        <v>46183</v>
      </c>
      <c r="AR161" s="375" t="s">
        <v>2881</v>
      </c>
    </row>
    <row r="162" spans="1:44" ht="30" customHeight="1">
      <c r="A162" s="487">
        <v>46134</v>
      </c>
      <c r="B162" s="445" t="s">
        <v>3102</v>
      </c>
      <c r="C162" s="437" t="s">
        <v>3104</v>
      </c>
      <c r="D162" s="361" t="s">
        <v>3300</v>
      </c>
      <c r="E162" s="736"/>
      <c r="F162" s="396" t="s">
        <v>52</v>
      </c>
      <c r="G162" s="392">
        <v>50</v>
      </c>
      <c r="H162" s="488" t="s">
        <v>2272</v>
      </c>
      <c r="I162" s="914" t="s">
        <v>89</v>
      </c>
      <c r="J162" s="914" t="s">
        <v>3103</v>
      </c>
      <c r="K162" s="644" t="s">
        <v>159</v>
      </c>
      <c r="L162" s="488" t="s">
        <v>60</v>
      </c>
      <c r="M162" s="383">
        <v>46214</v>
      </c>
      <c r="N162" s="505"/>
      <c r="O162" s="358"/>
      <c r="P162" s="495">
        <v>46133</v>
      </c>
      <c r="Q162" s="503"/>
      <c r="R162" s="390" t="s">
        <v>1674</v>
      </c>
      <c r="S162" s="380">
        <v>47</v>
      </c>
      <c r="T162" s="380">
        <v>61</v>
      </c>
      <c r="U162" s="380">
        <v>61</v>
      </c>
      <c r="V162" s="368">
        <v>4</v>
      </c>
      <c r="W162" s="386">
        <f t="shared" si="29"/>
        <v>12.5</v>
      </c>
      <c r="X162" s="385">
        <f>9*W162</f>
        <v>112.5</v>
      </c>
      <c r="Y162" s="420">
        <f>ROUND((S162*T162*U162)*0.000001*W162,2)</f>
        <v>2.19</v>
      </c>
      <c r="Z162" s="641">
        <v>17.39</v>
      </c>
      <c r="AA162" s="913">
        <f t="shared" si="30"/>
        <v>869.5</v>
      </c>
      <c r="AB162" s="355" t="s">
        <v>46</v>
      </c>
      <c r="AC162" s="355" t="s">
        <v>46</v>
      </c>
      <c r="AD162" s="327"/>
      <c r="AE162" s="375"/>
      <c r="AF162" s="375"/>
      <c r="AG162" s="345"/>
      <c r="AH162" s="375"/>
      <c r="AI162" s="345"/>
      <c r="AJ162" s="375"/>
      <c r="AK162" s="375"/>
      <c r="AL162" s="375"/>
      <c r="AM162" s="375"/>
      <c r="AN162" s="345"/>
      <c r="AO162" s="345"/>
      <c r="AP162" s="345"/>
      <c r="AQ162" s="345"/>
      <c r="AR162" s="375" t="s">
        <v>2881</v>
      </c>
    </row>
    <row r="163" spans="1:44" ht="30" customHeight="1">
      <c r="A163" s="487">
        <v>46134</v>
      </c>
      <c r="B163" s="445" t="s">
        <v>3102</v>
      </c>
      <c r="C163" s="437" t="s">
        <v>3244</v>
      </c>
      <c r="D163" s="361" t="s">
        <v>3300</v>
      </c>
      <c r="E163" s="736"/>
      <c r="F163" s="396" t="s">
        <v>52</v>
      </c>
      <c r="G163" s="392">
        <v>50</v>
      </c>
      <c r="H163" s="488" t="s">
        <v>3245</v>
      </c>
      <c r="I163" s="914" t="s">
        <v>89</v>
      </c>
      <c r="J163" s="914" t="s">
        <v>59</v>
      </c>
      <c r="K163" s="644" t="s">
        <v>159</v>
      </c>
      <c r="L163" s="488" t="s">
        <v>60</v>
      </c>
      <c r="M163" s="383">
        <v>46214</v>
      </c>
      <c r="O163" s="358"/>
      <c r="P163" s="495">
        <v>46133</v>
      </c>
      <c r="Q163" s="503"/>
      <c r="R163" s="390" t="s">
        <v>49</v>
      </c>
      <c r="S163" s="380">
        <v>47</v>
      </c>
      <c r="T163" s="380">
        <v>61</v>
      </c>
      <c r="U163" s="380">
        <v>61</v>
      </c>
      <c r="V163" s="368">
        <v>4</v>
      </c>
      <c r="W163" s="386">
        <f t="shared" si="29"/>
        <v>12.5</v>
      </c>
      <c r="X163" s="385">
        <f>9*W163</f>
        <v>112.5</v>
      </c>
      <c r="Y163" s="420">
        <f>ROUND((S163*T163*U163)*0.000001*W163,2)</f>
        <v>2.19</v>
      </c>
      <c r="Z163" s="641">
        <v>11.63</v>
      </c>
      <c r="AA163" s="913">
        <f t="shared" si="30"/>
        <v>581.5</v>
      </c>
      <c r="AB163" s="355" t="s">
        <v>46</v>
      </c>
      <c r="AC163" s="355" t="s">
        <v>46</v>
      </c>
      <c r="AD163" s="327"/>
      <c r="AE163" s="375"/>
      <c r="AF163" s="375"/>
      <c r="AG163" s="345"/>
      <c r="AH163" s="345"/>
      <c r="AI163" s="345"/>
      <c r="AJ163" s="375"/>
      <c r="AK163" s="375"/>
      <c r="AL163" s="375"/>
      <c r="AM163" s="375"/>
      <c r="AN163" s="345"/>
      <c r="AO163" s="345"/>
      <c r="AP163" s="345"/>
      <c r="AQ163" s="345"/>
      <c r="AR163" s="375" t="s">
        <v>2881</v>
      </c>
    </row>
    <row r="164" spans="1:44" ht="30" customHeight="1">
      <c r="A164" s="487">
        <v>46146</v>
      </c>
      <c r="B164" s="445" t="s">
        <v>3282</v>
      </c>
      <c r="C164" s="437" t="s">
        <v>3281</v>
      </c>
      <c r="D164" s="361" t="s">
        <v>3300</v>
      </c>
      <c r="E164" s="488"/>
      <c r="F164" s="396" t="s">
        <v>52</v>
      </c>
      <c r="G164" s="401">
        <v>400</v>
      </c>
      <c r="H164" s="393" t="s">
        <v>3280</v>
      </c>
      <c r="I164" s="393" t="s">
        <v>3279</v>
      </c>
      <c r="J164" s="484" t="s">
        <v>59</v>
      </c>
      <c r="K164" s="392" t="s">
        <v>1274</v>
      </c>
      <c r="L164" s="446" t="s">
        <v>3337</v>
      </c>
      <c r="M164" s="383">
        <v>46214</v>
      </c>
      <c r="N164" s="505"/>
      <c r="O164" s="358" t="s">
        <v>3278</v>
      </c>
      <c r="P164" s="495">
        <v>42227</v>
      </c>
      <c r="Q164" s="425" t="s">
        <v>1678</v>
      </c>
      <c r="R164" s="390"/>
      <c r="S164" s="380">
        <v>33</v>
      </c>
      <c r="T164" s="380">
        <v>27</v>
      </c>
      <c r="U164" s="380">
        <v>27</v>
      </c>
      <c r="V164" s="368">
        <v>4</v>
      </c>
      <c r="W164" s="386">
        <f t="shared" si="29"/>
        <v>100</v>
      </c>
      <c r="X164" s="385">
        <f>9.5*W164</f>
        <v>950</v>
      </c>
      <c r="Y164" s="420">
        <f>ROUND((S164*T164*U164)*0.000001*W164,2)</f>
        <v>2.41</v>
      </c>
      <c r="Z164" s="641">
        <v>5.07</v>
      </c>
      <c r="AA164" s="360">
        <f t="shared" si="30"/>
        <v>2028</v>
      </c>
      <c r="AB164" s="355" t="s">
        <v>46</v>
      </c>
      <c r="AC164" s="355"/>
      <c r="AD164" s="327"/>
      <c r="AE164" s="345"/>
      <c r="AF164" s="345"/>
      <c r="AG164" s="345"/>
      <c r="AH164" s="345"/>
      <c r="AI164" s="345"/>
      <c r="AJ164" s="345"/>
      <c r="AK164" s="345"/>
      <c r="AL164" s="345"/>
      <c r="AM164" s="375"/>
      <c r="AN164" s="345"/>
      <c r="AO164" s="345"/>
      <c r="AP164" s="345"/>
      <c r="AQ164" s="345"/>
      <c r="AR164" s="375" t="s">
        <v>2881</v>
      </c>
    </row>
    <row r="165" spans="1:44" ht="27" customHeight="1">
      <c r="A165" s="330"/>
      <c r="B165" s="331"/>
      <c r="C165" s="332"/>
      <c r="D165" s="333"/>
      <c r="E165" s="334"/>
      <c r="F165" s="334"/>
      <c r="G165" s="335">
        <f>SUM(G157:G163)</f>
        <v>1650</v>
      </c>
      <c r="H165" s="334"/>
      <c r="I165" s="334"/>
      <c r="J165" s="334"/>
      <c r="K165" s="334"/>
      <c r="L165" s="336"/>
      <c r="M165" s="332"/>
      <c r="N165" s="332"/>
      <c r="O165" s="337"/>
      <c r="P165" s="338"/>
      <c r="Q165" s="337"/>
      <c r="R165" s="339"/>
      <c r="S165" s="340"/>
      <c r="T165" s="340"/>
      <c r="U165" s="340"/>
      <c r="V165" s="340"/>
      <c r="W165" s="341"/>
      <c r="X165" s="342"/>
      <c r="Y165" s="343">
        <f>SUM(Y157:Y163)</f>
        <v>51.699999999999996</v>
      </c>
      <c r="Z165" s="342"/>
      <c r="AA165" s="344"/>
      <c r="AB165" s="332"/>
      <c r="AC165" s="332"/>
      <c r="AD165" s="339"/>
      <c r="AE165" s="337"/>
      <c r="AF165" s="338"/>
      <c r="AG165" s="337"/>
      <c r="AH165" s="338"/>
      <c r="AI165" s="337"/>
      <c r="AJ165" s="338"/>
      <c r="AK165" s="338"/>
      <c r="AL165" s="338"/>
      <c r="AM165" s="338"/>
      <c r="AN165" s="338"/>
      <c r="AO165" s="338"/>
      <c r="AP165" s="338"/>
      <c r="AQ165" s="338"/>
      <c r="AR165" s="338"/>
    </row>
    <row r="166" spans="1:44" ht="27.75" customHeight="1">
      <c r="A166" s="351" t="s">
        <v>3247</v>
      </c>
      <c r="B166" s="331"/>
      <c r="C166" s="332"/>
      <c r="D166" s="333"/>
      <c r="E166" s="334"/>
      <c r="F166" s="334"/>
      <c r="G166" s="524"/>
      <c r="H166" s="341"/>
      <c r="I166" s="334"/>
      <c r="J166" s="334"/>
      <c r="K166" s="334"/>
      <c r="L166" s="336"/>
      <c r="M166" s="332"/>
      <c r="N166" s="332"/>
      <c r="O166" s="337"/>
      <c r="P166" s="338"/>
      <c r="Q166" s="337"/>
      <c r="R166" s="339"/>
      <c r="S166" s="340"/>
      <c r="T166" s="340"/>
      <c r="U166" s="340"/>
      <c r="V166" s="340"/>
      <c r="W166" s="341"/>
      <c r="X166" s="342"/>
      <c r="Y166" s="350"/>
      <c r="Z166" s="342"/>
      <c r="AA166" s="344"/>
      <c r="AB166" s="332"/>
      <c r="AC166" s="332"/>
      <c r="AD166" s="339"/>
      <c r="AE166" s="337"/>
      <c r="AF166" s="338"/>
      <c r="AG166" s="337"/>
      <c r="AH166" s="338"/>
      <c r="AI166" s="337"/>
      <c r="AJ166" s="338"/>
      <c r="AK166" s="338"/>
      <c r="AL166" s="338"/>
      <c r="AM166" s="338"/>
      <c r="AN166" s="338"/>
      <c r="AO166" s="338"/>
      <c r="AP166" s="338"/>
      <c r="AQ166" s="338"/>
      <c r="AR166" s="338"/>
    </row>
    <row r="167" spans="1:44" ht="26.25" customHeight="1">
      <c r="A167" s="487">
        <v>46136</v>
      </c>
      <c r="B167" s="445" t="s">
        <v>3194</v>
      </c>
      <c r="C167" s="437" t="s">
        <v>3195</v>
      </c>
      <c r="D167" s="361"/>
      <c r="E167" s="736"/>
      <c r="F167" s="396" t="s">
        <v>52</v>
      </c>
      <c r="G167" s="392">
        <v>500</v>
      </c>
      <c r="H167" s="631" t="s">
        <v>2312</v>
      </c>
      <c r="I167" s="363" t="s">
        <v>95</v>
      </c>
      <c r="J167" s="484" t="s">
        <v>59</v>
      </c>
      <c r="K167" s="485" t="s">
        <v>56</v>
      </c>
      <c r="L167" s="384" t="s">
        <v>2496</v>
      </c>
      <c r="M167" s="383">
        <v>46220</v>
      </c>
      <c r="N167" s="665" t="s">
        <v>54</v>
      </c>
      <c r="O167" s="356" t="s">
        <v>2311</v>
      </c>
      <c r="P167" s="374">
        <v>42223</v>
      </c>
      <c r="Q167" s="348"/>
      <c r="R167" s="390" t="s">
        <v>59</v>
      </c>
      <c r="S167" s="380">
        <v>50</v>
      </c>
      <c r="T167" s="380">
        <v>42</v>
      </c>
      <c r="U167" s="380">
        <v>60</v>
      </c>
      <c r="V167" s="368">
        <v>10</v>
      </c>
      <c r="W167" s="378">
        <f t="shared" ref="W167:W172" si="31">ROUND(G167/V167,2)</f>
        <v>50</v>
      </c>
      <c r="X167" s="377">
        <f>21.5*W167</f>
        <v>1075</v>
      </c>
      <c r="Y167" s="359">
        <f t="shared" ref="Y167:Y172" si="32">ROUND((S167*T167*U167)*0.000001*W167,2)</f>
        <v>6.3</v>
      </c>
      <c r="Z167" s="376">
        <v>22.58</v>
      </c>
      <c r="AA167" s="360">
        <f t="shared" ref="AA167:AA172" si="33">Z167*G167</f>
        <v>11290</v>
      </c>
      <c r="AB167" s="346" t="s">
        <v>46</v>
      </c>
      <c r="AC167" s="355"/>
      <c r="AD167" s="327"/>
      <c r="AE167" s="375"/>
      <c r="AF167" s="375"/>
      <c r="AG167" s="345"/>
      <c r="AH167" s="345"/>
      <c r="AI167" s="345"/>
      <c r="AJ167" s="375"/>
      <c r="AK167" s="375"/>
      <c r="AL167" s="375"/>
      <c r="AM167" s="375"/>
      <c r="AN167" s="375"/>
      <c r="AO167" s="345"/>
      <c r="AP167" s="345"/>
      <c r="AQ167" s="345"/>
      <c r="AR167" s="375" t="s">
        <v>2881</v>
      </c>
    </row>
    <row r="168" spans="1:44" ht="26.25" customHeight="1">
      <c r="A168" s="487">
        <v>46136</v>
      </c>
      <c r="B168" s="445" t="s">
        <v>3194</v>
      </c>
      <c r="C168" s="437" t="s">
        <v>3193</v>
      </c>
      <c r="D168" s="361"/>
      <c r="E168" s="736"/>
      <c r="F168" s="396" t="s">
        <v>52</v>
      </c>
      <c r="G168" s="392">
        <v>500</v>
      </c>
      <c r="H168" s="484" t="s">
        <v>2312</v>
      </c>
      <c r="I168" s="363" t="s">
        <v>95</v>
      </c>
      <c r="J168" s="484" t="s">
        <v>59</v>
      </c>
      <c r="K168" s="485" t="s">
        <v>56</v>
      </c>
      <c r="L168" s="384" t="s">
        <v>2496</v>
      </c>
      <c r="M168" s="383">
        <v>46220</v>
      </c>
      <c r="N168" s="505"/>
      <c r="O168" s="356" t="s">
        <v>2311</v>
      </c>
      <c r="P168" s="374">
        <v>42223</v>
      </c>
      <c r="Q168" s="348"/>
      <c r="R168" s="390" t="s">
        <v>59</v>
      </c>
      <c r="S168" s="380">
        <v>50</v>
      </c>
      <c r="T168" s="380">
        <v>42</v>
      </c>
      <c r="U168" s="380">
        <v>60</v>
      </c>
      <c r="V168" s="368">
        <v>10</v>
      </c>
      <c r="W168" s="378">
        <f t="shared" si="31"/>
        <v>50</v>
      </c>
      <c r="X168" s="377">
        <f>21.5*W168</f>
        <v>1075</v>
      </c>
      <c r="Y168" s="359">
        <f t="shared" si="32"/>
        <v>6.3</v>
      </c>
      <c r="Z168" s="376">
        <v>22.58</v>
      </c>
      <c r="AA168" s="360">
        <f t="shared" si="33"/>
        <v>11290</v>
      </c>
      <c r="AB168" s="346" t="s">
        <v>46</v>
      </c>
      <c r="AC168" s="355"/>
      <c r="AD168" s="327"/>
      <c r="AE168" s="375"/>
      <c r="AF168" s="375"/>
      <c r="AG168" s="345"/>
      <c r="AH168" s="345"/>
      <c r="AI168" s="345"/>
      <c r="AJ168" s="375"/>
      <c r="AK168" s="375"/>
      <c r="AL168" s="375"/>
      <c r="AM168" s="375"/>
      <c r="AN168" s="375"/>
      <c r="AO168" s="345"/>
      <c r="AP168" s="345"/>
      <c r="AQ168" s="345"/>
      <c r="AR168" s="375" t="s">
        <v>2881</v>
      </c>
    </row>
    <row r="169" spans="1:44" ht="26.25" customHeight="1">
      <c r="A169" s="487">
        <v>46136</v>
      </c>
      <c r="B169" s="445" t="s">
        <v>3139</v>
      </c>
      <c r="C169" s="437" t="s">
        <v>3138</v>
      </c>
      <c r="D169" s="361"/>
      <c r="E169" s="736"/>
      <c r="F169" s="396" t="s">
        <v>52</v>
      </c>
      <c r="G169" s="392">
        <v>500</v>
      </c>
      <c r="H169" s="527" t="s">
        <v>2430</v>
      </c>
      <c r="I169" s="393" t="s">
        <v>2429</v>
      </c>
      <c r="J169" s="392" t="s">
        <v>1992</v>
      </c>
      <c r="K169" s="392" t="s">
        <v>1961</v>
      </c>
      <c r="L169" s="384" t="s">
        <v>2520</v>
      </c>
      <c r="M169" s="383">
        <v>46220</v>
      </c>
      <c r="N169" s="505"/>
      <c r="O169" s="398" t="s">
        <v>2428</v>
      </c>
      <c r="P169" s="355" t="s">
        <v>48</v>
      </c>
      <c r="Q169" s="425">
        <v>46151</v>
      </c>
      <c r="R169" s="327" t="s">
        <v>2147</v>
      </c>
      <c r="S169" s="380">
        <v>60</v>
      </c>
      <c r="T169" s="380">
        <v>50</v>
      </c>
      <c r="U169" s="380">
        <v>30</v>
      </c>
      <c r="V169" s="380">
        <v>10</v>
      </c>
      <c r="W169" s="757">
        <f t="shared" si="31"/>
        <v>50</v>
      </c>
      <c r="X169" s="757">
        <f>(1*V169+1.5)*W169</f>
        <v>575</v>
      </c>
      <c r="Y169" s="420">
        <f t="shared" si="32"/>
        <v>4.5</v>
      </c>
      <c r="Z169" s="743">
        <v>9.34</v>
      </c>
      <c r="AA169" s="360">
        <f t="shared" si="33"/>
        <v>4670</v>
      </c>
      <c r="AB169" s="346" t="s">
        <v>46</v>
      </c>
      <c r="AC169" s="355"/>
      <c r="AD169" s="327"/>
      <c r="AE169" s="425">
        <v>46151</v>
      </c>
      <c r="AF169" s="425">
        <v>46151</v>
      </c>
      <c r="AG169" s="345"/>
      <c r="AH169" s="446">
        <v>46160</v>
      </c>
      <c r="AI169" s="345"/>
      <c r="AJ169" s="375"/>
      <c r="AK169" s="375"/>
      <c r="AL169" s="375"/>
      <c r="AM169" s="375"/>
      <c r="AN169" s="345"/>
      <c r="AO169" s="345"/>
      <c r="AP169" s="345"/>
      <c r="AQ169" s="345"/>
      <c r="AR169" s="375" t="s">
        <v>2881</v>
      </c>
    </row>
    <row r="170" spans="1:44" ht="26.25" customHeight="1">
      <c r="A170" s="487">
        <v>46136</v>
      </c>
      <c r="B170" s="445" t="s">
        <v>3150</v>
      </c>
      <c r="C170" s="326" t="s">
        <v>3149</v>
      </c>
      <c r="D170" s="361"/>
      <c r="E170" s="736"/>
      <c r="F170" s="396" t="s">
        <v>52</v>
      </c>
      <c r="G170" s="392">
        <v>300</v>
      </c>
      <c r="H170" s="391" t="s">
        <v>3148</v>
      </c>
      <c r="I170" s="600" t="s">
        <v>94</v>
      </c>
      <c r="J170" s="484" t="s">
        <v>59</v>
      </c>
      <c r="K170" s="935" t="s">
        <v>56</v>
      </c>
      <c r="L170" s="384" t="s">
        <v>3230</v>
      </c>
      <c r="M170" s="383">
        <v>46232</v>
      </c>
      <c r="N170" s="505"/>
      <c r="O170" s="369" t="s">
        <v>1386</v>
      </c>
      <c r="P170" s="714" t="s">
        <v>48</v>
      </c>
      <c r="Q170" s="326"/>
      <c r="R170" s="390" t="s">
        <v>59</v>
      </c>
      <c r="S170" s="422">
        <v>80</v>
      </c>
      <c r="T170" s="422">
        <v>53</v>
      </c>
      <c r="U170" s="422">
        <v>25</v>
      </c>
      <c r="V170" s="422">
        <v>2</v>
      </c>
      <c r="W170" s="364">
        <f t="shared" si="31"/>
        <v>150</v>
      </c>
      <c r="X170" s="532">
        <f>27*W170</f>
        <v>4050</v>
      </c>
      <c r="Y170" s="414">
        <f t="shared" si="32"/>
        <v>15.9</v>
      </c>
      <c r="Z170" s="376">
        <v>90.11</v>
      </c>
      <c r="AA170" s="360">
        <f t="shared" si="33"/>
        <v>27033</v>
      </c>
      <c r="AB170" s="346" t="s">
        <v>46</v>
      </c>
      <c r="AC170" s="355"/>
      <c r="AD170" s="327"/>
      <c r="AE170" s="375"/>
      <c r="AF170" s="375"/>
      <c r="AG170" s="345"/>
      <c r="AH170" s="345"/>
      <c r="AI170" s="345"/>
      <c r="AJ170" s="375"/>
      <c r="AK170" s="375"/>
      <c r="AL170" s="375"/>
      <c r="AM170" s="375"/>
      <c r="AN170" s="375"/>
      <c r="AO170" s="375"/>
      <c r="AP170" s="375"/>
      <c r="AQ170" s="375">
        <v>46183</v>
      </c>
      <c r="AR170" s="375" t="s">
        <v>2881</v>
      </c>
    </row>
    <row r="171" spans="1:44" ht="26.25" customHeight="1">
      <c r="A171" s="487">
        <v>46136</v>
      </c>
      <c r="B171" s="445" t="s">
        <v>3177</v>
      </c>
      <c r="C171" s="437" t="s">
        <v>3176</v>
      </c>
      <c r="D171" s="361"/>
      <c r="E171" s="880" t="s">
        <v>3175</v>
      </c>
      <c r="F171" s="396" t="s">
        <v>52</v>
      </c>
      <c r="G171" s="392">
        <v>50</v>
      </c>
      <c r="H171" s="949" t="s">
        <v>1602</v>
      </c>
      <c r="I171" s="937" t="s">
        <v>3174</v>
      </c>
      <c r="J171" s="500" t="s">
        <v>59</v>
      </c>
      <c r="K171" s="937" t="s">
        <v>56</v>
      </c>
      <c r="L171" s="363" t="s">
        <v>68</v>
      </c>
      <c r="M171" s="383">
        <v>46220</v>
      </c>
      <c r="N171" s="505"/>
      <c r="O171" s="811" t="s">
        <v>65</v>
      </c>
      <c r="P171" s="374">
        <v>45615</v>
      </c>
      <c r="Q171" s="348"/>
      <c r="R171" s="328" t="s">
        <v>49</v>
      </c>
      <c r="S171" s="407">
        <v>68</v>
      </c>
      <c r="T171" s="407">
        <v>45</v>
      </c>
      <c r="U171" s="407">
        <v>32</v>
      </c>
      <c r="V171" s="407">
        <v>2</v>
      </c>
      <c r="W171" s="388">
        <f t="shared" si="31"/>
        <v>25</v>
      </c>
      <c r="X171" s="760">
        <f>19*W171</f>
        <v>475</v>
      </c>
      <c r="Y171" s="408">
        <f t="shared" si="32"/>
        <v>2.4500000000000002</v>
      </c>
      <c r="Z171" s="772">
        <v>73.56</v>
      </c>
      <c r="AA171" s="360">
        <f t="shared" si="33"/>
        <v>3678</v>
      </c>
      <c r="AB171" s="346" t="s">
        <v>46</v>
      </c>
      <c r="AC171" s="355"/>
      <c r="AD171" s="327"/>
      <c r="AE171" s="375"/>
      <c r="AF171" s="375"/>
      <c r="AG171" s="345"/>
      <c r="AH171" s="345"/>
      <c r="AI171" s="345"/>
      <c r="AJ171" s="375"/>
      <c r="AK171" s="375"/>
      <c r="AL171" s="375"/>
      <c r="AM171" s="375"/>
      <c r="AN171" s="375"/>
      <c r="AO171" s="345"/>
      <c r="AP171" s="345"/>
      <c r="AQ171" s="345"/>
      <c r="AR171" s="375" t="s">
        <v>2881</v>
      </c>
    </row>
    <row r="172" spans="1:44" ht="26.25" customHeight="1">
      <c r="A172" s="731">
        <v>46025</v>
      </c>
      <c r="B172" s="445" t="s">
        <v>3115</v>
      </c>
      <c r="C172" s="437" t="s">
        <v>2477</v>
      </c>
      <c r="D172" s="361"/>
      <c r="E172" s="880" t="s">
        <v>3114</v>
      </c>
      <c r="F172" s="363" t="s">
        <v>52</v>
      </c>
      <c r="G172" s="401">
        <v>100</v>
      </c>
      <c r="H172" s="527" t="s">
        <v>2363</v>
      </c>
      <c r="I172" s="363" t="s">
        <v>617</v>
      </c>
      <c r="J172" s="391" t="s">
        <v>1993</v>
      </c>
      <c r="K172" s="363" t="s">
        <v>56</v>
      </c>
      <c r="L172" s="427" t="s">
        <v>72</v>
      </c>
      <c r="M172" s="383">
        <v>46220</v>
      </c>
      <c r="N172" s="505"/>
      <c r="O172" s="382" t="s">
        <v>55</v>
      </c>
      <c r="P172" s="374" t="s">
        <v>44</v>
      </c>
      <c r="Q172" s="425">
        <v>46048</v>
      </c>
      <c r="R172" s="381" t="s">
        <v>57</v>
      </c>
      <c r="S172" s="380">
        <v>54</v>
      </c>
      <c r="T172" s="380">
        <v>54</v>
      </c>
      <c r="U172" s="380">
        <v>60</v>
      </c>
      <c r="V172" s="379">
        <v>5</v>
      </c>
      <c r="W172" s="347">
        <f t="shared" si="31"/>
        <v>20</v>
      </c>
      <c r="X172" s="377">
        <f>15*W172</f>
        <v>300</v>
      </c>
      <c r="Y172" s="359">
        <f t="shared" si="32"/>
        <v>3.5</v>
      </c>
      <c r="Z172" s="376">
        <v>31.25</v>
      </c>
      <c r="AA172" s="360">
        <f t="shared" si="33"/>
        <v>3125</v>
      </c>
      <c r="AB172" s="346" t="s">
        <v>46</v>
      </c>
      <c r="AC172" s="362"/>
      <c r="AD172" s="327"/>
      <c r="AE172" s="425">
        <v>46048</v>
      </c>
      <c r="AF172" s="446">
        <v>46050</v>
      </c>
      <c r="AG172" s="345"/>
      <c r="AH172" s="446">
        <v>46109</v>
      </c>
      <c r="AI172" s="345"/>
      <c r="AJ172" s="375"/>
      <c r="AK172" s="375"/>
      <c r="AL172" s="375"/>
      <c r="AM172" s="375"/>
      <c r="AN172" s="375"/>
      <c r="AO172" s="405"/>
      <c r="AP172" s="375"/>
      <c r="AQ172" s="446" t="s">
        <v>2075</v>
      </c>
      <c r="AR172" s="375" t="s">
        <v>2881</v>
      </c>
    </row>
    <row r="173" spans="1:44" ht="27" customHeight="1">
      <c r="A173" s="330"/>
      <c r="B173" s="331"/>
      <c r="C173" s="332"/>
      <c r="D173" s="333"/>
      <c r="E173" s="334"/>
      <c r="F173" s="334"/>
      <c r="G173" s="335">
        <f>SUM(G167:G172)</f>
        <v>1950</v>
      </c>
      <c r="H173" s="334"/>
      <c r="I173" s="334"/>
      <c r="J173" s="334"/>
      <c r="K173" s="334"/>
      <c r="L173" s="336"/>
      <c r="M173" s="332"/>
      <c r="N173" s="332"/>
      <c r="O173" s="337"/>
      <c r="P173" s="338"/>
      <c r="Q173" s="337"/>
      <c r="R173" s="339"/>
      <c r="S173" s="340"/>
      <c r="T173" s="340"/>
      <c r="U173" s="340"/>
      <c r="V173" s="340"/>
      <c r="W173" s="341"/>
      <c r="X173" s="342"/>
      <c r="Y173" s="343">
        <f>SUM(Y167:Y172)</f>
        <v>38.950000000000003</v>
      </c>
      <c r="Z173" s="342"/>
      <c r="AA173" s="344"/>
      <c r="AB173" s="332"/>
      <c r="AC173" s="332"/>
      <c r="AD173" s="339"/>
      <c r="AE173" s="337"/>
      <c r="AF173" s="338"/>
      <c r="AG173" s="337"/>
      <c r="AH173" s="338"/>
      <c r="AI173" s="337"/>
      <c r="AJ173" s="338"/>
      <c r="AK173" s="338"/>
      <c r="AL173" s="338"/>
      <c r="AM173" s="338"/>
      <c r="AN173" s="338"/>
      <c r="AO173" s="338"/>
      <c r="AP173" s="338"/>
      <c r="AQ173" s="338"/>
      <c r="AR173" s="338"/>
    </row>
    <row r="174" spans="1:44" ht="27.75" customHeight="1">
      <c r="A174" s="351" t="s">
        <v>2527</v>
      </c>
      <c r="B174" s="331"/>
      <c r="C174" s="332"/>
      <c r="D174" s="333"/>
      <c r="E174" s="334"/>
      <c r="F174" s="334"/>
      <c r="G174" s="524"/>
      <c r="H174" s="341"/>
      <c r="I174" s="334"/>
      <c r="J174" s="334"/>
      <c r="K174" s="334"/>
      <c r="L174" s="336"/>
      <c r="M174" s="332"/>
      <c r="N174" s="332"/>
      <c r="O174" s="337"/>
      <c r="P174" s="338"/>
      <c r="Q174" s="337"/>
      <c r="R174" s="339"/>
      <c r="S174" s="340"/>
      <c r="T174" s="340"/>
      <c r="U174" s="340"/>
      <c r="V174" s="340"/>
      <c r="W174" s="341"/>
      <c r="X174" s="342"/>
      <c r="Y174" s="350"/>
      <c r="Z174" s="342"/>
      <c r="AA174" s="344"/>
      <c r="AB174" s="332"/>
      <c r="AC174" s="332"/>
      <c r="AD174" s="339"/>
      <c r="AE174" s="337"/>
      <c r="AF174" s="338"/>
      <c r="AG174" s="337"/>
      <c r="AH174" s="338"/>
      <c r="AI174" s="337"/>
      <c r="AJ174" s="338"/>
      <c r="AK174" s="338"/>
      <c r="AL174" s="338"/>
      <c r="AM174" s="338"/>
      <c r="AN174" s="338"/>
      <c r="AO174" s="338"/>
      <c r="AP174" s="338"/>
      <c r="AQ174" s="338"/>
      <c r="AR174" s="338"/>
    </row>
    <row r="175" spans="1:44" ht="30" customHeight="1">
      <c r="A175" s="487">
        <v>46100</v>
      </c>
      <c r="B175" s="445" t="s">
        <v>2585</v>
      </c>
      <c r="C175" s="437" t="s">
        <v>2536</v>
      </c>
      <c r="D175" s="361"/>
      <c r="E175" s="525" t="s">
        <v>2526</v>
      </c>
      <c r="F175" s="396" t="s">
        <v>52</v>
      </c>
      <c r="G175" s="396">
        <v>100</v>
      </c>
      <c r="H175" s="393" t="s">
        <v>1270</v>
      </c>
      <c r="I175" s="404" t="s">
        <v>2233</v>
      </c>
      <c r="J175" s="484" t="s">
        <v>59</v>
      </c>
      <c r="K175" s="404" t="s">
        <v>63</v>
      </c>
      <c r="L175" s="392" t="s">
        <v>64</v>
      </c>
      <c r="M175" s="383">
        <v>46223</v>
      </c>
      <c r="N175" s="665" t="s">
        <v>54</v>
      </c>
      <c r="O175" s="369" t="s">
        <v>1386</v>
      </c>
      <c r="P175" s="395">
        <v>45320</v>
      </c>
      <c r="Q175" s="348"/>
      <c r="R175" s="390" t="s">
        <v>59</v>
      </c>
      <c r="S175" s="683">
        <v>134</v>
      </c>
      <c r="T175" s="683">
        <v>102</v>
      </c>
      <c r="U175" s="683">
        <v>20</v>
      </c>
      <c r="V175" s="389">
        <v>1</v>
      </c>
      <c r="W175" s="347">
        <f>ROUND(G175/V175,2)</f>
        <v>100</v>
      </c>
      <c r="X175" s="682">
        <f>50*W175</f>
        <v>5000</v>
      </c>
      <c r="Y175" s="414">
        <f>ROUND((S175*T175*U175)*0.000001*W175,2)</f>
        <v>27.34</v>
      </c>
      <c r="Z175" s="761">
        <v>305.75</v>
      </c>
      <c r="AA175" s="360">
        <f t="shared" ref="AA175:AA180" si="34">Z175*G175</f>
        <v>30575</v>
      </c>
      <c r="AB175" s="355" t="s">
        <v>46</v>
      </c>
      <c r="AC175" s="355"/>
      <c r="AD175" s="327"/>
      <c r="AE175" s="375"/>
      <c r="AF175" s="375"/>
      <c r="AG175" s="345"/>
      <c r="AH175" s="345"/>
      <c r="AI175" s="345"/>
      <c r="AJ175" s="375"/>
      <c r="AK175" s="375"/>
      <c r="AL175" s="375"/>
      <c r="AM175" s="375"/>
      <c r="AN175" s="375"/>
      <c r="AO175" s="345"/>
      <c r="AP175" s="375"/>
      <c r="AQ175" s="375"/>
      <c r="AR175" s="375"/>
    </row>
    <row r="176" spans="1:44" ht="30" customHeight="1">
      <c r="A176" s="487">
        <v>46100</v>
      </c>
      <c r="B176" s="445" t="s">
        <v>2585</v>
      </c>
      <c r="C176" s="326" t="s">
        <v>2543</v>
      </c>
      <c r="D176" s="361"/>
      <c r="E176" s="525" t="s">
        <v>2526</v>
      </c>
      <c r="F176" s="396" t="s">
        <v>52</v>
      </c>
      <c r="G176" s="396">
        <v>100</v>
      </c>
      <c r="H176" s="393" t="s">
        <v>1270</v>
      </c>
      <c r="I176" s="404" t="s">
        <v>2233</v>
      </c>
      <c r="J176" s="484" t="s">
        <v>59</v>
      </c>
      <c r="K176" s="404" t="s">
        <v>63</v>
      </c>
      <c r="L176" s="392" t="s">
        <v>64</v>
      </c>
      <c r="M176" s="383">
        <v>46223</v>
      </c>
      <c r="N176" s="505"/>
      <c r="O176" s="369" t="s">
        <v>1386</v>
      </c>
      <c r="P176" s="395">
        <v>45320</v>
      </c>
      <c r="Q176" s="348"/>
      <c r="R176" s="390" t="s">
        <v>59</v>
      </c>
      <c r="S176" s="683">
        <v>134</v>
      </c>
      <c r="T176" s="683">
        <v>102</v>
      </c>
      <c r="U176" s="683">
        <v>20</v>
      </c>
      <c r="V176" s="389">
        <v>1</v>
      </c>
      <c r="W176" s="347">
        <f>ROUND(G176/V176,2)</f>
        <v>100</v>
      </c>
      <c r="X176" s="682">
        <f>50*W176</f>
        <v>5000</v>
      </c>
      <c r="Y176" s="414">
        <f>ROUND((S176*T176*U176)*0.000001*W176,2)</f>
        <v>27.34</v>
      </c>
      <c r="Z176" s="761">
        <v>305.75</v>
      </c>
      <c r="AA176" s="360">
        <f t="shared" si="34"/>
        <v>30575</v>
      </c>
      <c r="AB176" s="355" t="s">
        <v>46</v>
      </c>
      <c r="AC176" s="355"/>
      <c r="AD176" s="327"/>
      <c r="AE176" s="375"/>
      <c r="AF176" s="375"/>
      <c r="AG176" s="345"/>
      <c r="AH176" s="345"/>
      <c r="AI176" s="345"/>
      <c r="AJ176" s="375"/>
      <c r="AK176" s="375"/>
      <c r="AL176" s="375"/>
      <c r="AM176" s="375"/>
      <c r="AN176" s="375"/>
      <c r="AO176" s="345"/>
      <c r="AP176" s="375"/>
      <c r="AQ176" s="375"/>
      <c r="AR176" s="375"/>
    </row>
    <row r="177" spans="1:44" ht="30" customHeight="1">
      <c r="A177" s="487">
        <v>46146</v>
      </c>
      <c r="B177" s="445" t="s">
        <v>3268</v>
      </c>
      <c r="C177" s="437" t="s">
        <v>3267</v>
      </c>
      <c r="D177" s="361"/>
      <c r="E177" s="736"/>
      <c r="F177" s="396" t="s">
        <v>52</v>
      </c>
      <c r="G177" s="392">
        <v>25</v>
      </c>
      <c r="H177" s="393" t="s">
        <v>3266</v>
      </c>
      <c r="I177" s="393" t="s">
        <v>3265</v>
      </c>
      <c r="J177" s="484" t="s">
        <v>59</v>
      </c>
      <c r="K177" s="485" t="s">
        <v>53</v>
      </c>
      <c r="L177" s="754" t="s">
        <v>60</v>
      </c>
      <c r="M177" s="383">
        <v>46223</v>
      </c>
      <c r="N177" s="505"/>
      <c r="O177" s="417"/>
      <c r="P177" s="417"/>
      <c r="Q177" s="417"/>
      <c r="R177" s="328" t="s">
        <v>49</v>
      </c>
      <c r="S177" s="345"/>
      <c r="T177" s="345"/>
      <c r="U177" s="345"/>
      <c r="V177" s="345"/>
      <c r="W177" s="345"/>
      <c r="X177" s="417"/>
      <c r="Y177" s="776">
        <f>ROUND((S177*T177*U177)*0.000001*W177,2)</f>
        <v>0</v>
      </c>
      <c r="Z177" s="376">
        <v>17.36</v>
      </c>
      <c r="AA177" s="775">
        <f t="shared" si="34"/>
        <v>434</v>
      </c>
      <c r="AB177" s="355" t="s">
        <v>46</v>
      </c>
      <c r="AC177" s="355"/>
      <c r="AD177" s="327"/>
      <c r="AE177" s="345"/>
      <c r="AF177" s="345"/>
      <c r="AG177" s="345"/>
      <c r="AH177" s="345"/>
      <c r="AI177" s="345"/>
      <c r="AJ177" s="345"/>
      <c r="AK177" s="345"/>
      <c r="AL177" s="345"/>
      <c r="AM177" s="375"/>
      <c r="AN177" s="345"/>
      <c r="AO177" s="345"/>
      <c r="AP177" s="375"/>
      <c r="AQ177" s="345"/>
      <c r="AR177" s="425" t="s">
        <v>2350</v>
      </c>
    </row>
    <row r="178" spans="1:44" ht="30" customHeight="1">
      <c r="A178" s="487">
        <v>46146</v>
      </c>
      <c r="B178" s="445" t="s">
        <v>3272</v>
      </c>
      <c r="C178" s="326" t="s">
        <v>3271</v>
      </c>
      <c r="D178" s="361"/>
      <c r="E178" s="736"/>
      <c r="F178" s="396" t="s">
        <v>52</v>
      </c>
      <c r="G178" s="392">
        <v>1000</v>
      </c>
      <c r="H178" s="363" t="s">
        <v>3270</v>
      </c>
      <c r="I178" s="387" t="s">
        <v>3269</v>
      </c>
      <c r="J178" s="484" t="s">
        <v>59</v>
      </c>
      <c r="K178" s="764"/>
      <c r="L178" s="754" t="s">
        <v>60</v>
      </c>
      <c r="M178" s="383">
        <v>46223</v>
      </c>
      <c r="N178" s="505"/>
      <c r="O178" s="345"/>
      <c r="P178" s="345"/>
      <c r="Q178" s="425" t="s">
        <v>1678</v>
      </c>
      <c r="R178" s="345"/>
      <c r="S178" s="345"/>
      <c r="T178" s="345"/>
      <c r="U178" s="345"/>
      <c r="V178" s="345"/>
      <c r="W178" s="345"/>
      <c r="X178" s="345"/>
      <c r="Y178" s="425"/>
      <c r="Z178" s="376">
        <v>2.82</v>
      </c>
      <c r="AA178" s="360">
        <f t="shared" si="34"/>
        <v>2820</v>
      </c>
      <c r="AB178" s="346" t="s">
        <v>46</v>
      </c>
      <c r="AC178" s="355"/>
      <c r="AD178" s="327"/>
      <c r="AE178" s="345"/>
      <c r="AF178" s="345"/>
      <c r="AG178" s="345"/>
      <c r="AH178" s="345"/>
      <c r="AI178" s="345"/>
      <c r="AJ178" s="345"/>
      <c r="AK178" s="345"/>
      <c r="AL178" s="345"/>
      <c r="AM178" s="345"/>
      <c r="AN178" s="345"/>
      <c r="AO178" s="345"/>
      <c r="AP178" s="345"/>
      <c r="AQ178" s="345"/>
      <c r="AR178" s="345"/>
    </row>
    <row r="179" spans="1:44" ht="30" customHeight="1">
      <c r="A179" s="487">
        <v>46146</v>
      </c>
      <c r="B179" s="445" t="s">
        <v>3274</v>
      </c>
      <c r="C179" s="437" t="s">
        <v>3273</v>
      </c>
      <c r="D179" s="361"/>
      <c r="E179" s="736"/>
      <c r="F179" s="396" t="s">
        <v>52</v>
      </c>
      <c r="G179" s="392">
        <v>500</v>
      </c>
      <c r="H179" s="497" t="s">
        <v>2453</v>
      </c>
      <c r="I179" s="393" t="s">
        <v>317</v>
      </c>
      <c r="J179" s="484" t="s">
        <v>59</v>
      </c>
      <c r="K179" s="485" t="s">
        <v>56</v>
      </c>
      <c r="L179" s="446" t="s">
        <v>634</v>
      </c>
      <c r="M179" s="383">
        <v>46223</v>
      </c>
      <c r="N179" s="505"/>
      <c r="O179" s="417" t="s">
        <v>55</v>
      </c>
      <c r="P179" s="417">
        <v>45428</v>
      </c>
      <c r="Q179" s="417">
        <v>46160</v>
      </c>
      <c r="R179" s="328" t="s">
        <v>49</v>
      </c>
      <c r="S179" s="368">
        <v>62</v>
      </c>
      <c r="T179" s="368">
        <v>37</v>
      </c>
      <c r="U179" s="407">
        <v>55</v>
      </c>
      <c r="V179" s="368">
        <v>5</v>
      </c>
      <c r="W179" s="386">
        <f>ROUND(G179/V179,2)</f>
        <v>100</v>
      </c>
      <c r="X179" s="777">
        <f>16.5*W179</f>
        <v>1650</v>
      </c>
      <c r="Y179" s="776">
        <f>ROUND((S179*T179*U179)*0.000001*W179,2)</f>
        <v>12.62</v>
      </c>
      <c r="Z179" s="376">
        <v>26.15</v>
      </c>
      <c r="AA179" s="775">
        <f t="shared" si="34"/>
        <v>13075</v>
      </c>
      <c r="AB179" s="355" t="s">
        <v>46</v>
      </c>
      <c r="AC179" s="355"/>
      <c r="AD179" s="327"/>
      <c r="AE179" s="417">
        <v>46160</v>
      </c>
      <c r="AF179" s="417">
        <v>46160</v>
      </c>
      <c r="AG179" s="345"/>
      <c r="AH179" s="345"/>
      <c r="AI179" s="345"/>
      <c r="AJ179" s="375"/>
      <c r="AK179" s="375"/>
      <c r="AL179" s="375"/>
      <c r="AM179" s="375"/>
      <c r="AN179" s="375"/>
      <c r="AO179" s="345"/>
      <c r="AP179" s="375"/>
      <c r="AQ179" s="375"/>
      <c r="AR179" s="375"/>
    </row>
    <row r="180" spans="1:44" ht="30" customHeight="1">
      <c r="A180" s="487">
        <v>46146</v>
      </c>
      <c r="B180" s="445" t="s">
        <v>3277</v>
      </c>
      <c r="C180" s="437" t="s">
        <v>3276</v>
      </c>
      <c r="D180" s="361"/>
      <c r="E180" s="488" t="s">
        <v>3275</v>
      </c>
      <c r="F180" s="396" t="s">
        <v>52</v>
      </c>
      <c r="G180" s="401">
        <v>50</v>
      </c>
      <c r="H180" s="498" t="s">
        <v>129</v>
      </c>
      <c r="I180" s="393" t="s">
        <v>130</v>
      </c>
      <c r="J180" s="484" t="s">
        <v>59</v>
      </c>
      <c r="K180" s="363" t="s">
        <v>53</v>
      </c>
      <c r="L180" s="720"/>
      <c r="M180" s="383">
        <v>46223</v>
      </c>
      <c r="N180" s="505"/>
      <c r="O180" s="382" t="s">
        <v>55</v>
      </c>
      <c r="P180" s="374" t="s">
        <v>44</v>
      </c>
      <c r="Q180" s="348"/>
      <c r="R180" s="349" t="s">
        <v>49</v>
      </c>
      <c r="S180" s="407">
        <v>81</v>
      </c>
      <c r="T180" s="407">
        <v>81</v>
      </c>
      <c r="U180" s="407">
        <v>40</v>
      </c>
      <c r="V180" s="407">
        <v>2</v>
      </c>
      <c r="W180" s="388">
        <f>ROUND(G180/V180,2)</f>
        <v>25</v>
      </c>
      <c r="X180" s="347">
        <f>31*W180</f>
        <v>775</v>
      </c>
      <c r="Y180" s="388">
        <f>ROUND((S180*T180*U180)*0.000001*W180,2)</f>
        <v>6.56</v>
      </c>
      <c r="Z180" s="772">
        <v>110.03</v>
      </c>
      <c r="AA180" s="360">
        <f t="shared" si="34"/>
        <v>5501.5</v>
      </c>
      <c r="AB180" s="346" t="s">
        <v>46</v>
      </c>
      <c r="AC180" s="355"/>
      <c r="AD180" s="327"/>
      <c r="AE180" s="375"/>
      <c r="AF180" s="375"/>
      <c r="AG180" s="345"/>
      <c r="AH180" s="345"/>
      <c r="AI180" s="345"/>
      <c r="AJ180" s="375"/>
      <c r="AK180" s="375"/>
      <c r="AL180" s="375"/>
      <c r="AM180" s="375"/>
      <c r="AN180" s="345"/>
      <c r="AO180" s="345"/>
      <c r="AP180" s="375"/>
      <c r="AQ180" s="375"/>
      <c r="AR180" s="375"/>
    </row>
    <row r="181" spans="1:44" ht="27" customHeight="1">
      <c r="A181" s="330"/>
      <c r="B181" s="331"/>
      <c r="C181" s="332"/>
      <c r="D181" s="333"/>
      <c r="E181" s="334"/>
      <c r="F181" s="334"/>
      <c r="G181" s="335">
        <f>SUM(G175:G180)</f>
        <v>1775</v>
      </c>
      <c r="H181" s="334"/>
      <c r="I181" s="334"/>
      <c r="J181" s="334"/>
      <c r="K181" s="334"/>
      <c r="L181" s="336"/>
      <c r="M181" s="332"/>
      <c r="N181" s="332"/>
      <c r="O181" s="337"/>
      <c r="P181" s="338"/>
      <c r="Q181" s="337"/>
      <c r="R181" s="339"/>
      <c r="S181" s="340"/>
      <c r="T181" s="340"/>
      <c r="U181" s="340"/>
      <c r="V181" s="340"/>
      <c r="W181" s="341"/>
      <c r="X181" s="342"/>
      <c r="Y181" s="343">
        <f>SUM(Y175:Y180)</f>
        <v>73.86</v>
      </c>
      <c r="Z181" s="342"/>
      <c r="AA181" s="344"/>
      <c r="AB181" s="332"/>
      <c r="AC181" s="332"/>
      <c r="AD181" s="339"/>
      <c r="AE181" s="337"/>
      <c r="AF181" s="338"/>
      <c r="AG181" s="337"/>
      <c r="AH181" s="338"/>
      <c r="AI181" s="337"/>
      <c r="AJ181" s="338"/>
      <c r="AK181" s="338"/>
      <c r="AL181" s="338"/>
      <c r="AM181" s="338"/>
      <c r="AN181" s="338"/>
      <c r="AO181" s="338"/>
      <c r="AP181" s="338"/>
      <c r="AQ181" s="338"/>
      <c r="AR181" s="338"/>
    </row>
    <row r="182" spans="1:44" ht="27.75" customHeight="1">
      <c r="A182" s="351" t="s">
        <v>3248</v>
      </c>
      <c r="B182" s="331"/>
      <c r="C182" s="332"/>
      <c r="D182" s="333"/>
      <c r="E182" s="334"/>
      <c r="F182" s="334"/>
      <c r="G182" s="524"/>
      <c r="H182" s="341"/>
      <c r="I182" s="334"/>
      <c r="J182" s="334"/>
      <c r="K182" s="334"/>
      <c r="L182" s="336"/>
      <c r="M182" s="332"/>
      <c r="N182" s="332"/>
      <c r="O182" s="337"/>
      <c r="P182" s="338"/>
      <c r="Q182" s="337"/>
      <c r="R182" s="339"/>
      <c r="S182" s="340"/>
      <c r="T182" s="340"/>
      <c r="U182" s="340"/>
      <c r="V182" s="340"/>
      <c r="W182" s="341"/>
      <c r="X182" s="342"/>
      <c r="Y182" s="350"/>
      <c r="Z182" s="342"/>
      <c r="AA182" s="344"/>
      <c r="AB182" s="332"/>
      <c r="AC182" s="332"/>
      <c r="AD182" s="339"/>
      <c r="AE182" s="337"/>
      <c r="AF182" s="338"/>
      <c r="AG182" s="337"/>
      <c r="AH182" s="338"/>
      <c r="AI182" s="337"/>
      <c r="AJ182" s="338"/>
      <c r="AK182" s="338"/>
      <c r="AL182" s="338"/>
      <c r="AM182" s="338"/>
      <c r="AN182" s="338"/>
      <c r="AO182" s="338"/>
      <c r="AP182" s="338"/>
      <c r="AQ182" s="338"/>
      <c r="AR182" s="338"/>
    </row>
    <row r="183" spans="1:44" ht="45" customHeight="1">
      <c r="A183" s="487">
        <v>46136</v>
      </c>
      <c r="B183" s="445" t="s">
        <v>3207</v>
      </c>
      <c r="C183" s="437" t="s">
        <v>3208</v>
      </c>
      <c r="D183" s="361"/>
      <c r="E183" s="736" t="s">
        <v>3209</v>
      </c>
      <c r="F183" s="396" t="s">
        <v>52</v>
      </c>
      <c r="G183" s="392">
        <v>50</v>
      </c>
      <c r="H183" s="702" t="s">
        <v>2342</v>
      </c>
      <c r="I183" s="543" t="s">
        <v>2189</v>
      </c>
      <c r="J183" s="484" t="s">
        <v>59</v>
      </c>
      <c r="K183" s="363" t="s">
        <v>56</v>
      </c>
      <c r="L183" s="384" t="s">
        <v>3229</v>
      </c>
      <c r="M183" s="383">
        <v>46227</v>
      </c>
      <c r="N183" s="665" t="s">
        <v>54</v>
      </c>
      <c r="O183" s="425" t="s">
        <v>65</v>
      </c>
      <c r="P183" s="425">
        <v>45940</v>
      </c>
      <c r="Q183" s="348"/>
      <c r="R183" s="390" t="s">
        <v>59</v>
      </c>
      <c r="S183" s="380">
        <v>165</v>
      </c>
      <c r="T183" s="380">
        <v>123</v>
      </c>
      <c r="U183" s="380">
        <v>25</v>
      </c>
      <c r="V183" s="380">
        <v>1</v>
      </c>
      <c r="W183" s="386">
        <f>ROUND(G183/V183,2)</f>
        <v>50</v>
      </c>
      <c r="X183" s="347">
        <f>50*W183</f>
        <v>2500</v>
      </c>
      <c r="Y183" s="347">
        <f t="shared" ref="Y183:Y191" si="35">ROUND((S183*T183*U183)*0.000001*W183,2)</f>
        <v>25.37</v>
      </c>
      <c r="Z183" s="761">
        <v>413.17</v>
      </c>
      <c r="AA183" s="410">
        <f t="shared" ref="AA183:AA191" si="36">Z183*G183</f>
        <v>20658.5</v>
      </c>
      <c r="AB183" s="371" t="s">
        <v>46</v>
      </c>
      <c r="AC183" s="355" t="s">
        <v>46</v>
      </c>
      <c r="AD183" s="327"/>
      <c r="AE183" s="375"/>
      <c r="AF183" s="375"/>
      <c r="AG183" s="345"/>
      <c r="AH183" s="345"/>
      <c r="AI183" s="345"/>
      <c r="AJ183" s="375"/>
      <c r="AK183" s="375"/>
      <c r="AL183" s="375"/>
      <c r="AM183" s="375"/>
      <c r="AN183" s="375"/>
      <c r="AO183" s="345"/>
      <c r="AP183" s="375"/>
      <c r="AQ183" s="375"/>
      <c r="AR183" s="375"/>
    </row>
    <row r="184" spans="1:44" ht="26.25" customHeight="1">
      <c r="A184" s="487">
        <v>46136</v>
      </c>
      <c r="B184" s="445" t="s">
        <v>3169</v>
      </c>
      <c r="C184" s="437" t="s">
        <v>3168</v>
      </c>
      <c r="D184" s="361" t="s">
        <v>3311</v>
      </c>
      <c r="E184" s="880" t="s">
        <v>3288</v>
      </c>
      <c r="F184" s="396" t="s">
        <v>52</v>
      </c>
      <c r="G184" s="392">
        <v>50</v>
      </c>
      <c r="H184" s="363" t="s">
        <v>3167</v>
      </c>
      <c r="I184" s="392" t="s">
        <v>348</v>
      </c>
      <c r="J184" s="653" t="s">
        <v>121</v>
      </c>
      <c r="K184" s="512" t="s">
        <v>56</v>
      </c>
      <c r="L184" s="427" t="s">
        <v>634</v>
      </c>
      <c r="M184" s="383">
        <v>46227</v>
      </c>
      <c r="N184" s="505"/>
      <c r="O184" s="382" t="s">
        <v>55</v>
      </c>
      <c r="P184" s="374">
        <v>43197</v>
      </c>
      <c r="Q184" s="425">
        <v>46149</v>
      </c>
      <c r="R184" s="390" t="s">
        <v>49</v>
      </c>
      <c r="S184" s="368">
        <v>125</v>
      </c>
      <c r="T184" s="368">
        <v>72</v>
      </c>
      <c r="U184" s="368">
        <v>22</v>
      </c>
      <c r="V184" s="368">
        <v>2</v>
      </c>
      <c r="W184" s="347">
        <f>G184/V184</f>
        <v>25</v>
      </c>
      <c r="X184" s="386">
        <f>106*W184</f>
        <v>2650</v>
      </c>
      <c r="Y184" s="408">
        <f t="shared" si="35"/>
        <v>4.95</v>
      </c>
      <c r="Z184" s="347">
        <v>145.93</v>
      </c>
      <c r="AA184" s="360">
        <f t="shared" si="36"/>
        <v>7296.5</v>
      </c>
      <c r="AB184" s="371" t="s">
        <v>46</v>
      </c>
      <c r="AC184" s="355"/>
      <c r="AD184" s="327"/>
      <c r="AE184" s="425">
        <v>46149</v>
      </c>
      <c r="AF184" s="425">
        <v>46149</v>
      </c>
      <c r="AG184" s="345"/>
      <c r="AH184" s="345"/>
      <c r="AI184" s="345"/>
      <c r="AJ184" s="375"/>
      <c r="AK184" s="375"/>
      <c r="AL184" s="375"/>
      <c r="AM184" s="375"/>
      <c r="AN184" s="375"/>
      <c r="AO184" s="345"/>
      <c r="AP184" s="375"/>
      <c r="AQ184" s="446" t="s">
        <v>2075</v>
      </c>
      <c r="AR184" s="375"/>
    </row>
    <row r="185" spans="1:44" ht="26.25" customHeight="1">
      <c r="A185" s="487">
        <v>46136</v>
      </c>
      <c r="B185" s="445" t="s">
        <v>3129</v>
      </c>
      <c r="C185" s="437" t="s">
        <v>3128</v>
      </c>
      <c r="D185" s="361"/>
      <c r="E185" s="880" t="s">
        <v>3127</v>
      </c>
      <c r="F185" s="396" t="s">
        <v>52</v>
      </c>
      <c r="G185" s="392">
        <v>50</v>
      </c>
      <c r="H185" s="498" t="s">
        <v>3126</v>
      </c>
      <c r="I185" s="387" t="s">
        <v>218</v>
      </c>
      <c r="J185" s="484" t="s">
        <v>3125</v>
      </c>
      <c r="K185" s="764" t="s">
        <v>56</v>
      </c>
      <c r="L185" s="427" t="s">
        <v>634</v>
      </c>
      <c r="M185" s="383">
        <v>46227</v>
      </c>
      <c r="N185" s="505"/>
      <c r="O185" s="369" t="s">
        <v>1386</v>
      </c>
      <c r="P185" s="714"/>
      <c r="Q185" s="348"/>
      <c r="R185" s="327" t="s">
        <v>2147</v>
      </c>
      <c r="S185" s="368" t="s">
        <v>3124</v>
      </c>
      <c r="T185" s="368" t="s">
        <v>3123</v>
      </c>
      <c r="U185" s="368">
        <v>24</v>
      </c>
      <c r="V185" s="368">
        <v>2</v>
      </c>
      <c r="W185" s="929">
        <f t="shared" ref="W185:W191" si="37">ROUND(G185/V185,2)</f>
        <v>25</v>
      </c>
      <c r="X185" s="377">
        <f>16*W185</f>
        <v>400</v>
      </c>
      <c r="Y185" s="359">
        <f t="shared" si="35"/>
        <v>2.3199999999999998</v>
      </c>
      <c r="Z185" s="376">
        <v>74.099999999999994</v>
      </c>
      <c r="AA185" s="360">
        <f t="shared" si="36"/>
        <v>3704.9999999999995</v>
      </c>
      <c r="AB185" s="346" t="s">
        <v>46</v>
      </c>
      <c r="AC185" s="355"/>
      <c r="AD185" s="327"/>
      <c r="AE185" s="375"/>
      <c r="AF185" s="375"/>
      <c r="AG185" s="345"/>
      <c r="AH185" s="375"/>
      <c r="AI185" s="345"/>
      <c r="AJ185" s="375"/>
      <c r="AK185" s="375"/>
      <c r="AL185" s="375"/>
      <c r="AM185" s="375"/>
      <c r="AN185" s="345"/>
      <c r="AO185" s="345"/>
      <c r="AP185" s="375"/>
      <c r="AQ185" s="375"/>
      <c r="AR185" s="375"/>
    </row>
    <row r="186" spans="1:44" ht="36.75" customHeight="1">
      <c r="A186" s="487">
        <v>46136</v>
      </c>
      <c r="B186" s="445" t="s">
        <v>3222</v>
      </c>
      <c r="C186" s="437" t="s">
        <v>3221</v>
      </c>
      <c r="D186" s="361" t="s">
        <v>3312</v>
      </c>
      <c r="E186" s="736"/>
      <c r="F186" s="396" t="s">
        <v>52</v>
      </c>
      <c r="G186" s="392">
        <v>200</v>
      </c>
      <c r="H186" s="497" t="s">
        <v>3220</v>
      </c>
      <c r="I186" s="393" t="s">
        <v>3219</v>
      </c>
      <c r="J186" s="947" t="s">
        <v>59</v>
      </c>
      <c r="K186" s="947" t="s">
        <v>56</v>
      </c>
      <c r="L186" s="427" t="s">
        <v>634</v>
      </c>
      <c r="M186" s="383">
        <v>46227</v>
      </c>
      <c r="N186" s="505"/>
      <c r="O186" s="382" t="s">
        <v>55</v>
      </c>
      <c r="P186" s="941">
        <v>42323</v>
      </c>
      <c r="Q186" s="425">
        <v>46149</v>
      </c>
      <c r="R186" s="366" t="s">
        <v>3202</v>
      </c>
      <c r="S186" s="683">
        <v>42</v>
      </c>
      <c r="T186" s="362">
        <v>40</v>
      </c>
      <c r="U186" s="683">
        <v>45</v>
      </c>
      <c r="V186" s="358">
        <v>5</v>
      </c>
      <c r="W186" s="358">
        <f t="shared" si="37"/>
        <v>40</v>
      </c>
      <c r="X186" s="946">
        <f>(2.5*V186+1.5)*W186</f>
        <v>560</v>
      </c>
      <c r="Y186" s="362">
        <f t="shared" si="35"/>
        <v>3.02</v>
      </c>
      <c r="Z186" s="396">
        <v>28.97</v>
      </c>
      <c r="AA186" s="688">
        <f t="shared" si="36"/>
        <v>5794</v>
      </c>
      <c r="AB186" s="372" t="s">
        <v>46</v>
      </c>
      <c r="AC186" s="355" t="s">
        <v>46</v>
      </c>
      <c r="AD186" s="327"/>
      <c r="AE186" s="425">
        <v>46149</v>
      </c>
      <c r="AF186" s="425">
        <v>46149</v>
      </c>
      <c r="AG186" s="345"/>
      <c r="AH186" s="345"/>
      <c r="AI186" s="345"/>
      <c r="AJ186" s="375"/>
      <c r="AK186" s="375"/>
      <c r="AL186" s="375"/>
      <c r="AM186" s="375"/>
      <c r="AN186" s="375"/>
      <c r="AO186" s="345"/>
      <c r="AP186" s="375"/>
      <c r="AQ186" s="375"/>
      <c r="AR186" s="375"/>
    </row>
    <row r="187" spans="1:44" ht="45" customHeight="1">
      <c r="A187" s="487">
        <v>46136</v>
      </c>
      <c r="B187" s="445" t="s">
        <v>3212</v>
      </c>
      <c r="C187" s="437" t="s">
        <v>3211</v>
      </c>
      <c r="D187" s="361"/>
      <c r="E187" s="736"/>
      <c r="F187" s="396" t="s">
        <v>52</v>
      </c>
      <c r="G187" s="392">
        <v>200</v>
      </c>
      <c r="H187" s="497" t="s">
        <v>3210</v>
      </c>
      <c r="I187" s="363" t="s">
        <v>66</v>
      </c>
      <c r="J187" s="484" t="s">
        <v>59</v>
      </c>
      <c r="K187" s="392" t="s">
        <v>56</v>
      </c>
      <c r="L187" s="384" t="s">
        <v>3228</v>
      </c>
      <c r="M187" s="383">
        <v>46227</v>
      </c>
      <c r="N187" s="505"/>
      <c r="O187" s="382" t="s">
        <v>55</v>
      </c>
      <c r="P187" s="374" t="s">
        <v>48</v>
      </c>
      <c r="Q187" s="943"/>
      <c r="R187" s="395" t="s">
        <v>49</v>
      </c>
      <c r="S187" s="368">
        <v>75</v>
      </c>
      <c r="T187" s="368">
        <v>47</v>
      </c>
      <c r="U187" s="368">
        <v>22</v>
      </c>
      <c r="V187" s="368">
        <v>2</v>
      </c>
      <c r="W187" s="364">
        <f t="shared" si="37"/>
        <v>100</v>
      </c>
      <c r="X187" s="386">
        <f>10*W187</f>
        <v>1000</v>
      </c>
      <c r="Y187" s="347">
        <f t="shared" si="35"/>
        <v>7.76</v>
      </c>
      <c r="Z187" s="400">
        <v>41.02</v>
      </c>
      <c r="AA187" s="360">
        <f t="shared" si="36"/>
        <v>8204</v>
      </c>
      <c r="AB187" s="346" t="s">
        <v>46</v>
      </c>
      <c r="AC187" s="355" t="s">
        <v>46</v>
      </c>
      <c r="AD187" s="327"/>
      <c r="AE187" s="375"/>
      <c r="AF187" s="375"/>
      <c r="AG187" s="345"/>
      <c r="AH187" s="345"/>
      <c r="AI187" s="345"/>
      <c r="AJ187" s="375"/>
      <c r="AK187" s="375"/>
      <c r="AL187" s="375"/>
      <c r="AM187" s="375"/>
      <c r="AN187" s="375"/>
      <c r="AO187" s="345"/>
      <c r="AP187" s="345"/>
      <c r="AQ187" s="345"/>
      <c r="AR187" s="375"/>
    </row>
    <row r="188" spans="1:44" ht="45" customHeight="1">
      <c r="A188" s="487">
        <v>46136</v>
      </c>
      <c r="B188" s="445" t="s">
        <v>3226</v>
      </c>
      <c r="C188" s="437" t="s">
        <v>3225</v>
      </c>
      <c r="D188" s="361"/>
      <c r="E188" s="736"/>
      <c r="F188" s="396" t="s">
        <v>52</v>
      </c>
      <c r="G188" s="392">
        <v>100</v>
      </c>
      <c r="H188" s="527" t="s">
        <v>3224</v>
      </c>
      <c r="I188" s="363" t="s">
        <v>3223</v>
      </c>
      <c r="J188" s="484" t="s">
        <v>59</v>
      </c>
      <c r="K188" s="363" t="s">
        <v>56</v>
      </c>
      <c r="L188" s="384" t="s">
        <v>72</v>
      </c>
      <c r="M188" s="383">
        <v>46227</v>
      </c>
      <c r="N188" s="505"/>
      <c r="O188" s="382" t="s">
        <v>55</v>
      </c>
      <c r="P188" s="374">
        <v>45533</v>
      </c>
      <c r="Q188" s="348"/>
      <c r="R188" s="407" t="s">
        <v>59</v>
      </c>
      <c r="S188" s="380">
        <v>46</v>
      </c>
      <c r="T188" s="380">
        <v>46</v>
      </c>
      <c r="U188" s="380">
        <v>60</v>
      </c>
      <c r="V188" s="379">
        <v>5</v>
      </c>
      <c r="W188" s="378">
        <f t="shared" si="37"/>
        <v>20</v>
      </c>
      <c r="X188" s="377">
        <f>14*W188</f>
        <v>280</v>
      </c>
      <c r="Y188" s="768">
        <f t="shared" si="35"/>
        <v>2.54</v>
      </c>
      <c r="Z188" s="376">
        <v>27.64</v>
      </c>
      <c r="AA188" s="778">
        <f t="shared" si="36"/>
        <v>2764</v>
      </c>
      <c r="AB188" s="346" t="s">
        <v>46</v>
      </c>
      <c r="AC188" s="355" t="s">
        <v>46</v>
      </c>
      <c r="AD188" s="327"/>
      <c r="AE188" s="375"/>
      <c r="AF188" s="375"/>
      <c r="AG188" s="345"/>
      <c r="AH188" s="345"/>
      <c r="AI188" s="345"/>
      <c r="AJ188" s="375"/>
      <c r="AK188" s="375"/>
      <c r="AL188" s="375"/>
      <c r="AM188" s="375"/>
      <c r="AN188" s="375"/>
      <c r="AO188" s="345"/>
      <c r="AP188" s="375"/>
      <c r="AQ188" s="375"/>
      <c r="AR188" s="375"/>
    </row>
    <row r="189" spans="1:44" ht="26.25" customHeight="1">
      <c r="A189" s="487">
        <v>46136</v>
      </c>
      <c r="B189" s="445" t="s">
        <v>3206</v>
      </c>
      <c r="C189" s="437" t="s">
        <v>3205</v>
      </c>
      <c r="D189" s="361"/>
      <c r="E189" s="736" t="s">
        <v>3164</v>
      </c>
      <c r="F189" s="396" t="s">
        <v>52</v>
      </c>
      <c r="G189" s="392">
        <v>50</v>
      </c>
      <c r="H189" s="951" t="s">
        <v>3204</v>
      </c>
      <c r="I189" s="327" t="s">
        <v>3203</v>
      </c>
      <c r="J189" s="942" t="s">
        <v>122</v>
      </c>
      <c r="K189" s="327" t="s">
        <v>53</v>
      </c>
      <c r="L189" s="488" t="s">
        <v>60</v>
      </c>
      <c r="M189" s="383">
        <v>46227</v>
      </c>
      <c r="N189" s="505"/>
      <c r="O189" s="382"/>
      <c r="P189" s="941"/>
      <c r="Q189" s="348"/>
      <c r="R189" s="366" t="s">
        <v>3202</v>
      </c>
      <c r="S189" s="401">
        <v>40</v>
      </c>
      <c r="T189" s="401">
        <v>40</v>
      </c>
      <c r="U189" s="401">
        <v>25</v>
      </c>
      <c r="V189" s="401">
        <v>50</v>
      </c>
      <c r="W189" s="347">
        <f t="shared" si="37"/>
        <v>1</v>
      </c>
      <c r="X189" s="347">
        <f>7*W189</f>
        <v>7</v>
      </c>
      <c r="Y189" s="347">
        <f t="shared" si="35"/>
        <v>0.04</v>
      </c>
      <c r="Z189" s="940">
        <v>2.0499999999999998</v>
      </c>
      <c r="AA189" s="939">
        <f t="shared" si="36"/>
        <v>102.49999999999999</v>
      </c>
      <c r="AB189" s="866" t="s">
        <v>46</v>
      </c>
      <c r="AC189" s="355" t="s">
        <v>46</v>
      </c>
      <c r="AD189" s="327"/>
      <c r="AE189" s="375"/>
      <c r="AF189" s="375"/>
      <c r="AG189" s="345"/>
      <c r="AH189" s="345"/>
      <c r="AI189" s="345"/>
      <c r="AJ189" s="375"/>
      <c r="AK189" s="375"/>
      <c r="AL189" s="375"/>
      <c r="AM189" s="375"/>
      <c r="AN189" s="375"/>
      <c r="AO189" s="345"/>
      <c r="AP189" s="345"/>
      <c r="AQ189" s="345"/>
      <c r="AR189" s="446" t="s">
        <v>2525</v>
      </c>
    </row>
    <row r="190" spans="1:44" ht="26.25" customHeight="1">
      <c r="A190" s="487">
        <v>46136</v>
      </c>
      <c r="B190" s="445" t="s">
        <v>3192</v>
      </c>
      <c r="C190" s="437" t="s">
        <v>3191</v>
      </c>
      <c r="D190" s="361"/>
      <c r="E190" s="736" t="s">
        <v>3237</v>
      </c>
      <c r="F190" s="396" t="s">
        <v>52</v>
      </c>
      <c r="G190" s="392">
        <v>150</v>
      </c>
      <c r="H190" s="812" t="s">
        <v>3190</v>
      </c>
      <c r="I190" s="393" t="s">
        <v>3189</v>
      </c>
      <c r="J190" s="484" t="s">
        <v>59</v>
      </c>
      <c r="K190" s="393" t="s">
        <v>63</v>
      </c>
      <c r="L190" s="488" t="s">
        <v>60</v>
      </c>
      <c r="M190" s="383">
        <v>46227</v>
      </c>
      <c r="N190" s="505"/>
      <c r="O190" s="382" t="s">
        <v>55</v>
      </c>
      <c r="P190" s="369">
        <v>43955</v>
      </c>
      <c r="Q190" s="348"/>
      <c r="R190" s="395" t="s">
        <v>49</v>
      </c>
      <c r="S190" s="368">
        <v>120</v>
      </c>
      <c r="T190" s="355">
        <v>100</v>
      </c>
      <c r="U190" s="368">
        <v>120</v>
      </c>
      <c r="V190" s="355">
        <v>15</v>
      </c>
      <c r="W190" s="355">
        <f t="shared" si="37"/>
        <v>10</v>
      </c>
      <c r="X190" s="365">
        <f>81.5*W190</f>
        <v>815</v>
      </c>
      <c r="Y190" s="355">
        <f t="shared" si="35"/>
        <v>14.4</v>
      </c>
      <c r="Z190" s="396">
        <v>50.29</v>
      </c>
      <c r="AA190" s="411">
        <f t="shared" si="36"/>
        <v>7543.5</v>
      </c>
      <c r="AB190" s="346" t="s">
        <v>46</v>
      </c>
      <c r="AC190" s="355"/>
      <c r="AD190" s="327"/>
      <c r="AE190" s="375"/>
      <c r="AF190" s="375"/>
      <c r="AG190" s="345"/>
      <c r="AH190" s="345"/>
      <c r="AI190" s="345"/>
      <c r="AJ190" s="375"/>
      <c r="AK190" s="375"/>
      <c r="AL190" s="375"/>
      <c r="AM190" s="375"/>
      <c r="AN190" s="375"/>
      <c r="AO190" s="345"/>
      <c r="AP190" s="375"/>
      <c r="AQ190" s="375"/>
      <c r="AR190" s="375"/>
    </row>
    <row r="191" spans="1:44" ht="26.25" customHeight="1">
      <c r="A191" s="487">
        <v>46136</v>
      </c>
      <c r="B191" s="445" t="s">
        <v>3201</v>
      </c>
      <c r="C191" s="437" t="s">
        <v>3200</v>
      </c>
      <c r="D191" s="361"/>
      <c r="E191" s="736" t="s">
        <v>3199</v>
      </c>
      <c r="F191" s="396" t="s">
        <v>52</v>
      </c>
      <c r="G191" s="488">
        <v>39</v>
      </c>
      <c r="H191" s="950" t="s">
        <v>3198</v>
      </c>
      <c r="I191" s="393" t="s">
        <v>79</v>
      </c>
      <c r="J191" s="392" t="s">
        <v>3197</v>
      </c>
      <c r="K191" s="392" t="s">
        <v>53</v>
      </c>
      <c r="L191" s="488" t="s">
        <v>60</v>
      </c>
      <c r="M191" s="383">
        <v>46227</v>
      </c>
      <c r="N191" s="505"/>
      <c r="O191" s="382" t="s">
        <v>3196</v>
      </c>
      <c r="P191" s="369">
        <v>42531</v>
      </c>
      <c r="Q191" s="446">
        <v>46155</v>
      </c>
      <c r="R191" s="327" t="s">
        <v>636</v>
      </c>
      <c r="S191" s="500">
        <v>52</v>
      </c>
      <c r="T191" s="421">
        <v>52</v>
      </c>
      <c r="U191" s="500">
        <v>60</v>
      </c>
      <c r="V191" s="371">
        <v>10</v>
      </c>
      <c r="W191" s="388">
        <f t="shared" si="37"/>
        <v>3.9</v>
      </c>
      <c r="X191" s="366">
        <f>20.5*W191</f>
        <v>79.95</v>
      </c>
      <c r="Y191" s="408">
        <f t="shared" si="35"/>
        <v>0.63</v>
      </c>
      <c r="Z191" s="396">
        <v>19.97</v>
      </c>
      <c r="AA191" s="360">
        <f t="shared" si="36"/>
        <v>778.82999999999993</v>
      </c>
      <c r="AB191" s="355" t="s">
        <v>46</v>
      </c>
      <c r="AC191" s="355" t="s">
        <v>46</v>
      </c>
      <c r="AD191" s="327"/>
      <c r="AE191" s="446">
        <v>46155</v>
      </c>
      <c r="AF191" s="446">
        <v>46155</v>
      </c>
      <c r="AG191" s="345"/>
      <c r="AH191" s="446">
        <v>46158</v>
      </c>
      <c r="AI191" s="345"/>
      <c r="AJ191" s="375"/>
      <c r="AK191" s="375"/>
      <c r="AL191" s="375"/>
      <c r="AM191" s="375"/>
      <c r="AN191" s="375"/>
      <c r="AO191" s="345"/>
      <c r="AP191" s="345"/>
      <c r="AQ191" s="345"/>
      <c r="AR191" s="446" t="s">
        <v>2326</v>
      </c>
    </row>
    <row r="192" spans="1:44" ht="27" customHeight="1">
      <c r="A192" s="330"/>
      <c r="B192" s="331"/>
      <c r="C192" s="332"/>
      <c r="D192" s="333"/>
      <c r="E192" s="334"/>
      <c r="F192" s="334"/>
      <c r="G192" s="335">
        <f>SUM(G183:G191)</f>
        <v>889</v>
      </c>
      <c r="H192" s="334"/>
      <c r="I192" s="334"/>
      <c r="J192" s="334"/>
      <c r="K192" s="334"/>
      <c r="L192" s="336"/>
      <c r="M192" s="332"/>
      <c r="N192" s="332"/>
      <c r="O192" s="337"/>
      <c r="P192" s="338"/>
      <c r="Q192" s="337"/>
      <c r="R192" s="339"/>
      <c r="S192" s="340"/>
      <c r="T192" s="340"/>
      <c r="U192" s="340"/>
      <c r="V192" s="340"/>
      <c r="W192" s="341"/>
      <c r="X192" s="342"/>
      <c r="Y192" s="343">
        <f>SUM(Y183:Y191)</f>
        <v>61.03</v>
      </c>
      <c r="Z192" s="342"/>
      <c r="AA192" s="344"/>
      <c r="AB192" s="332"/>
      <c r="AC192" s="332"/>
      <c r="AD192" s="339"/>
      <c r="AE192" s="337"/>
      <c r="AF192" s="338"/>
      <c r="AG192" s="337"/>
      <c r="AH192" s="338"/>
      <c r="AI192" s="337"/>
      <c r="AJ192" s="338"/>
      <c r="AK192" s="338"/>
      <c r="AL192" s="338"/>
      <c r="AM192" s="338"/>
      <c r="AN192" s="338"/>
      <c r="AO192" s="338"/>
      <c r="AP192" s="338"/>
      <c r="AQ192" s="338"/>
      <c r="AR192" s="338"/>
    </row>
    <row r="193" spans="1:45" ht="27.75" customHeight="1">
      <c r="A193" s="351" t="s">
        <v>3249</v>
      </c>
      <c r="B193" s="331"/>
      <c r="C193" s="332"/>
      <c r="D193" s="333"/>
      <c r="E193" s="334"/>
      <c r="F193" s="334"/>
      <c r="G193" s="524"/>
      <c r="H193" s="341"/>
      <c r="I193" s="334"/>
      <c r="J193" s="334"/>
      <c r="K193" s="334"/>
      <c r="L193" s="336"/>
      <c r="M193" s="332"/>
      <c r="N193" s="332"/>
      <c r="O193" s="337"/>
      <c r="P193" s="338"/>
      <c r="Q193" s="337"/>
      <c r="R193" s="339"/>
      <c r="S193" s="340"/>
      <c r="T193" s="340"/>
      <c r="U193" s="340"/>
      <c r="V193" s="340"/>
      <c r="W193" s="341"/>
      <c r="X193" s="342"/>
      <c r="Y193" s="350"/>
      <c r="Z193" s="342"/>
      <c r="AA193" s="344"/>
      <c r="AB193" s="332"/>
      <c r="AC193" s="332"/>
      <c r="AD193" s="339"/>
      <c r="AE193" s="337"/>
      <c r="AF193" s="338"/>
      <c r="AG193" s="337"/>
      <c r="AH193" s="338"/>
      <c r="AI193" s="337"/>
      <c r="AJ193" s="338"/>
      <c r="AK193" s="338"/>
      <c r="AL193" s="338"/>
      <c r="AM193" s="338"/>
      <c r="AN193" s="338"/>
      <c r="AO193" s="338"/>
      <c r="AP193" s="338"/>
      <c r="AQ193" s="338"/>
      <c r="AR193" s="338"/>
    </row>
    <row r="194" spans="1:45" ht="30" customHeight="1">
      <c r="A194" s="487">
        <v>46136</v>
      </c>
      <c r="B194" s="445" t="s">
        <v>3110</v>
      </c>
      <c r="C194" s="437" t="s">
        <v>3112</v>
      </c>
      <c r="D194" s="361" t="s">
        <v>3313</v>
      </c>
      <c r="E194" s="736"/>
      <c r="F194" s="396" t="s">
        <v>52</v>
      </c>
      <c r="G194" s="392">
        <v>200</v>
      </c>
      <c r="H194" s="534" t="s">
        <v>2123</v>
      </c>
      <c r="I194" s="363" t="s">
        <v>2122</v>
      </c>
      <c r="J194" s="484" t="s">
        <v>59</v>
      </c>
      <c r="K194" s="363" t="s">
        <v>56</v>
      </c>
      <c r="L194" s="384" t="s">
        <v>68</v>
      </c>
      <c r="M194" s="383">
        <v>46232</v>
      </c>
      <c r="N194" s="665" t="s">
        <v>54</v>
      </c>
      <c r="O194" s="423" t="s">
        <v>85</v>
      </c>
      <c r="P194" s="633">
        <v>42300</v>
      </c>
      <c r="Q194" s="425">
        <v>46158</v>
      </c>
      <c r="R194" s="390" t="s">
        <v>59</v>
      </c>
      <c r="S194" s="368">
        <v>71</v>
      </c>
      <c r="T194" s="368">
        <v>43</v>
      </c>
      <c r="U194" s="368">
        <v>86</v>
      </c>
      <c r="V194" s="368">
        <v>2</v>
      </c>
      <c r="W194" s="364">
        <f t="shared" ref="W194:W199" si="38">ROUND(G194/V194,2)</f>
        <v>100</v>
      </c>
      <c r="X194" s="347">
        <f>22*W194</f>
        <v>2200</v>
      </c>
      <c r="Y194" s="359">
        <f t="shared" ref="Y194:Y199" si="39">ROUND((S194*T194*U194)*0.000001*W194,2)</f>
        <v>26.26</v>
      </c>
      <c r="Z194" s="629">
        <v>99.27</v>
      </c>
      <c r="AA194" s="360">
        <f t="shared" ref="AA194:AA199" si="40">Z194*G194</f>
        <v>19854</v>
      </c>
      <c r="AB194" s="355" t="s">
        <v>46</v>
      </c>
      <c r="AC194" s="355"/>
      <c r="AD194" s="327"/>
      <c r="AE194" s="425">
        <v>46158</v>
      </c>
      <c r="AF194" s="425">
        <v>46158</v>
      </c>
      <c r="AG194" s="345"/>
      <c r="AH194" s="345"/>
      <c r="AI194" s="345"/>
      <c r="AJ194" s="375"/>
      <c r="AK194" s="375"/>
      <c r="AL194" s="375"/>
      <c r="AM194" s="375"/>
      <c r="AN194" s="375"/>
      <c r="AO194" s="345"/>
      <c r="AP194" s="345"/>
      <c r="AQ194" s="345"/>
      <c r="AR194" s="345"/>
    </row>
    <row r="195" spans="1:45" ht="26.25" customHeight="1">
      <c r="A195" s="487">
        <v>46136</v>
      </c>
      <c r="B195" s="445" t="s">
        <v>3173</v>
      </c>
      <c r="C195" s="326" t="s">
        <v>3172</v>
      </c>
      <c r="D195" s="361"/>
      <c r="E195" s="736" t="s">
        <v>3411</v>
      </c>
      <c r="F195" s="396" t="s">
        <v>52</v>
      </c>
      <c r="G195" s="392">
        <v>50</v>
      </c>
      <c r="H195" s="754" t="s">
        <v>3171</v>
      </c>
      <c r="I195" s="396" t="s">
        <v>89</v>
      </c>
      <c r="J195" s="484" t="s">
        <v>59</v>
      </c>
      <c r="K195" s="392" t="s">
        <v>2406</v>
      </c>
      <c r="L195" s="488" t="s">
        <v>60</v>
      </c>
      <c r="M195" s="383">
        <v>46232</v>
      </c>
      <c r="N195" s="505"/>
      <c r="O195" s="327" t="s">
        <v>3170</v>
      </c>
      <c r="P195" s="395" t="s">
        <v>3383</v>
      </c>
      <c r="Q195" s="348"/>
      <c r="R195" s="349" t="s">
        <v>49</v>
      </c>
      <c r="S195" s="380">
        <v>60</v>
      </c>
      <c r="T195" s="371">
        <v>40</v>
      </c>
      <c r="U195" s="380">
        <v>50</v>
      </c>
      <c r="V195" s="371">
        <v>25</v>
      </c>
      <c r="W195" s="407">
        <f t="shared" si="38"/>
        <v>2</v>
      </c>
      <c r="X195" s="385">
        <f>19.5*W195</f>
        <v>39</v>
      </c>
      <c r="Y195" s="408">
        <f t="shared" si="39"/>
        <v>0.24</v>
      </c>
      <c r="Z195" s="627">
        <v>6.72</v>
      </c>
      <c r="AA195" s="360">
        <f t="shared" si="40"/>
        <v>336</v>
      </c>
      <c r="AB195" s="346" t="s">
        <v>46</v>
      </c>
      <c r="AC195" s="355"/>
      <c r="AD195" s="327"/>
      <c r="AE195" s="375"/>
      <c r="AF195" s="375"/>
      <c r="AG195" s="345"/>
      <c r="AH195" s="345"/>
      <c r="AI195" s="345"/>
      <c r="AJ195" s="375"/>
      <c r="AK195" s="375"/>
      <c r="AL195" s="375"/>
      <c r="AM195" s="375"/>
      <c r="AN195" s="375"/>
      <c r="AO195" s="345"/>
      <c r="AP195" s="345"/>
      <c r="AQ195" s="345"/>
      <c r="AR195" s="375"/>
    </row>
    <row r="196" spans="1:45" ht="26.25" customHeight="1">
      <c r="A196" s="487">
        <v>46136</v>
      </c>
      <c r="B196" s="445" t="s">
        <v>3188</v>
      </c>
      <c r="C196" s="326" t="s">
        <v>3187</v>
      </c>
      <c r="D196" s="361"/>
      <c r="E196" s="609" t="s">
        <v>3186</v>
      </c>
      <c r="F196" s="396" t="s">
        <v>52</v>
      </c>
      <c r="G196" s="392">
        <v>50</v>
      </c>
      <c r="H196" s="484" t="s">
        <v>2389</v>
      </c>
      <c r="I196" s="393" t="s">
        <v>2402</v>
      </c>
      <c r="J196" s="484" t="s">
        <v>59</v>
      </c>
      <c r="K196" s="384" t="s">
        <v>56</v>
      </c>
      <c r="L196" s="427" t="s">
        <v>634</v>
      </c>
      <c r="M196" s="383">
        <v>46232</v>
      </c>
      <c r="N196" s="505"/>
      <c r="O196" s="382" t="s">
        <v>65</v>
      </c>
      <c r="P196" s="374">
        <v>45749</v>
      </c>
      <c r="Q196" s="348"/>
      <c r="R196" s="395" t="s">
        <v>49</v>
      </c>
      <c r="S196" s="543">
        <v>242</v>
      </c>
      <c r="T196" s="543">
        <v>102</v>
      </c>
      <c r="U196" s="543">
        <v>14</v>
      </c>
      <c r="V196" s="543">
        <v>1</v>
      </c>
      <c r="W196" s="355">
        <f t="shared" si="38"/>
        <v>50</v>
      </c>
      <c r="X196" s="365">
        <f>75*W196</f>
        <v>3750</v>
      </c>
      <c r="Y196" s="355">
        <f t="shared" si="39"/>
        <v>17.28</v>
      </c>
      <c r="Z196" s="651"/>
      <c r="AA196" s="360">
        <f t="shared" si="40"/>
        <v>0</v>
      </c>
      <c r="AB196" s="346" t="s">
        <v>46</v>
      </c>
      <c r="AC196" s="355"/>
      <c r="AD196" s="327"/>
      <c r="AE196" s="375"/>
      <c r="AF196" s="375"/>
      <c r="AG196" s="345"/>
      <c r="AH196" s="345"/>
      <c r="AI196" s="345"/>
      <c r="AJ196" s="375"/>
      <c r="AK196" s="375"/>
      <c r="AL196" s="375"/>
      <c r="AM196" s="375"/>
      <c r="AN196" s="375"/>
      <c r="AO196" s="345"/>
      <c r="AP196" s="375"/>
      <c r="AQ196" s="375"/>
      <c r="AR196" s="375"/>
    </row>
    <row r="197" spans="1:45" ht="26.25" customHeight="1">
      <c r="A197" s="487">
        <v>46136</v>
      </c>
      <c r="B197" s="445" t="s">
        <v>3150</v>
      </c>
      <c r="C197" s="437" t="s">
        <v>3151</v>
      </c>
      <c r="D197" s="361"/>
      <c r="E197" s="736" t="s">
        <v>3239</v>
      </c>
      <c r="F197" s="396" t="s">
        <v>52</v>
      </c>
      <c r="G197" s="392">
        <v>200</v>
      </c>
      <c r="H197" s="701" t="s">
        <v>3148</v>
      </c>
      <c r="I197" s="600" t="s">
        <v>94</v>
      </c>
      <c r="J197" s="484" t="s">
        <v>59</v>
      </c>
      <c r="K197" s="935" t="s">
        <v>56</v>
      </c>
      <c r="L197" s="384" t="s">
        <v>3230</v>
      </c>
      <c r="M197" s="383">
        <v>46220</v>
      </c>
      <c r="N197" s="505"/>
      <c r="O197" s="369" t="s">
        <v>1386</v>
      </c>
      <c r="P197" s="714" t="s">
        <v>48</v>
      </c>
      <c r="Q197" s="446">
        <v>46156</v>
      </c>
      <c r="R197" s="390" t="s">
        <v>59</v>
      </c>
      <c r="S197" s="422">
        <v>80</v>
      </c>
      <c r="T197" s="422">
        <v>53</v>
      </c>
      <c r="U197" s="422">
        <v>25</v>
      </c>
      <c r="V197" s="422">
        <v>2</v>
      </c>
      <c r="W197" s="364">
        <f t="shared" si="38"/>
        <v>100</v>
      </c>
      <c r="X197" s="532">
        <f>27*W197</f>
        <v>2700</v>
      </c>
      <c r="Y197" s="414">
        <f t="shared" si="39"/>
        <v>10.6</v>
      </c>
      <c r="Z197" s="376">
        <v>90.11</v>
      </c>
      <c r="AA197" s="360">
        <f t="shared" si="40"/>
        <v>18022</v>
      </c>
      <c r="AB197" s="346" t="s">
        <v>46</v>
      </c>
      <c r="AC197" s="355"/>
      <c r="AD197" s="327"/>
      <c r="AE197" s="446">
        <v>46156</v>
      </c>
      <c r="AF197" s="446">
        <v>46157</v>
      </c>
      <c r="AG197" s="345"/>
      <c r="AH197" s="345"/>
      <c r="AI197" s="345"/>
      <c r="AJ197" s="375"/>
      <c r="AK197" s="375"/>
      <c r="AL197" s="375"/>
      <c r="AM197" s="375"/>
      <c r="AN197" s="375"/>
      <c r="AO197" s="375"/>
      <c r="AP197" s="375"/>
      <c r="AQ197" s="375"/>
      <c r="AR197" s="375"/>
    </row>
    <row r="198" spans="1:45" ht="26.25" customHeight="1">
      <c r="A198" s="487">
        <v>46136</v>
      </c>
      <c r="B198" s="445" t="s">
        <v>3180</v>
      </c>
      <c r="C198" s="437" t="s">
        <v>3179</v>
      </c>
      <c r="D198" s="361"/>
      <c r="E198" s="880" t="s">
        <v>3236</v>
      </c>
      <c r="F198" s="396" t="s">
        <v>52</v>
      </c>
      <c r="G198" s="392">
        <v>50</v>
      </c>
      <c r="H198" s="497" t="s">
        <v>1341</v>
      </c>
      <c r="I198" s="363" t="s">
        <v>3178</v>
      </c>
      <c r="J198" s="393" t="s">
        <v>59</v>
      </c>
      <c r="K198" s="402" t="s">
        <v>56</v>
      </c>
      <c r="L198" s="427" t="s">
        <v>634</v>
      </c>
      <c r="M198" s="383">
        <v>46232</v>
      </c>
      <c r="N198" s="505"/>
      <c r="O198" s="628" t="s">
        <v>581</v>
      </c>
      <c r="P198" s="409">
        <v>45554</v>
      </c>
      <c r="Q198" s="348"/>
      <c r="R198" s="327" t="s">
        <v>49</v>
      </c>
      <c r="S198" s="380">
        <v>50</v>
      </c>
      <c r="T198" s="380">
        <v>40</v>
      </c>
      <c r="U198" s="380">
        <v>25</v>
      </c>
      <c r="V198" s="368">
        <v>2</v>
      </c>
      <c r="W198" s="414">
        <f t="shared" si="38"/>
        <v>25</v>
      </c>
      <c r="X198" s="366">
        <f>15*W198</f>
        <v>375</v>
      </c>
      <c r="Y198" s="414">
        <f t="shared" si="39"/>
        <v>1.25</v>
      </c>
      <c r="Z198" s="376">
        <v>74.5</v>
      </c>
      <c r="AA198" s="360">
        <f t="shared" si="40"/>
        <v>3725</v>
      </c>
      <c r="AB198" s="372" t="s">
        <v>46</v>
      </c>
      <c r="AC198" s="355"/>
      <c r="AD198" s="327"/>
      <c r="AE198" s="375"/>
      <c r="AF198" s="375"/>
      <c r="AG198" s="345"/>
      <c r="AH198" s="345"/>
      <c r="AI198" s="345"/>
      <c r="AJ198" s="375"/>
      <c r="AK198" s="375"/>
      <c r="AL198" s="375"/>
      <c r="AM198" s="375"/>
      <c r="AN198" s="375"/>
      <c r="AO198" s="345"/>
      <c r="AP198" s="345"/>
      <c r="AQ198" s="345"/>
      <c r="AR198" s="375"/>
    </row>
    <row r="199" spans="1:45" ht="26.25" customHeight="1">
      <c r="A199" s="487">
        <v>46136</v>
      </c>
      <c r="B199" s="445" t="s">
        <v>3121</v>
      </c>
      <c r="C199" s="437" t="s">
        <v>3122</v>
      </c>
      <c r="D199" s="361"/>
      <c r="E199" s="736" t="s">
        <v>3238</v>
      </c>
      <c r="F199" s="396" t="s">
        <v>52</v>
      </c>
      <c r="G199" s="392">
        <v>500</v>
      </c>
      <c r="H199" s="527" t="s">
        <v>3119</v>
      </c>
      <c r="I199" s="363" t="s">
        <v>3118</v>
      </c>
      <c r="J199" s="363" t="s">
        <v>3117</v>
      </c>
      <c r="K199" s="363" t="s">
        <v>56</v>
      </c>
      <c r="L199" s="384" t="s">
        <v>3231</v>
      </c>
      <c r="M199" s="383">
        <v>46232</v>
      </c>
      <c r="N199" s="505"/>
      <c r="O199" s="382" t="s">
        <v>3116</v>
      </c>
      <c r="P199" s="374" t="s">
        <v>44</v>
      </c>
      <c r="Q199" s="446">
        <v>46157</v>
      </c>
      <c r="R199" s="366" t="s">
        <v>2457</v>
      </c>
      <c r="S199" s="368">
        <v>63</v>
      </c>
      <c r="T199" s="368">
        <v>44</v>
      </c>
      <c r="U199" s="368">
        <v>54</v>
      </c>
      <c r="V199" s="368">
        <v>10</v>
      </c>
      <c r="W199" s="386">
        <f t="shared" si="38"/>
        <v>50</v>
      </c>
      <c r="X199" s="385">
        <f>20*W199</f>
        <v>1000</v>
      </c>
      <c r="Y199" s="347">
        <f t="shared" si="39"/>
        <v>7.48</v>
      </c>
      <c r="Z199" s="772">
        <v>17.3</v>
      </c>
      <c r="AA199" s="360">
        <f t="shared" si="40"/>
        <v>8650</v>
      </c>
      <c r="AB199" s="346" t="s">
        <v>46</v>
      </c>
      <c r="AC199" s="355"/>
      <c r="AD199" s="327"/>
      <c r="AE199" s="446">
        <v>46157</v>
      </c>
      <c r="AF199" s="446">
        <v>46157</v>
      </c>
      <c r="AG199" s="345"/>
      <c r="AH199" s="375"/>
      <c r="AI199" s="345"/>
      <c r="AJ199" s="375"/>
      <c r="AK199" s="375"/>
      <c r="AL199" s="375"/>
      <c r="AM199" s="375"/>
      <c r="AN199" s="345"/>
      <c r="AO199" s="345"/>
      <c r="AP199" s="345"/>
      <c r="AQ199" s="345"/>
      <c r="AR199" s="375"/>
    </row>
    <row r="200" spans="1:45" ht="27" customHeight="1">
      <c r="A200" s="330"/>
      <c r="B200" s="331"/>
      <c r="C200" s="332"/>
      <c r="D200" s="333"/>
      <c r="E200" s="334"/>
      <c r="F200" s="334"/>
      <c r="G200" s="335">
        <f>SUM(G194:G199)</f>
        <v>1050</v>
      </c>
      <c r="H200" s="334"/>
      <c r="I200" s="334"/>
      <c r="J200" s="334"/>
      <c r="K200" s="334"/>
      <c r="L200" s="336"/>
      <c r="M200" s="332"/>
      <c r="N200" s="332"/>
      <c r="O200" s="337"/>
      <c r="P200" s="338"/>
      <c r="Q200" s="337"/>
      <c r="R200" s="339"/>
      <c r="S200" s="340"/>
      <c r="T200" s="340"/>
      <c r="U200" s="340"/>
      <c r="V200" s="340"/>
      <c r="W200" s="341"/>
      <c r="X200" s="342"/>
      <c r="Y200" s="343">
        <f>SUM(Y194:Y199)</f>
        <v>63.11</v>
      </c>
      <c r="Z200" s="342"/>
      <c r="AA200" s="344"/>
      <c r="AB200" s="332"/>
      <c r="AC200" s="332"/>
      <c r="AD200" s="339"/>
      <c r="AE200" s="337"/>
      <c r="AF200" s="338"/>
      <c r="AG200" s="337"/>
      <c r="AH200" s="338"/>
      <c r="AI200" s="337"/>
      <c r="AJ200" s="338"/>
      <c r="AK200" s="338"/>
      <c r="AL200" s="338"/>
      <c r="AM200" s="338"/>
      <c r="AN200" s="338"/>
      <c r="AO200" s="338"/>
      <c r="AP200" s="338"/>
      <c r="AQ200" s="338"/>
      <c r="AR200" s="338"/>
    </row>
    <row r="201" spans="1:45" ht="30" customHeight="1">
      <c r="A201" s="351" t="s">
        <v>3246</v>
      </c>
      <c r="B201" s="331"/>
      <c r="C201" s="332"/>
      <c r="D201" s="333"/>
      <c r="E201" s="334"/>
      <c r="F201" s="334"/>
      <c r="G201" s="334"/>
      <c r="H201" s="341"/>
      <c r="I201" s="334"/>
      <c r="J201" s="334"/>
      <c r="K201" s="334"/>
      <c r="L201" s="336"/>
      <c r="M201" s="332"/>
      <c r="N201" s="332"/>
      <c r="O201" s="337"/>
      <c r="P201" s="338"/>
      <c r="Q201" s="337"/>
      <c r="R201" s="339"/>
      <c r="S201" s="340"/>
      <c r="T201" s="340"/>
      <c r="U201" s="340"/>
      <c r="V201" s="340"/>
      <c r="W201" s="341"/>
      <c r="X201" s="342"/>
      <c r="Y201" s="350"/>
      <c r="Z201" s="342"/>
      <c r="AA201" s="344"/>
      <c r="AB201" s="332"/>
      <c r="AC201" s="332"/>
      <c r="AD201" s="339"/>
      <c r="AE201" s="337"/>
      <c r="AF201" s="338"/>
      <c r="AG201" s="337"/>
      <c r="AH201" s="338"/>
      <c r="AI201" s="337"/>
      <c r="AJ201" s="338"/>
      <c r="AK201" s="338"/>
      <c r="AL201" s="338"/>
      <c r="AM201" s="338"/>
      <c r="AN201" s="338"/>
      <c r="AO201" s="338"/>
      <c r="AP201" s="338"/>
      <c r="AQ201" s="338"/>
      <c r="AR201" s="338"/>
    </row>
    <row r="202" spans="1:45" customFormat="1" ht="27" customHeight="1">
      <c r="A202" s="328">
        <v>46099</v>
      </c>
      <c r="B202" s="447" t="s">
        <v>2593</v>
      </c>
      <c r="C202" s="437" t="s">
        <v>2689</v>
      </c>
      <c r="D202" s="361" t="s">
        <v>3314</v>
      </c>
      <c r="E202" s="353"/>
      <c r="F202" s="818" t="s">
        <v>105</v>
      </c>
      <c r="G202" s="363">
        <v>200</v>
      </c>
      <c r="H202" s="701" t="s">
        <v>2590</v>
      </c>
      <c r="I202" s="819" t="s">
        <v>2303</v>
      </c>
      <c r="J202" s="820" t="s">
        <v>2591</v>
      </c>
      <c r="K202" s="402" t="s">
        <v>53</v>
      </c>
      <c r="L202" s="421" t="s">
        <v>2321</v>
      </c>
      <c r="M202" s="328">
        <v>46237</v>
      </c>
      <c r="N202" s="817" t="s">
        <v>54</v>
      </c>
      <c r="O202" s="821" t="s">
        <v>602</v>
      </c>
      <c r="P202" s="425">
        <v>45409</v>
      </c>
      <c r="Q202" s="425">
        <v>46132</v>
      </c>
      <c r="R202" s="763" t="s">
        <v>2592</v>
      </c>
      <c r="S202" s="422">
        <v>50</v>
      </c>
      <c r="T202" s="422">
        <v>42</v>
      </c>
      <c r="U202" s="422">
        <v>40</v>
      </c>
      <c r="V202" s="368">
        <v>25</v>
      </c>
      <c r="W202" s="388">
        <f t="shared" ref="W202:W233" si="41">ROUND(G202/V202,2)</f>
        <v>8</v>
      </c>
      <c r="X202" s="386">
        <f>(0.6*V202+1.5)*W202</f>
        <v>132</v>
      </c>
      <c r="Y202" s="386">
        <f t="shared" ref="Y202:Y241" si="42">ROUND((S202*T202*U202)*0.000001*W202,2)</f>
        <v>0.67</v>
      </c>
      <c r="Z202" s="347">
        <v>5.8</v>
      </c>
      <c r="AA202" s="410">
        <f t="shared" ref="AA202:AA233" si="43">Z202*G202</f>
        <v>1160</v>
      </c>
      <c r="AB202" s="346" t="s">
        <v>46</v>
      </c>
      <c r="AC202" s="362" t="s">
        <v>48</v>
      </c>
      <c r="AD202" s="822"/>
      <c r="AE202" s="425">
        <v>46132</v>
      </c>
      <c r="AF202" s="425">
        <v>46132</v>
      </c>
      <c r="AG202" s="329"/>
      <c r="AH202" s="446">
        <v>46148</v>
      </c>
      <c r="AI202" s="329"/>
      <c r="AJ202" s="375"/>
      <c r="AK202" s="375"/>
      <c r="AL202" s="375"/>
      <c r="AM202" s="375"/>
      <c r="AN202" s="329"/>
      <c r="AO202" s="329"/>
      <c r="AP202" s="329"/>
      <c r="AQ202" s="329"/>
      <c r="AR202" s="357"/>
    </row>
    <row r="203" spans="1:45" customFormat="1" ht="27" customHeight="1">
      <c r="A203" s="328">
        <v>46099</v>
      </c>
      <c r="B203" s="447" t="s">
        <v>2593</v>
      </c>
      <c r="C203" s="437" t="s">
        <v>2690</v>
      </c>
      <c r="D203" s="438" t="s">
        <v>3315</v>
      </c>
      <c r="E203" s="399"/>
      <c r="F203" s="824" t="s">
        <v>105</v>
      </c>
      <c r="G203" s="825">
        <v>100</v>
      </c>
      <c r="H203" s="828" t="s">
        <v>2594</v>
      </c>
      <c r="I203" s="819" t="s">
        <v>2595</v>
      </c>
      <c r="J203" s="819" t="s">
        <v>2591</v>
      </c>
      <c r="K203" s="402" t="s">
        <v>53</v>
      </c>
      <c r="L203" s="363" t="s">
        <v>2520</v>
      </c>
      <c r="M203" s="328">
        <v>46237</v>
      </c>
      <c r="N203" s="355"/>
      <c r="O203" s="821" t="s">
        <v>602</v>
      </c>
      <c r="P203" s="425">
        <v>45409</v>
      </c>
      <c r="Q203" s="446">
        <v>46135</v>
      </c>
      <c r="R203" s="763" t="s">
        <v>2592</v>
      </c>
      <c r="S203" s="380">
        <v>60</v>
      </c>
      <c r="T203" s="380">
        <v>60</v>
      </c>
      <c r="U203" s="380">
        <v>30</v>
      </c>
      <c r="V203" s="368">
        <v>25</v>
      </c>
      <c r="W203" s="388">
        <f t="shared" si="41"/>
        <v>4</v>
      </c>
      <c r="X203" s="386">
        <f>(0.8*V203+1.5)*W203</f>
        <v>86</v>
      </c>
      <c r="Y203" s="386">
        <f t="shared" si="42"/>
        <v>0.43</v>
      </c>
      <c r="Z203" s="347">
        <v>5.75</v>
      </c>
      <c r="AA203" s="410">
        <f t="shared" si="43"/>
        <v>575</v>
      </c>
      <c r="AB203" s="346" t="s">
        <v>46</v>
      </c>
      <c r="AC203" s="822"/>
      <c r="AD203" s="822"/>
      <c r="AE203" s="446">
        <v>46135</v>
      </c>
      <c r="AF203" s="446">
        <v>46139</v>
      </c>
      <c r="AG203" s="329"/>
      <c r="AH203" s="446">
        <v>46153</v>
      </c>
      <c r="AI203" s="329"/>
      <c r="AJ203" s="375"/>
      <c r="AK203" s="375"/>
      <c r="AL203" s="375"/>
      <c r="AM203" s="375"/>
      <c r="AN203" s="329"/>
      <c r="AO203" s="329"/>
      <c r="AP203" s="329"/>
      <c r="AQ203" s="329"/>
      <c r="AR203" s="357"/>
    </row>
    <row r="204" spans="1:45" customFormat="1" ht="27" customHeight="1">
      <c r="A204" s="328">
        <v>46099</v>
      </c>
      <c r="B204" s="447" t="s">
        <v>2593</v>
      </c>
      <c r="C204" s="437" t="s">
        <v>2692</v>
      </c>
      <c r="D204" s="361" t="s">
        <v>3316</v>
      </c>
      <c r="E204" s="647"/>
      <c r="F204" s="824" t="s">
        <v>105</v>
      </c>
      <c r="G204" s="401">
        <v>25</v>
      </c>
      <c r="H204" s="828" t="s">
        <v>2596</v>
      </c>
      <c r="I204" s="819" t="s">
        <v>2597</v>
      </c>
      <c r="J204" s="819" t="s">
        <v>2591</v>
      </c>
      <c r="K204" s="402" t="s">
        <v>53</v>
      </c>
      <c r="L204" s="421" t="s">
        <v>2821</v>
      </c>
      <c r="M204" s="328">
        <v>46237</v>
      </c>
      <c r="N204" s="355"/>
      <c r="O204" s="821" t="s">
        <v>602</v>
      </c>
      <c r="P204" s="826">
        <v>42551</v>
      </c>
      <c r="Q204" s="425">
        <v>46134</v>
      </c>
      <c r="R204" s="763" t="s">
        <v>2592</v>
      </c>
      <c r="S204" s="380">
        <v>60</v>
      </c>
      <c r="T204" s="380">
        <v>50</v>
      </c>
      <c r="U204" s="380">
        <v>35</v>
      </c>
      <c r="V204" s="368">
        <v>25</v>
      </c>
      <c r="W204" s="388">
        <f t="shared" si="41"/>
        <v>1</v>
      </c>
      <c r="X204" s="386">
        <f>(0.8*V204+1.5)*W204</f>
        <v>21.5</v>
      </c>
      <c r="Y204" s="386">
        <f t="shared" si="42"/>
        <v>0.11</v>
      </c>
      <c r="Z204" s="347">
        <v>7.08</v>
      </c>
      <c r="AA204" s="410">
        <f t="shared" si="43"/>
        <v>177</v>
      </c>
      <c r="AB204" s="346" t="s">
        <v>46</v>
      </c>
      <c r="AC204" s="822"/>
      <c r="AD204" s="822"/>
      <c r="AE204" s="425">
        <v>46134</v>
      </c>
      <c r="AF204" s="446">
        <v>46148</v>
      </c>
      <c r="AG204" s="329"/>
      <c r="AH204" s="446">
        <v>46148</v>
      </c>
      <c r="AI204" s="329"/>
      <c r="AJ204" s="375"/>
      <c r="AK204" s="375"/>
      <c r="AL204" s="375"/>
      <c r="AM204" s="375"/>
      <c r="AN204" s="329" t="s">
        <v>51</v>
      </c>
      <c r="AO204" s="329" t="s">
        <v>51</v>
      </c>
      <c r="AP204" s="329" t="s">
        <v>51</v>
      </c>
      <c r="AQ204" s="329" t="s">
        <v>51</v>
      </c>
      <c r="AR204" s="357"/>
    </row>
    <row r="205" spans="1:45" s="104" customFormat="1" ht="27" customHeight="1">
      <c r="A205" s="328">
        <v>46099</v>
      </c>
      <c r="B205" s="447" t="s">
        <v>2593</v>
      </c>
      <c r="C205" s="437" t="s">
        <v>2691</v>
      </c>
      <c r="D205" s="361" t="s">
        <v>3317</v>
      </c>
      <c r="E205" s="353"/>
      <c r="F205" s="818" t="s">
        <v>105</v>
      </c>
      <c r="G205" s="363">
        <v>50</v>
      </c>
      <c r="H205" s="836" t="s">
        <v>2780</v>
      </c>
      <c r="I205" s="819" t="s">
        <v>2599</v>
      </c>
      <c r="J205" s="820" t="s">
        <v>2600</v>
      </c>
      <c r="K205" s="392" t="s">
        <v>53</v>
      </c>
      <c r="L205" s="421" t="s">
        <v>2321</v>
      </c>
      <c r="M205" s="328">
        <v>46237</v>
      </c>
      <c r="N205" s="355"/>
      <c r="O205" s="821" t="s">
        <v>602</v>
      </c>
      <c r="P205" s="425" t="s">
        <v>3026</v>
      </c>
      <c r="Q205" s="425">
        <v>46122</v>
      </c>
      <c r="R205" s="763" t="s">
        <v>2592</v>
      </c>
      <c r="S205" s="422">
        <v>52</v>
      </c>
      <c r="T205" s="422">
        <v>32</v>
      </c>
      <c r="U205" s="422">
        <v>38</v>
      </c>
      <c r="V205" s="368">
        <v>50</v>
      </c>
      <c r="W205" s="388">
        <f t="shared" si="41"/>
        <v>1</v>
      </c>
      <c r="X205" s="386">
        <f>(0.01*V205+2)*W205</f>
        <v>2.5</v>
      </c>
      <c r="Y205" s="386">
        <f t="shared" si="42"/>
        <v>0.06</v>
      </c>
      <c r="Z205" s="698">
        <v>0.55000000000000004</v>
      </c>
      <c r="AA205" s="410">
        <f t="shared" si="43"/>
        <v>27.500000000000004</v>
      </c>
      <c r="AB205" s="346" t="s">
        <v>46</v>
      </c>
      <c r="AC205" s="362"/>
      <c r="AD205" s="827"/>
      <c r="AE205" s="425">
        <v>46122</v>
      </c>
      <c r="AF205" s="446">
        <v>46123</v>
      </c>
      <c r="AG205" s="329"/>
      <c r="AH205" s="446">
        <v>46157</v>
      </c>
      <c r="AI205" s="329"/>
      <c r="AJ205" s="375"/>
      <c r="AK205" s="375"/>
      <c r="AL205" s="375"/>
      <c r="AM205" s="375"/>
      <c r="AN205" s="329"/>
      <c r="AO205" s="329"/>
      <c r="AP205" s="329"/>
      <c r="AQ205" s="329"/>
      <c r="AR205" s="425" t="s">
        <v>2905</v>
      </c>
      <c r="AS205" t="s">
        <v>2907</v>
      </c>
    </row>
    <row r="206" spans="1:45" s="104" customFormat="1" ht="25.5">
      <c r="A206" s="328">
        <v>46099</v>
      </c>
      <c r="B206" s="447" t="s">
        <v>2593</v>
      </c>
      <c r="C206" s="437" t="s">
        <v>2693</v>
      </c>
      <c r="D206" s="361" t="s">
        <v>3318</v>
      </c>
      <c r="E206" s="353"/>
      <c r="F206" s="824" t="s">
        <v>105</v>
      </c>
      <c r="G206" s="363">
        <v>30</v>
      </c>
      <c r="H206" s="828" t="s">
        <v>2781</v>
      </c>
      <c r="I206" s="819" t="s">
        <v>2601</v>
      </c>
      <c r="J206" s="820" t="s">
        <v>2600</v>
      </c>
      <c r="K206" s="392" t="s">
        <v>53</v>
      </c>
      <c r="L206" s="363" t="s">
        <v>2076</v>
      </c>
      <c r="M206" s="328">
        <v>46237</v>
      </c>
      <c r="N206" s="355"/>
      <c r="O206" s="821" t="s">
        <v>602</v>
      </c>
      <c r="P206" s="425" t="s">
        <v>3026</v>
      </c>
      <c r="Q206" s="425">
        <v>46132</v>
      </c>
      <c r="R206" s="763" t="s">
        <v>2592</v>
      </c>
      <c r="S206" s="380">
        <v>70</v>
      </c>
      <c r="T206" s="380">
        <v>50</v>
      </c>
      <c r="U206" s="380">
        <v>45</v>
      </c>
      <c r="V206" s="407">
        <v>25</v>
      </c>
      <c r="W206" s="388">
        <f t="shared" si="41"/>
        <v>1.2</v>
      </c>
      <c r="X206" s="386">
        <f>(1*V206+1.5)*W206</f>
        <v>31.799999999999997</v>
      </c>
      <c r="Y206" s="386">
        <f t="shared" si="42"/>
        <v>0.19</v>
      </c>
      <c r="Z206" s="347">
        <v>7.57</v>
      </c>
      <c r="AA206" s="410">
        <f t="shared" si="43"/>
        <v>227.10000000000002</v>
      </c>
      <c r="AB206" s="346" t="s">
        <v>46</v>
      </c>
      <c r="AC206" s="362"/>
      <c r="AD206" s="822"/>
      <c r="AE206" s="425">
        <v>46132</v>
      </c>
      <c r="AF206" s="446">
        <v>46133</v>
      </c>
      <c r="AG206" s="329"/>
      <c r="AH206" s="446">
        <v>46153</v>
      </c>
      <c r="AI206" s="329"/>
      <c r="AJ206" s="375"/>
      <c r="AK206" s="375"/>
      <c r="AL206" s="375"/>
      <c r="AM206" s="375"/>
      <c r="AN206" s="329"/>
      <c r="AO206" s="329"/>
      <c r="AP206" s="329"/>
      <c r="AQ206" s="329"/>
      <c r="AR206" s="357"/>
    </row>
    <row r="207" spans="1:45" s="793" customFormat="1" ht="25.5">
      <c r="A207" s="328">
        <v>46099</v>
      </c>
      <c r="B207" s="447" t="s">
        <v>2593</v>
      </c>
      <c r="C207" s="437" t="s">
        <v>2694</v>
      </c>
      <c r="D207" s="361" t="s">
        <v>3318</v>
      </c>
      <c r="E207" s="353"/>
      <c r="F207" s="829" t="s">
        <v>105</v>
      </c>
      <c r="G207" s="363">
        <v>30</v>
      </c>
      <c r="H207" s="830" t="s">
        <v>2782</v>
      </c>
      <c r="I207" s="831" t="s">
        <v>2603</v>
      </c>
      <c r="J207" s="820" t="s">
        <v>2600</v>
      </c>
      <c r="K207" s="829" t="s">
        <v>53</v>
      </c>
      <c r="L207" s="363" t="s">
        <v>2076</v>
      </c>
      <c r="M207" s="328">
        <v>46237</v>
      </c>
      <c r="N207" s="355"/>
      <c r="O207" s="821" t="s">
        <v>602</v>
      </c>
      <c r="P207" s="425" t="s">
        <v>3026</v>
      </c>
      <c r="Q207" s="425">
        <v>46132</v>
      </c>
      <c r="R207" s="763" t="s">
        <v>2592</v>
      </c>
      <c r="S207" s="832">
        <v>70</v>
      </c>
      <c r="T207" s="832">
        <v>50</v>
      </c>
      <c r="U207" s="832">
        <v>45</v>
      </c>
      <c r="V207" s="696">
        <v>25</v>
      </c>
      <c r="W207" s="377">
        <f t="shared" si="41"/>
        <v>1.2</v>
      </c>
      <c r="X207" s="377">
        <f>(1*V207+1.5)*W207</f>
        <v>31.799999999999997</v>
      </c>
      <c r="Y207" s="377">
        <f t="shared" si="42"/>
        <v>0.19</v>
      </c>
      <c r="Z207" s="833">
        <v>8.0299999999999994</v>
      </c>
      <c r="AA207" s="410">
        <f t="shared" si="43"/>
        <v>240.89999999999998</v>
      </c>
      <c r="AB207" s="362" t="s">
        <v>46</v>
      </c>
      <c r="AC207" s="362"/>
      <c r="AD207" s="834"/>
      <c r="AE207" s="425">
        <v>46132</v>
      </c>
      <c r="AF207" s="446">
        <v>46133</v>
      </c>
      <c r="AG207" s="329"/>
      <c r="AH207" s="446">
        <v>46153</v>
      </c>
      <c r="AI207" s="329"/>
      <c r="AJ207" s="375"/>
      <c r="AK207" s="375"/>
      <c r="AL207" s="375"/>
      <c r="AM207" s="375"/>
      <c r="AN207" s="329"/>
      <c r="AO207" s="329"/>
      <c r="AP207" s="329"/>
      <c r="AQ207" s="329"/>
      <c r="AR207" s="357"/>
    </row>
    <row r="208" spans="1:45" s="104" customFormat="1" ht="36.75" customHeight="1">
      <c r="A208" s="328">
        <v>46099</v>
      </c>
      <c r="B208" s="447" t="s">
        <v>2593</v>
      </c>
      <c r="C208" s="437" t="s">
        <v>2695</v>
      </c>
      <c r="D208" s="361" t="s">
        <v>3317</v>
      </c>
      <c r="E208" s="353"/>
      <c r="F208" s="818" t="s">
        <v>105</v>
      </c>
      <c r="G208" s="363">
        <v>500</v>
      </c>
      <c r="H208" s="836" t="s">
        <v>2604</v>
      </c>
      <c r="I208" s="819" t="s">
        <v>2599</v>
      </c>
      <c r="J208" s="820" t="s">
        <v>2605</v>
      </c>
      <c r="K208" s="690" t="s">
        <v>3093</v>
      </c>
      <c r="L208" s="421" t="s">
        <v>2321</v>
      </c>
      <c r="M208" s="328">
        <v>46237</v>
      </c>
      <c r="N208" s="355"/>
      <c r="O208" s="821" t="s">
        <v>602</v>
      </c>
      <c r="P208" s="425" t="s">
        <v>3098</v>
      </c>
      <c r="Q208" s="425">
        <v>46141</v>
      </c>
      <c r="R208" s="395" t="s">
        <v>1729</v>
      </c>
      <c r="S208" s="422">
        <v>40</v>
      </c>
      <c r="T208" s="422">
        <v>40</v>
      </c>
      <c r="U208" s="422">
        <v>30</v>
      </c>
      <c r="V208" s="368">
        <v>300</v>
      </c>
      <c r="W208" s="388">
        <f t="shared" si="41"/>
        <v>1.67</v>
      </c>
      <c r="X208" s="386">
        <f>(0.01*V208+2)*W208</f>
        <v>8.35</v>
      </c>
      <c r="Y208" s="386">
        <f t="shared" si="42"/>
        <v>0.08</v>
      </c>
      <c r="Z208" s="698">
        <v>0.55000000000000004</v>
      </c>
      <c r="AA208" s="410">
        <f t="shared" si="43"/>
        <v>275</v>
      </c>
      <c r="AB208" s="346" t="s">
        <v>46</v>
      </c>
      <c r="AC208" s="362"/>
      <c r="AD208" s="827"/>
      <c r="AE208" s="425">
        <v>46141</v>
      </c>
      <c r="AF208" s="425">
        <v>46141</v>
      </c>
      <c r="AG208" s="329"/>
      <c r="AH208" s="446">
        <v>46157</v>
      </c>
      <c r="AI208" s="329"/>
      <c r="AJ208" s="375"/>
      <c r="AK208" s="375"/>
      <c r="AL208" s="375"/>
      <c r="AM208" s="375"/>
      <c r="AN208" s="329"/>
      <c r="AO208" s="329"/>
      <c r="AP208" s="329"/>
      <c r="AQ208" s="329"/>
      <c r="AR208" s="425" t="s">
        <v>2905</v>
      </c>
      <c r="AS208" t="s">
        <v>2907</v>
      </c>
    </row>
    <row r="209" spans="1:45 16362:16379" s="838" customFormat="1" ht="35.25" customHeight="1">
      <c r="A209" s="328">
        <v>46099</v>
      </c>
      <c r="B209" s="447" t="s">
        <v>2593</v>
      </c>
      <c r="C209" s="437" t="s">
        <v>2696</v>
      </c>
      <c r="D209" s="361"/>
      <c r="E209" s="399"/>
      <c r="F209" s="835" t="s">
        <v>105</v>
      </c>
      <c r="G209" s="327">
        <v>100</v>
      </c>
      <c r="H209" s="836" t="s">
        <v>2607</v>
      </c>
      <c r="I209" s="837" t="s">
        <v>2606</v>
      </c>
      <c r="J209" s="820" t="s">
        <v>2605</v>
      </c>
      <c r="K209" s="690" t="s">
        <v>3093</v>
      </c>
      <c r="L209" s="421" t="s">
        <v>2165</v>
      </c>
      <c r="M209" s="328">
        <v>46237</v>
      </c>
      <c r="N209" s="355"/>
      <c r="O209" s="821" t="s">
        <v>602</v>
      </c>
      <c r="P209" s="425" t="s">
        <v>3026</v>
      </c>
      <c r="Q209" s="348"/>
      <c r="R209" s="395" t="s">
        <v>2592</v>
      </c>
      <c r="S209" s="428">
        <v>52</v>
      </c>
      <c r="T209" s="397">
        <v>48</v>
      </c>
      <c r="U209" s="428">
        <v>40</v>
      </c>
      <c r="V209" s="397">
        <v>25</v>
      </c>
      <c r="W209" s="388">
        <f t="shared" si="41"/>
        <v>4</v>
      </c>
      <c r="X209" s="386">
        <f>(0.6*V209+1.2)*W209</f>
        <v>64.8</v>
      </c>
      <c r="Y209" s="386">
        <f t="shared" si="42"/>
        <v>0.4</v>
      </c>
      <c r="Z209" s="347">
        <v>6.84</v>
      </c>
      <c r="AA209" s="410">
        <f t="shared" si="43"/>
        <v>684</v>
      </c>
      <c r="AB209" s="346" t="s">
        <v>46</v>
      </c>
      <c r="AC209" s="362"/>
      <c r="AD209" s="822"/>
      <c r="AE209" s="375"/>
      <c r="AF209" s="375"/>
      <c r="AG209" s="329"/>
      <c r="AH209" s="375"/>
      <c r="AI209" s="329"/>
      <c r="AJ209" s="375"/>
      <c r="AK209" s="375"/>
      <c r="AL209" s="375"/>
      <c r="AM209" s="375"/>
      <c r="AN209" s="329"/>
      <c r="AO209" s="329"/>
      <c r="AP209" s="329"/>
      <c r="AQ209" s="329"/>
      <c r="AR209" s="357"/>
    </row>
    <row r="210" spans="1:45 16362:16379" s="115" customFormat="1" ht="35.25" customHeight="1">
      <c r="A210" s="328">
        <v>46099</v>
      </c>
      <c r="B210" s="447" t="s">
        <v>2593</v>
      </c>
      <c r="C210" s="437" t="s">
        <v>2698</v>
      </c>
      <c r="D210" s="361" t="s">
        <v>3319</v>
      </c>
      <c r="E210" s="399"/>
      <c r="F210" s="758" t="s">
        <v>105</v>
      </c>
      <c r="G210" s="327">
        <v>100</v>
      </c>
      <c r="H210" s="527" t="s">
        <v>2608</v>
      </c>
      <c r="I210" s="398" t="s">
        <v>112</v>
      </c>
      <c r="J210" s="839" t="s">
        <v>2605</v>
      </c>
      <c r="K210" s="690" t="s">
        <v>3093</v>
      </c>
      <c r="L210" s="393" t="s">
        <v>2390</v>
      </c>
      <c r="M210" s="328">
        <v>46237</v>
      </c>
      <c r="N210" s="355"/>
      <c r="O210" s="821" t="s">
        <v>602</v>
      </c>
      <c r="P210" s="425">
        <v>45409</v>
      </c>
      <c r="Q210" s="425">
        <v>46153</v>
      </c>
      <c r="R210" s="395" t="s">
        <v>2592</v>
      </c>
      <c r="S210" s="422">
        <v>60</v>
      </c>
      <c r="T210" s="422">
        <v>40</v>
      </c>
      <c r="U210" s="422">
        <v>50</v>
      </c>
      <c r="V210" s="368">
        <v>10</v>
      </c>
      <c r="W210" s="388">
        <f t="shared" si="41"/>
        <v>10</v>
      </c>
      <c r="X210" s="386">
        <f>(0.85*V210+1.5)*W210</f>
        <v>100</v>
      </c>
      <c r="Y210" s="386">
        <f t="shared" si="42"/>
        <v>1.2</v>
      </c>
      <c r="Z210" s="698">
        <v>10.5</v>
      </c>
      <c r="AA210" s="410">
        <f t="shared" si="43"/>
        <v>1050</v>
      </c>
      <c r="AB210" s="346" t="s">
        <v>46</v>
      </c>
      <c r="AC210" s="362"/>
      <c r="AD210" s="827"/>
      <c r="AE210" s="425">
        <v>46153</v>
      </c>
      <c r="AF210" s="425">
        <v>46153</v>
      </c>
      <c r="AG210" s="329"/>
      <c r="AH210" s="375"/>
      <c r="AI210" s="329"/>
      <c r="AJ210" s="375"/>
      <c r="AK210" s="375"/>
      <c r="AL210" s="375"/>
      <c r="AM210" s="375"/>
      <c r="AN210" s="329"/>
      <c r="AO210" s="329"/>
      <c r="AP210" s="329"/>
      <c r="AQ210" s="329"/>
      <c r="AR210" s="357"/>
    </row>
    <row r="211" spans="1:45 16362:16379" s="104" customFormat="1" ht="35.25" customHeight="1">
      <c r="A211" s="328">
        <v>46099</v>
      </c>
      <c r="B211" s="447" t="s">
        <v>2593</v>
      </c>
      <c r="C211" s="437" t="s">
        <v>2697</v>
      </c>
      <c r="D211" s="361" t="s">
        <v>3320</v>
      </c>
      <c r="E211" s="399"/>
      <c r="F211" s="823" t="s">
        <v>105</v>
      </c>
      <c r="G211" s="327">
        <v>125</v>
      </c>
      <c r="H211" s="701" t="s">
        <v>2609</v>
      </c>
      <c r="I211" s="398" t="s">
        <v>106</v>
      </c>
      <c r="J211" s="839" t="s">
        <v>2605</v>
      </c>
      <c r="K211" s="690" t="s">
        <v>3093</v>
      </c>
      <c r="L211" s="421" t="s">
        <v>2408</v>
      </c>
      <c r="M211" s="328">
        <v>46237</v>
      </c>
      <c r="N211" s="355"/>
      <c r="O211" s="821" t="s">
        <v>602</v>
      </c>
      <c r="P211" s="425">
        <v>45409</v>
      </c>
      <c r="Q211" s="425">
        <v>46146</v>
      </c>
      <c r="R211" s="784" t="s">
        <v>2387</v>
      </c>
      <c r="S211" s="422">
        <v>93</v>
      </c>
      <c r="T211" s="422">
        <v>56</v>
      </c>
      <c r="U211" s="422">
        <v>43</v>
      </c>
      <c r="V211" s="368">
        <v>25</v>
      </c>
      <c r="W211" s="388">
        <f t="shared" si="41"/>
        <v>5</v>
      </c>
      <c r="X211" s="386">
        <f>(1*V211+1.5)*W211</f>
        <v>132.5</v>
      </c>
      <c r="Y211" s="386">
        <f t="shared" si="42"/>
        <v>1.1200000000000001</v>
      </c>
      <c r="Z211" s="347">
        <v>8.5</v>
      </c>
      <c r="AA211" s="410">
        <f t="shared" si="43"/>
        <v>1062.5</v>
      </c>
      <c r="AB211" s="346" t="s">
        <v>46</v>
      </c>
      <c r="AC211" s="362"/>
      <c r="AD211" s="827"/>
      <c r="AE211" s="425">
        <v>46146</v>
      </c>
      <c r="AF211" s="425">
        <v>46146</v>
      </c>
      <c r="AG211" s="329"/>
      <c r="AH211" s="375"/>
      <c r="AI211" s="329"/>
      <c r="AJ211" s="375"/>
      <c r="AK211" s="375"/>
      <c r="AL211" s="375"/>
      <c r="AM211" s="375"/>
      <c r="AN211" s="329"/>
      <c r="AO211" s="329"/>
      <c r="AP211" s="329"/>
      <c r="AQ211" s="329"/>
      <c r="AR211" s="357"/>
    </row>
    <row r="212" spans="1:45 16362:16379" s="838" customFormat="1" ht="45" customHeight="1">
      <c r="A212" s="328">
        <v>46099</v>
      </c>
      <c r="B212" s="447" t="s">
        <v>2593</v>
      </c>
      <c r="C212" s="437" t="s">
        <v>2699</v>
      </c>
      <c r="D212" s="438"/>
      <c r="E212" s="647" t="s">
        <v>2771</v>
      </c>
      <c r="F212" s="840" t="s">
        <v>105</v>
      </c>
      <c r="G212" s="399">
        <v>10</v>
      </c>
      <c r="H212" s="755" t="s">
        <v>2611</v>
      </c>
      <c r="I212" s="820" t="s">
        <v>2610</v>
      </c>
      <c r="J212" s="839" t="s">
        <v>2605</v>
      </c>
      <c r="K212" s="365" t="s">
        <v>3092</v>
      </c>
      <c r="L212" s="754" t="s">
        <v>60</v>
      </c>
      <c r="M212" s="328">
        <v>46237</v>
      </c>
      <c r="N212" s="355"/>
      <c r="O212" s="821" t="s">
        <v>602</v>
      </c>
      <c r="P212" s="369">
        <v>46154</v>
      </c>
      <c r="Q212" s="348"/>
      <c r="R212" s="395" t="s">
        <v>1674</v>
      </c>
      <c r="S212" s="841">
        <v>83</v>
      </c>
      <c r="T212" s="841">
        <v>40</v>
      </c>
      <c r="U212" s="841">
        <v>43</v>
      </c>
      <c r="V212" s="362">
        <v>2</v>
      </c>
      <c r="W212" s="386">
        <f t="shared" si="41"/>
        <v>5</v>
      </c>
      <c r="X212" s="386">
        <f>(4*V212+1)*W212</f>
        <v>45</v>
      </c>
      <c r="Y212" s="386">
        <f t="shared" si="42"/>
        <v>0.71</v>
      </c>
      <c r="Z212" s="496">
        <v>60</v>
      </c>
      <c r="AA212" s="410">
        <f t="shared" si="43"/>
        <v>600</v>
      </c>
      <c r="AB212" s="346" t="s">
        <v>46</v>
      </c>
      <c r="AC212" s="842"/>
      <c r="AD212" s="362" t="s">
        <v>67</v>
      </c>
      <c r="AE212" s="375"/>
      <c r="AF212" s="375"/>
      <c r="AG212" s="329"/>
      <c r="AH212" s="375"/>
      <c r="AI212" s="329"/>
      <c r="AJ212" s="375"/>
      <c r="AK212" s="375"/>
      <c r="AL212" s="375"/>
      <c r="AM212" s="375"/>
      <c r="AN212" s="329"/>
      <c r="AO212" s="329"/>
      <c r="AP212" s="357"/>
      <c r="AQ212" s="425" t="s">
        <v>2075</v>
      </c>
      <c r="AR212" s="357"/>
    </row>
    <row r="213" spans="1:45 16362:16379" ht="38.25">
      <c r="A213" s="328">
        <v>46099</v>
      </c>
      <c r="B213" s="447" t="s">
        <v>2593</v>
      </c>
      <c r="C213" s="437" t="s">
        <v>2700</v>
      </c>
      <c r="D213" s="361" t="s">
        <v>3321</v>
      </c>
      <c r="E213" s="353"/>
      <c r="F213" s="818" t="s">
        <v>105</v>
      </c>
      <c r="G213" s="843">
        <v>20</v>
      </c>
      <c r="H213" s="836" t="s">
        <v>2612</v>
      </c>
      <c r="I213" s="819" t="s">
        <v>2613</v>
      </c>
      <c r="J213" s="820" t="s">
        <v>2614</v>
      </c>
      <c r="K213" s="402" t="s">
        <v>3092</v>
      </c>
      <c r="L213" s="421" t="s">
        <v>2822</v>
      </c>
      <c r="M213" s="328">
        <v>46237</v>
      </c>
      <c r="N213" s="355"/>
      <c r="O213" s="821" t="s">
        <v>602</v>
      </c>
      <c r="P213" s="425">
        <v>45409</v>
      </c>
      <c r="Q213" s="425">
        <v>46126</v>
      </c>
      <c r="R213" s="395" t="s">
        <v>2385</v>
      </c>
      <c r="S213" s="422">
        <v>60</v>
      </c>
      <c r="T213" s="422">
        <v>30</v>
      </c>
      <c r="U213" s="422">
        <v>55</v>
      </c>
      <c r="V213" s="683">
        <v>20</v>
      </c>
      <c r="W213" s="364">
        <f t="shared" si="41"/>
        <v>1</v>
      </c>
      <c r="X213" s="386">
        <f>8.5*W213</f>
        <v>8.5</v>
      </c>
      <c r="Y213" s="386">
        <f t="shared" si="42"/>
        <v>0.1</v>
      </c>
      <c r="Z213" s="347">
        <v>5.56</v>
      </c>
      <c r="AA213" s="410">
        <f t="shared" si="43"/>
        <v>111.19999999999999</v>
      </c>
      <c r="AB213" s="346" t="s">
        <v>46</v>
      </c>
      <c r="AC213" s="822"/>
      <c r="AD213" s="822"/>
      <c r="AE213" s="425">
        <v>46126</v>
      </c>
      <c r="AF213" s="425">
        <v>46126</v>
      </c>
      <c r="AG213" s="329"/>
      <c r="AH213" s="446">
        <v>46148</v>
      </c>
      <c r="AI213" s="329"/>
      <c r="AJ213" s="375"/>
      <c r="AK213" s="375"/>
      <c r="AL213" s="375"/>
      <c r="AM213" s="375"/>
      <c r="AN213" s="329"/>
      <c r="AO213" s="329"/>
      <c r="AP213" s="329"/>
      <c r="AQ213" s="329"/>
      <c r="AR213" s="357"/>
    </row>
    <row r="214" spans="1:45 16362:16379" s="104" customFormat="1" ht="38.25">
      <c r="A214" s="328">
        <v>46099</v>
      </c>
      <c r="B214" s="447" t="s">
        <v>2593</v>
      </c>
      <c r="C214" s="437" t="s">
        <v>2702</v>
      </c>
      <c r="D214" s="361" t="s">
        <v>3317</v>
      </c>
      <c r="E214" s="353"/>
      <c r="F214" s="824" t="s">
        <v>105</v>
      </c>
      <c r="G214" s="843">
        <v>700</v>
      </c>
      <c r="H214" s="828" t="s">
        <v>2616</v>
      </c>
      <c r="I214" s="844" t="s">
        <v>2599</v>
      </c>
      <c r="J214" s="820" t="s">
        <v>2614</v>
      </c>
      <c r="K214" s="392" t="s">
        <v>53</v>
      </c>
      <c r="L214" s="421" t="s">
        <v>2321</v>
      </c>
      <c r="M214" s="328">
        <v>46237</v>
      </c>
      <c r="N214" s="355"/>
      <c r="O214" s="821" t="s">
        <v>602</v>
      </c>
      <c r="P214" s="425">
        <v>45409</v>
      </c>
      <c r="Q214" s="425">
        <v>46122</v>
      </c>
      <c r="R214" s="395" t="s">
        <v>1729</v>
      </c>
      <c r="S214" s="422">
        <v>40</v>
      </c>
      <c r="T214" s="422">
        <v>40</v>
      </c>
      <c r="U214" s="422">
        <v>50</v>
      </c>
      <c r="V214" s="368">
        <v>700</v>
      </c>
      <c r="W214" s="388">
        <f t="shared" si="41"/>
        <v>1</v>
      </c>
      <c r="X214" s="386">
        <f>(0.01*V214+3.3)*W214</f>
        <v>10.3</v>
      </c>
      <c r="Y214" s="386">
        <f t="shared" si="42"/>
        <v>0.08</v>
      </c>
      <c r="Z214" s="698">
        <v>0.55000000000000004</v>
      </c>
      <c r="AA214" s="410">
        <f t="shared" si="43"/>
        <v>385.00000000000006</v>
      </c>
      <c r="AB214" s="346" t="s">
        <v>46</v>
      </c>
      <c r="AC214" s="362"/>
      <c r="AD214" s="827"/>
      <c r="AE214" s="425">
        <v>46122</v>
      </c>
      <c r="AF214" s="446">
        <v>46123</v>
      </c>
      <c r="AG214" s="329"/>
      <c r="AH214" s="446">
        <v>46157</v>
      </c>
      <c r="AI214" s="329"/>
      <c r="AJ214" s="375"/>
      <c r="AK214" s="375"/>
      <c r="AL214" s="375"/>
      <c r="AM214" s="375"/>
      <c r="AN214" s="329"/>
      <c r="AO214" s="329"/>
      <c r="AP214" s="329"/>
      <c r="AQ214" s="329"/>
      <c r="AR214" s="425" t="s">
        <v>2905</v>
      </c>
      <c r="AS214" t="s">
        <v>2907</v>
      </c>
    </row>
    <row r="215" spans="1:45 16362:16379" customFormat="1" ht="38.25">
      <c r="A215" s="328">
        <v>46099</v>
      </c>
      <c r="B215" s="447" t="s">
        <v>2593</v>
      </c>
      <c r="C215" s="437" t="s">
        <v>2701</v>
      </c>
      <c r="D215" s="361" t="s">
        <v>3322</v>
      </c>
      <c r="E215" s="353"/>
      <c r="F215" s="392" t="s">
        <v>105</v>
      </c>
      <c r="G215" s="843">
        <v>400</v>
      </c>
      <c r="H215" s="828" t="s">
        <v>2617</v>
      </c>
      <c r="I215" s="819" t="s">
        <v>2618</v>
      </c>
      <c r="J215" s="820" t="s">
        <v>2614</v>
      </c>
      <c r="K215" s="402" t="s">
        <v>53</v>
      </c>
      <c r="L215" s="421" t="s">
        <v>2321</v>
      </c>
      <c r="M215" s="328">
        <v>46237</v>
      </c>
      <c r="N215" s="355"/>
      <c r="O215" s="821" t="s">
        <v>602</v>
      </c>
      <c r="P215" s="425">
        <v>45409</v>
      </c>
      <c r="Q215" s="425">
        <v>46122</v>
      </c>
      <c r="R215" s="395" t="s">
        <v>1729</v>
      </c>
      <c r="S215" s="422">
        <v>48</v>
      </c>
      <c r="T215" s="422">
        <v>32</v>
      </c>
      <c r="U215" s="422">
        <v>50</v>
      </c>
      <c r="V215" s="368">
        <v>400</v>
      </c>
      <c r="W215" s="388">
        <f t="shared" si="41"/>
        <v>1</v>
      </c>
      <c r="X215" s="386">
        <f>(0.011*V215+2)*W215</f>
        <v>6.3999999999999995</v>
      </c>
      <c r="Y215" s="386">
        <f t="shared" si="42"/>
        <v>0.08</v>
      </c>
      <c r="Z215" s="347">
        <v>0.55000000000000004</v>
      </c>
      <c r="AA215" s="410">
        <f t="shared" si="43"/>
        <v>220.00000000000003</v>
      </c>
      <c r="AB215" s="346" t="s">
        <v>46</v>
      </c>
      <c r="AC215" s="822"/>
      <c r="AD215" s="822"/>
      <c r="AE215" s="425">
        <v>46122</v>
      </c>
      <c r="AF215" s="425">
        <v>46122</v>
      </c>
      <c r="AG215" s="329"/>
      <c r="AH215" s="446">
        <v>46153</v>
      </c>
      <c r="AI215" s="329"/>
      <c r="AJ215" s="375"/>
      <c r="AK215" s="375"/>
      <c r="AL215" s="375"/>
      <c r="AM215" s="375"/>
      <c r="AN215" s="329"/>
      <c r="AO215" s="329"/>
      <c r="AP215" s="329"/>
      <c r="AQ215" s="329"/>
      <c r="AR215" s="425" t="s">
        <v>2905</v>
      </c>
      <c r="AS215" t="s">
        <v>2907</v>
      </c>
    </row>
    <row r="216" spans="1:45 16362:16379" s="838" customFormat="1" ht="24.75" customHeight="1">
      <c r="A216" s="328">
        <v>46099</v>
      </c>
      <c r="B216" s="447" t="s">
        <v>2593</v>
      </c>
      <c r="C216" s="437" t="s">
        <v>2703</v>
      </c>
      <c r="D216" s="361"/>
      <c r="E216" s="353"/>
      <c r="F216" s="835" t="s">
        <v>105</v>
      </c>
      <c r="G216" s="327">
        <v>320</v>
      </c>
      <c r="H216" s="701" t="s">
        <v>2619</v>
      </c>
      <c r="I216" s="837" t="s">
        <v>2606</v>
      </c>
      <c r="J216" s="839" t="s">
        <v>2620</v>
      </c>
      <c r="K216" s="352" t="s">
        <v>53</v>
      </c>
      <c r="L216" s="421" t="s">
        <v>2165</v>
      </c>
      <c r="M216" s="328">
        <v>46237</v>
      </c>
      <c r="N216" s="355"/>
      <c r="O216" s="821" t="s">
        <v>602</v>
      </c>
      <c r="P216" s="425" t="s">
        <v>48</v>
      </c>
      <c r="Q216" s="348"/>
      <c r="R216" s="395" t="s">
        <v>1729</v>
      </c>
      <c r="S216" s="428">
        <v>52</v>
      </c>
      <c r="T216" s="397">
        <v>48</v>
      </c>
      <c r="U216" s="428">
        <v>40</v>
      </c>
      <c r="V216" s="397">
        <v>25</v>
      </c>
      <c r="W216" s="388">
        <f t="shared" si="41"/>
        <v>12.8</v>
      </c>
      <c r="X216" s="386">
        <f>(0.6*V216+1.2)*W216</f>
        <v>207.36</v>
      </c>
      <c r="Y216" s="386">
        <f t="shared" si="42"/>
        <v>1.28</v>
      </c>
      <c r="Z216" s="698">
        <v>6.84</v>
      </c>
      <c r="AA216" s="410">
        <f t="shared" si="43"/>
        <v>2188.8000000000002</v>
      </c>
      <c r="AB216" s="346" t="s">
        <v>46</v>
      </c>
      <c r="AC216" s="362"/>
      <c r="AD216" s="822"/>
      <c r="AE216" s="375"/>
      <c r="AF216" s="375"/>
      <c r="AG216" s="329"/>
      <c r="AH216" s="375"/>
      <c r="AI216" s="329"/>
      <c r="AJ216" s="375"/>
      <c r="AK216" s="375"/>
      <c r="AL216" s="375"/>
      <c r="AM216" s="375"/>
      <c r="AN216" s="329"/>
      <c r="AO216" s="329"/>
      <c r="AP216" s="329"/>
      <c r="AQ216" s="329"/>
      <c r="AR216" s="357"/>
    </row>
    <row r="217" spans="1:45 16362:16379" customFormat="1" ht="24" customHeight="1">
      <c r="A217" s="328">
        <v>46099</v>
      </c>
      <c r="B217" s="447" t="s">
        <v>2593</v>
      </c>
      <c r="C217" s="437" t="s">
        <v>2704</v>
      </c>
      <c r="D217" s="361" t="s">
        <v>3315</v>
      </c>
      <c r="E217" s="353"/>
      <c r="F217" s="824" t="s">
        <v>105</v>
      </c>
      <c r="G217" s="843">
        <v>200</v>
      </c>
      <c r="H217" s="828" t="s">
        <v>2621</v>
      </c>
      <c r="I217" s="819" t="s">
        <v>2595</v>
      </c>
      <c r="J217" s="820" t="s">
        <v>2614</v>
      </c>
      <c r="K217" s="402" t="s">
        <v>53</v>
      </c>
      <c r="L217" s="363" t="s">
        <v>2520</v>
      </c>
      <c r="M217" s="328">
        <v>46237</v>
      </c>
      <c r="N217" s="355"/>
      <c r="O217" s="821" t="s">
        <v>602</v>
      </c>
      <c r="P217" s="425" t="s">
        <v>44</v>
      </c>
      <c r="Q217" s="446">
        <v>46135</v>
      </c>
      <c r="R217" s="495" t="s">
        <v>1729</v>
      </c>
      <c r="S217" s="380">
        <v>60</v>
      </c>
      <c r="T217" s="380">
        <v>60</v>
      </c>
      <c r="U217" s="380">
        <v>30</v>
      </c>
      <c r="V217" s="368">
        <v>25</v>
      </c>
      <c r="W217" s="388">
        <f t="shared" si="41"/>
        <v>8</v>
      </c>
      <c r="X217" s="386">
        <f>(0.85*V217+1.5)*W217</f>
        <v>182</v>
      </c>
      <c r="Y217" s="386">
        <f t="shared" si="42"/>
        <v>0.86</v>
      </c>
      <c r="Z217" s="347">
        <v>5.75</v>
      </c>
      <c r="AA217" s="410">
        <f t="shared" si="43"/>
        <v>1150</v>
      </c>
      <c r="AB217" s="346" t="s">
        <v>46</v>
      </c>
      <c r="AC217" s="822"/>
      <c r="AD217" s="822"/>
      <c r="AE217" s="446">
        <v>46135</v>
      </c>
      <c r="AF217" s="446">
        <v>46139</v>
      </c>
      <c r="AG217" s="329"/>
      <c r="AH217" s="446">
        <v>46153</v>
      </c>
      <c r="AI217" s="329"/>
      <c r="AJ217" s="375"/>
      <c r="AK217" s="375"/>
      <c r="AL217" s="375"/>
      <c r="AM217" s="375"/>
      <c r="AN217" s="329"/>
      <c r="AO217" s="329"/>
      <c r="AP217" s="329"/>
      <c r="AQ217" s="329"/>
      <c r="AR217" s="357"/>
    </row>
    <row r="218" spans="1:45 16362:16379" s="115" customFormat="1" ht="24" customHeight="1">
      <c r="A218" s="328">
        <v>46099</v>
      </c>
      <c r="B218" s="447" t="s">
        <v>2593</v>
      </c>
      <c r="C218" s="437" t="s">
        <v>2705</v>
      </c>
      <c r="D218" s="361" t="s">
        <v>3316</v>
      </c>
      <c r="E218" s="353"/>
      <c r="F218" s="824" t="s">
        <v>105</v>
      </c>
      <c r="G218" s="843">
        <v>350</v>
      </c>
      <c r="H218" s="828" t="s">
        <v>2622</v>
      </c>
      <c r="I218" s="819" t="s">
        <v>2597</v>
      </c>
      <c r="J218" s="820" t="s">
        <v>2614</v>
      </c>
      <c r="K218" s="402" t="s">
        <v>53</v>
      </c>
      <c r="L218" s="421" t="s">
        <v>2821</v>
      </c>
      <c r="M218" s="328">
        <v>46237</v>
      </c>
      <c r="N218" s="355"/>
      <c r="O218" s="398" t="s">
        <v>602</v>
      </c>
      <c r="P218" s="425">
        <v>45409</v>
      </c>
      <c r="Q218" s="425">
        <v>46134</v>
      </c>
      <c r="R218" s="495" t="s">
        <v>1729</v>
      </c>
      <c r="S218" s="380">
        <v>60</v>
      </c>
      <c r="T218" s="380">
        <v>50</v>
      </c>
      <c r="U218" s="380">
        <v>35</v>
      </c>
      <c r="V218" s="368">
        <v>25</v>
      </c>
      <c r="W218" s="388">
        <f t="shared" si="41"/>
        <v>14</v>
      </c>
      <c r="X218" s="386">
        <f>(0.8*V218+1.5)*W218</f>
        <v>301</v>
      </c>
      <c r="Y218" s="386">
        <f t="shared" si="42"/>
        <v>1.47</v>
      </c>
      <c r="Z218" s="347">
        <v>7.08</v>
      </c>
      <c r="AA218" s="410">
        <f t="shared" si="43"/>
        <v>2478</v>
      </c>
      <c r="AB218" s="346" t="s">
        <v>46</v>
      </c>
      <c r="AC218" s="822"/>
      <c r="AD218" s="822"/>
      <c r="AE218" s="425">
        <v>46134</v>
      </c>
      <c r="AF218" s="446">
        <v>46148</v>
      </c>
      <c r="AG218" s="329"/>
      <c r="AH218" s="446">
        <v>46148</v>
      </c>
      <c r="AI218" s="329"/>
      <c r="AJ218" s="375"/>
      <c r="AK218" s="375"/>
      <c r="AL218" s="375"/>
      <c r="AM218" s="375"/>
      <c r="AN218" s="329"/>
      <c r="AO218" s="329"/>
      <c r="AP218" s="329"/>
      <c r="AQ218" s="329"/>
      <c r="AR218" s="357"/>
    </row>
    <row r="219" spans="1:45 16362:16379" s="104" customFormat="1" ht="25.5" customHeight="1">
      <c r="A219" s="328">
        <v>46099</v>
      </c>
      <c r="B219" s="447" t="s">
        <v>2593</v>
      </c>
      <c r="C219" s="437" t="s">
        <v>2706</v>
      </c>
      <c r="D219" s="361" t="s">
        <v>3323</v>
      </c>
      <c r="E219" s="353"/>
      <c r="F219" s="818" t="s">
        <v>105</v>
      </c>
      <c r="G219" s="843">
        <v>175</v>
      </c>
      <c r="H219" s="701" t="s">
        <v>2623</v>
      </c>
      <c r="I219" s="819" t="s">
        <v>2624</v>
      </c>
      <c r="J219" s="820" t="s">
        <v>2614</v>
      </c>
      <c r="K219" s="402" t="s">
        <v>53</v>
      </c>
      <c r="L219" s="363" t="s">
        <v>2520</v>
      </c>
      <c r="M219" s="328">
        <v>46237</v>
      </c>
      <c r="N219" s="355"/>
      <c r="O219" s="821" t="s">
        <v>602</v>
      </c>
      <c r="P219" s="425">
        <v>45409</v>
      </c>
      <c r="Q219" s="446">
        <v>46135</v>
      </c>
      <c r="R219" s="495" t="s">
        <v>1729</v>
      </c>
      <c r="S219" s="422">
        <v>60</v>
      </c>
      <c r="T219" s="422">
        <v>60</v>
      </c>
      <c r="U219" s="422">
        <v>33</v>
      </c>
      <c r="V219" s="368">
        <v>25</v>
      </c>
      <c r="W219" s="388">
        <f t="shared" si="41"/>
        <v>7</v>
      </c>
      <c r="X219" s="386">
        <f>(0.8*V219+1.5)*W219</f>
        <v>150.5</v>
      </c>
      <c r="Y219" s="386">
        <f t="shared" si="42"/>
        <v>0.83</v>
      </c>
      <c r="Z219" s="698">
        <v>7.34</v>
      </c>
      <c r="AA219" s="410">
        <f t="shared" si="43"/>
        <v>1284.5</v>
      </c>
      <c r="AB219" s="346" t="s">
        <v>46</v>
      </c>
      <c r="AC219" s="362"/>
      <c r="AD219" s="827"/>
      <c r="AE219" s="446">
        <v>46135</v>
      </c>
      <c r="AF219" s="446">
        <v>46139</v>
      </c>
      <c r="AG219" s="329"/>
      <c r="AH219" s="446">
        <v>46153</v>
      </c>
      <c r="AI219" s="329"/>
      <c r="AJ219" s="375"/>
      <c r="AK219" s="375"/>
      <c r="AL219" s="375"/>
      <c r="AM219" s="375"/>
      <c r="AN219" s="329"/>
      <c r="AO219" s="329"/>
      <c r="AP219" s="329"/>
      <c r="AQ219" s="329"/>
      <c r="AR219" s="357"/>
    </row>
    <row r="220" spans="1:45 16362:16379" s="115" customFormat="1" ht="25.5" customHeight="1">
      <c r="A220" s="328">
        <v>46099</v>
      </c>
      <c r="B220" s="447" t="s">
        <v>2593</v>
      </c>
      <c r="C220" s="437" t="s">
        <v>2707</v>
      </c>
      <c r="D220" s="361" t="s">
        <v>3324</v>
      </c>
      <c r="E220" s="353"/>
      <c r="F220" s="818" t="s">
        <v>105</v>
      </c>
      <c r="G220" s="843">
        <v>550</v>
      </c>
      <c r="H220" s="701" t="s">
        <v>2625</v>
      </c>
      <c r="I220" s="819" t="s">
        <v>109</v>
      </c>
      <c r="J220" s="820" t="s">
        <v>2614</v>
      </c>
      <c r="K220" s="402" t="s">
        <v>53</v>
      </c>
      <c r="L220" s="421" t="s">
        <v>2390</v>
      </c>
      <c r="M220" s="328">
        <v>46237</v>
      </c>
      <c r="N220" s="355"/>
      <c r="O220" s="821" t="s">
        <v>602</v>
      </c>
      <c r="P220" s="425">
        <v>45409</v>
      </c>
      <c r="Q220" s="425">
        <v>46125</v>
      </c>
      <c r="R220" s="495" t="s">
        <v>1729</v>
      </c>
      <c r="S220" s="380">
        <v>50</v>
      </c>
      <c r="T220" s="380">
        <v>50</v>
      </c>
      <c r="U220" s="380">
        <v>43</v>
      </c>
      <c r="V220" s="368">
        <v>25</v>
      </c>
      <c r="W220" s="388">
        <f t="shared" si="41"/>
        <v>22</v>
      </c>
      <c r="X220" s="386">
        <f>(0.6*V220+1.5)*W220</f>
        <v>363</v>
      </c>
      <c r="Y220" s="386">
        <f t="shared" si="42"/>
        <v>2.37</v>
      </c>
      <c r="Z220" s="698">
        <v>7.2</v>
      </c>
      <c r="AA220" s="410">
        <f t="shared" si="43"/>
        <v>3960</v>
      </c>
      <c r="AB220" s="346" t="s">
        <v>46</v>
      </c>
      <c r="AC220" s="822"/>
      <c r="AD220" s="822"/>
      <c r="AE220" s="425">
        <v>46125</v>
      </c>
      <c r="AF220" s="425">
        <v>46125</v>
      </c>
      <c r="AG220" s="329"/>
      <c r="AH220" s="446">
        <v>46141</v>
      </c>
      <c r="AI220" s="329"/>
      <c r="AJ220" s="375"/>
      <c r="AK220" s="375"/>
      <c r="AL220" s="375"/>
      <c r="AM220" s="375"/>
      <c r="AN220" s="329"/>
      <c r="AO220" s="329"/>
      <c r="AP220" s="329"/>
      <c r="AQ220" s="329"/>
      <c r="AR220" s="357"/>
    </row>
    <row r="221" spans="1:45 16362:16379" ht="25.5" customHeight="1">
      <c r="A221" s="328">
        <v>46099</v>
      </c>
      <c r="B221" s="447" t="s">
        <v>2593</v>
      </c>
      <c r="C221" s="437" t="s">
        <v>2708</v>
      </c>
      <c r="D221" s="361" t="s">
        <v>3319</v>
      </c>
      <c r="E221" s="353"/>
      <c r="F221" s="824" t="s">
        <v>105</v>
      </c>
      <c r="G221" s="843">
        <v>370</v>
      </c>
      <c r="H221" s="828" t="s">
        <v>2626</v>
      </c>
      <c r="I221" s="819" t="s">
        <v>112</v>
      </c>
      <c r="J221" s="820" t="s">
        <v>2614</v>
      </c>
      <c r="K221" s="421" t="s">
        <v>53</v>
      </c>
      <c r="L221" s="393" t="s">
        <v>2390</v>
      </c>
      <c r="M221" s="328">
        <v>46237</v>
      </c>
      <c r="N221" s="355"/>
      <c r="O221" s="821" t="s">
        <v>602</v>
      </c>
      <c r="P221" s="425">
        <v>45409</v>
      </c>
      <c r="Q221" s="425">
        <v>46153</v>
      </c>
      <c r="R221" s="495" t="s">
        <v>1729</v>
      </c>
      <c r="S221" s="422">
        <v>60</v>
      </c>
      <c r="T221" s="422">
        <v>40</v>
      </c>
      <c r="U221" s="422">
        <v>50</v>
      </c>
      <c r="V221" s="368">
        <v>10</v>
      </c>
      <c r="W221" s="388">
        <f t="shared" si="41"/>
        <v>37</v>
      </c>
      <c r="X221" s="386">
        <f>(0.85*V221+1.5)*W221</f>
        <v>370</v>
      </c>
      <c r="Y221" s="386">
        <f t="shared" si="42"/>
        <v>4.4400000000000004</v>
      </c>
      <c r="Z221" s="698">
        <v>10.5</v>
      </c>
      <c r="AA221" s="410">
        <f t="shared" si="43"/>
        <v>3885</v>
      </c>
      <c r="AB221" s="346" t="s">
        <v>46</v>
      </c>
      <c r="AC221" s="822"/>
      <c r="AD221" s="822"/>
      <c r="AE221" s="425">
        <v>46153</v>
      </c>
      <c r="AF221" s="425">
        <v>46153</v>
      </c>
      <c r="AG221" s="329"/>
      <c r="AH221" s="375"/>
      <c r="AI221" s="329"/>
      <c r="AJ221" s="375"/>
      <c r="AK221" s="375"/>
      <c r="AL221" s="375"/>
      <c r="AM221" s="375"/>
      <c r="AN221" s="329"/>
      <c r="AO221" s="329"/>
      <c r="AP221" s="329"/>
      <c r="AQ221" s="329"/>
      <c r="AR221" s="357"/>
    </row>
    <row r="222" spans="1:45 16362:16379" s="115" customFormat="1" ht="25.5" customHeight="1">
      <c r="A222" s="328">
        <v>46099</v>
      </c>
      <c r="B222" s="447" t="s">
        <v>2593</v>
      </c>
      <c r="C222" s="437" t="s">
        <v>2709</v>
      </c>
      <c r="D222" s="818" t="s">
        <v>3325</v>
      </c>
      <c r="E222" s="353"/>
      <c r="F222" s="392" t="s">
        <v>105</v>
      </c>
      <c r="G222" s="843">
        <v>100</v>
      </c>
      <c r="H222" s="885" t="s">
        <v>2629</v>
      </c>
      <c r="I222" s="391" t="s">
        <v>2630</v>
      </c>
      <c r="J222" s="392" t="s">
        <v>2614</v>
      </c>
      <c r="K222" s="328" t="s">
        <v>53</v>
      </c>
      <c r="L222" s="819" t="s">
        <v>2996</v>
      </c>
      <c r="M222" s="328">
        <v>46237</v>
      </c>
      <c r="N222" s="446"/>
      <c r="O222" s="446" t="s">
        <v>602</v>
      </c>
      <c r="P222" s="425">
        <v>45409</v>
      </c>
      <c r="Q222" s="425">
        <v>46125</v>
      </c>
      <c r="R222" s="425" t="s">
        <v>2385</v>
      </c>
      <c r="S222" s="422">
        <v>82</v>
      </c>
      <c r="T222" s="422">
        <v>45</v>
      </c>
      <c r="U222" s="422">
        <v>40</v>
      </c>
      <c r="V222" s="407">
        <v>2</v>
      </c>
      <c r="W222" s="386">
        <f t="shared" si="41"/>
        <v>50</v>
      </c>
      <c r="X222" s="386">
        <f>(3.35*V222+1.5)*W222</f>
        <v>409.99999999999994</v>
      </c>
      <c r="Y222" s="386">
        <f t="shared" si="42"/>
        <v>7.38</v>
      </c>
      <c r="Z222" s="496">
        <v>30.05</v>
      </c>
      <c r="AA222" s="410">
        <f t="shared" si="43"/>
        <v>3005</v>
      </c>
      <c r="AB222" s="346" t="s">
        <v>46</v>
      </c>
      <c r="AC222" s="822"/>
      <c r="AD222" s="409" t="s">
        <v>2631</v>
      </c>
      <c r="AE222" s="425">
        <v>46125</v>
      </c>
      <c r="AF222" s="446">
        <v>46126</v>
      </c>
      <c r="AG222" s="329"/>
      <c r="AH222" s="446">
        <v>46151</v>
      </c>
      <c r="AI222" s="329"/>
      <c r="AJ222" s="375"/>
      <c r="AK222" s="375"/>
      <c r="AL222" s="375"/>
      <c r="AM222" s="375"/>
      <c r="AN222" s="375"/>
      <c r="AO222" s="329"/>
      <c r="AP222" s="357"/>
      <c r="AQ222" s="425" t="s">
        <v>2075</v>
      </c>
      <c r="AR222" s="357"/>
      <c r="XEH222" s="328"/>
      <c r="XEI222" s="447"/>
      <c r="XEJ222" s="437"/>
      <c r="XEK222" s="818"/>
      <c r="XEL222" s="843"/>
      <c r="XEM222" s="392"/>
      <c r="XEN222" s="820"/>
      <c r="XEO222" s="820"/>
      <c r="XEP222" s="391"/>
      <c r="XEQ222" s="392"/>
      <c r="XER222" s="328"/>
      <c r="XES222" s="355"/>
      <c r="XET222" s="386"/>
      <c r="XEU222" s="446"/>
      <c r="XEV222" s="446"/>
      <c r="XEW222" s="425"/>
      <c r="XEX222" s="357"/>
      <c r="XEY222" s="357"/>
    </row>
    <row r="223" spans="1:45 16362:16379" s="115" customFormat="1" ht="26.25" customHeight="1">
      <c r="A223" s="328">
        <v>46099</v>
      </c>
      <c r="B223" s="447" t="s">
        <v>2593</v>
      </c>
      <c r="C223" s="437" t="s">
        <v>2710</v>
      </c>
      <c r="D223" s="361" t="s">
        <v>3326</v>
      </c>
      <c r="E223" s="353"/>
      <c r="F223" s="818" t="s">
        <v>105</v>
      </c>
      <c r="G223" s="843">
        <v>120</v>
      </c>
      <c r="H223" s="828" t="s">
        <v>2632</v>
      </c>
      <c r="I223" s="820" t="s">
        <v>2633</v>
      </c>
      <c r="J223" s="820" t="s">
        <v>2614</v>
      </c>
      <c r="K223" s="391" t="s">
        <v>53</v>
      </c>
      <c r="L223" s="819" t="s">
        <v>2996</v>
      </c>
      <c r="M223" s="328">
        <v>46237</v>
      </c>
      <c r="N223" s="355"/>
      <c r="O223" s="821" t="s">
        <v>602</v>
      </c>
      <c r="P223" s="425">
        <v>45409</v>
      </c>
      <c r="Q223" s="425">
        <v>46125</v>
      </c>
      <c r="R223" s="425" t="s">
        <v>2385</v>
      </c>
      <c r="S223" s="422">
        <v>82</v>
      </c>
      <c r="T223" s="422">
        <v>45</v>
      </c>
      <c r="U223" s="422">
        <v>40</v>
      </c>
      <c r="V223" s="407">
        <v>2</v>
      </c>
      <c r="W223" s="386">
        <f t="shared" si="41"/>
        <v>60</v>
      </c>
      <c r="X223" s="386">
        <f>(3.35*V223+1.5)*W223</f>
        <v>491.99999999999994</v>
      </c>
      <c r="Y223" s="386">
        <f t="shared" si="42"/>
        <v>8.86</v>
      </c>
      <c r="Z223" s="347">
        <v>31.1</v>
      </c>
      <c r="AA223" s="410">
        <f t="shared" si="43"/>
        <v>3732</v>
      </c>
      <c r="AB223" s="346" t="s">
        <v>46</v>
      </c>
      <c r="AC223" s="822"/>
      <c r="AD223" s="362" t="s">
        <v>2631</v>
      </c>
      <c r="AE223" s="425">
        <v>46125</v>
      </c>
      <c r="AF223" s="425">
        <v>46095</v>
      </c>
      <c r="AG223" s="329"/>
      <c r="AH223" s="446">
        <v>46157</v>
      </c>
      <c r="AI223" s="329"/>
      <c r="AJ223" s="375"/>
      <c r="AK223" s="375"/>
      <c r="AL223" s="375"/>
      <c r="AM223" s="375"/>
      <c r="AN223" s="375"/>
      <c r="AO223" s="329"/>
      <c r="AP223" s="357"/>
      <c r="AQ223" s="425" t="s">
        <v>2075</v>
      </c>
      <c r="AR223" s="357"/>
    </row>
    <row r="224" spans="1:45 16362:16379" customFormat="1" ht="26.25" customHeight="1">
      <c r="A224" s="328">
        <v>46099</v>
      </c>
      <c r="B224" s="447" t="s">
        <v>2593</v>
      </c>
      <c r="C224" s="437" t="s">
        <v>2711</v>
      </c>
      <c r="D224" s="361" t="s">
        <v>3327</v>
      </c>
      <c r="E224" s="353"/>
      <c r="F224" s="818" t="s">
        <v>105</v>
      </c>
      <c r="G224" s="843">
        <v>200</v>
      </c>
      <c r="H224" s="701" t="s">
        <v>2634</v>
      </c>
      <c r="I224" s="819" t="s">
        <v>619</v>
      </c>
      <c r="J224" s="820" t="s">
        <v>2614</v>
      </c>
      <c r="K224" s="392" t="s">
        <v>53</v>
      </c>
      <c r="L224" s="421" t="s">
        <v>2408</v>
      </c>
      <c r="M224" s="328">
        <v>46237</v>
      </c>
      <c r="N224" s="355"/>
      <c r="O224" s="821" t="s">
        <v>602</v>
      </c>
      <c r="P224" s="425">
        <v>45409</v>
      </c>
      <c r="Q224" s="425">
        <v>46146</v>
      </c>
      <c r="R224" s="495" t="s">
        <v>1729</v>
      </c>
      <c r="S224" s="422">
        <v>60</v>
      </c>
      <c r="T224" s="422">
        <v>50</v>
      </c>
      <c r="U224" s="422">
        <v>62</v>
      </c>
      <c r="V224" s="368">
        <v>10</v>
      </c>
      <c r="W224" s="388">
        <f t="shared" si="41"/>
        <v>20</v>
      </c>
      <c r="X224" s="386">
        <f>(1.1*V224+1.5)*W224</f>
        <v>250</v>
      </c>
      <c r="Y224" s="386">
        <f t="shared" si="42"/>
        <v>3.72</v>
      </c>
      <c r="Z224" s="347">
        <v>10.25</v>
      </c>
      <c r="AA224" s="410">
        <f t="shared" si="43"/>
        <v>2050</v>
      </c>
      <c r="AB224" s="346" t="s">
        <v>46</v>
      </c>
      <c r="AC224" s="822"/>
      <c r="AD224" s="822"/>
      <c r="AE224" s="425">
        <v>46146</v>
      </c>
      <c r="AF224" s="425">
        <v>46146</v>
      </c>
      <c r="AG224" s="329"/>
      <c r="AH224" s="446">
        <v>46157</v>
      </c>
      <c r="AI224" s="329"/>
      <c r="AJ224" s="375"/>
      <c r="AK224" s="375"/>
      <c r="AL224" s="375"/>
      <c r="AM224" s="375"/>
      <c r="AN224" s="329"/>
      <c r="AO224" s="329"/>
      <c r="AP224" s="329"/>
      <c r="AQ224" s="329"/>
      <c r="AR224" s="357"/>
    </row>
    <row r="225" spans="1:45" s="115" customFormat="1" ht="25.5">
      <c r="A225" s="328">
        <v>46099</v>
      </c>
      <c r="B225" s="447" t="s">
        <v>2593</v>
      </c>
      <c r="C225" s="437" t="s">
        <v>2712</v>
      </c>
      <c r="D225" s="361" t="s">
        <v>3321</v>
      </c>
      <c r="E225" s="353"/>
      <c r="F225" s="818" t="s">
        <v>105</v>
      </c>
      <c r="G225" s="363">
        <v>25</v>
      </c>
      <c r="H225" s="701" t="s">
        <v>2635</v>
      </c>
      <c r="I225" s="819" t="s">
        <v>2613</v>
      </c>
      <c r="J225" s="820" t="s">
        <v>2636</v>
      </c>
      <c r="K225" s="402" t="s">
        <v>2615</v>
      </c>
      <c r="L225" s="421" t="s">
        <v>2822</v>
      </c>
      <c r="M225" s="328">
        <v>46237</v>
      </c>
      <c r="O225" s="821" t="s">
        <v>602</v>
      </c>
      <c r="P225" s="425">
        <v>45409</v>
      </c>
      <c r="Q225" s="425">
        <v>46126</v>
      </c>
      <c r="R225" s="395" t="s">
        <v>1729</v>
      </c>
      <c r="S225" s="841">
        <v>60</v>
      </c>
      <c r="T225" s="841">
        <v>30</v>
      </c>
      <c r="U225" s="841">
        <v>55</v>
      </c>
      <c r="V225" s="683">
        <v>25</v>
      </c>
      <c r="W225" s="364">
        <f t="shared" si="41"/>
        <v>1</v>
      </c>
      <c r="X225" s="386">
        <f>(0.8*V225+1.5)*W225</f>
        <v>21.5</v>
      </c>
      <c r="Y225" s="386">
        <f t="shared" si="42"/>
        <v>0.1</v>
      </c>
      <c r="Z225" s="347">
        <v>5.56</v>
      </c>
      <c r="AA225" s="410">
        <f t="shared" si="43"/>
        <v>139</v>
      </c>
      <c r="AB225" s="346" t="s">
        <v>46</v>
      </c>
      <c r="AC225" s="362"/>
      <c r="AD225" s="827"/>
      <c r="AE225" s="425">
        <v>46126</v>
      </c>
      <c r="AF225" s="425">
        <v>46126</v>
      </c>
      <c r="AG225" s="329"/>
      <c r="AH225" s="446">
        <v>46148</v>
      </c>
      <c r="AI225" s="329"/>
      <c r="AJ225" s="375"/>
      <c r="AK225" s="375"/>
      <c r="AL225" s="375"/>
      <c r="AM225" s="375"/>
      <c r="AN225" s="329"/>
      <c r="AO225" s="329"/>
      <c r="AP225" s="329"/>
      <c r="AQ225" s="329"/>
      <c r="AR225" s="357"/>
    </row>
    <row r="226" spans="1:45" s="104" customFormat="1" ht="38.25">
      <c r="A226" s="328">
        <v>46099</v>
      </c>
      <c r="B226" s="447" t="s">
        <v>2593</v>
      </c>
      <c r="C226" s="437" t="s">
        <v>2713</v>
      </c>
      <c r="D226" s="361" t="s">
        <v>3317</v>
      </c>
      <c r="E226" s="399"/>
      <c r="F226" s="824" t="s">
        <v>105</v>
      </c>
      <c r="G226" s="363">
        <v>100</v>
      </c>
      <c r="H226" s="701" t="s">
        <v>2637</v>
      </c>
      <c r="I226" s="819" t="s">
        <v>2599</v>
      </c>
      <c r="J226" s="820" t="s">
        <v>2636</v>
      </c>
      <c r="K226" s="392" t="s">
        <v>53</v>
      </c>
      <c r="L226" s="421" t="s">
        <v>2321</v>
      </c>
      <c r="M226" s="328">
        <v>46237</v>
      </c>
      <c r="N226" s="355"/>
      <c r="O226" s="821" t="s">
        <v>602</v>
      </c>
      <c r="P226" s="425">
        <v>45409</v>
      </c>
      <c r="Q226" s="425">
        <v>46122</v>
      </c>
      <c r="R226" s="395" t="s">
        <v>1729</v>
      </c>
      <c r="S226" s="422">
        <v>45</v>
      </c>
      <c r="T226" s="422">
        <v>24</v>
      </c>
      <c r="U226" s="422">
        <v>17</v>
      </c>
      <c r="V226" s="368">
        <v>100</v>
      </c>
      <c r="W226" s="388">
        <f t="shared" si="41"/>
        <v>1</v>
      </c>
      <c r="X226" s="386">
        <f>(0.011*V226+0.5)*W226</f>
        <v>1.5999999999999999</v>
      </c>
      <c r="Y226" s="386">
        <f t="shared" si="42"/>
        <v>0.02</v>
      </c>
      <c r="Z226" s="698">
        <v>0.55000000000000004</v>
      </c>
      <c r="AA226" s="410">
        <f t="shared" si="43"/>
        <v>55.000000000000007</v>
      </c>
      <c r="AB226" s="346" t="s">
        <v>46</v>
      </c>
      <c r="AC226" s="362"/>
      <c r="AD226" s="827"/>
      <c r="AE226" s="425">
        <v>46122</v>
      </c>
      <c r="AF226" s="446">
        <v>46123</v>
      </c>
      <c r="AG226" s="329"/>
      <c r="AH226" s="446">
        <v>46157</v>
      </c>
      <c r="AI226" s="329"/>
      <c r="AJ226" s="375"/>
      <c r="AK226" s="375"/>
      <c r="AL226" s="375"/>
      <c r="AM226" s="375"/>
      <c r="AN226" s="329"/>
      <c r="AO226" s="329"/>
      <c r="AP226" s="329"/>
      <c r="AQ226" s="329"/>
      <c r="AR226" s="425" t="s">
        <v>2905</v>
      </c>
      <c r="AS226" t="s">
        <v>2907</v>
      </c>
    </row>
    <row r="227" spans="1:45" s="838" customFormat="1" ht="51">
      <c r="A227" s="328">
        <v>46099</v>
      </c>
      <c r="B227" s="447" t="s">
        <v>2593</v>
      </c>
      <c r="C227" s="437" t="s">
        <v>2714</v>
      </c>
      <c r="D227" s="361"/>
      <c r="E227" s="647" t="s">
        <v>2771</v>
      </c>
      <c r="F227" s="835" t="s">
        <v>105</v>
      </c>
      <c r="G227" s="327">
        <v>100</v>
      </c>
      <c r="H227" s="701" t="s">
        <v>2783</v>
      </c>
      <c r="I227" s="837" t="s">
        <v>2606</v>
      </c>
      <c r="J227" s="820" t="s">
        <v>2636</v>
      </c>
      <c r="K227" s="352" t="s">
        <v>53</v>
      </c>
      <c r="L227" s="421" t="s">
        <v>2165</v>
      </c>
      <c r="M227" s="328">
        <v>46237</v>
      </c>
      <c r="N227" s="355"/>
      <c r="O227" s="821" t="s">
        <v>602</v>
      </c>
      <c r="P227" s="425" t="s">
        <v>48</v>
      </c>
      <c r="Q227" s="348"/>
      <c r="R227" s="763" t="s">
        <v>2387</v>
      </c>
      <c r="S227" s="428">
        <v>52</v>
      </c>
      <c r="T227" s="397">
        <v>48</v>
      </c>
      <c r="U227" s="428">
        <v>40</v>
      </c>
      <c r="V227" s="397">
        <v>25</v>
      </c>
      <c r="W227" s="388">
        <f t="shared" si="41"/>
        <v>4</v>
      </c>
      <c r="X227" s="386">
        <f>(0.6*V227+1.2)*W227</f>
        <v>64.8</v>
      </c>
      <c r="Y227" s="386">
        <f t="shared" si="42"/>
        <v>0.4</v>
      </c>
      <c r="Z227" s="698">
        <v>6.84</v>
      </c>
      <c r="AA227" s="410">
        <f t="shared" si="43"/>
        <v>684</v>
      </c>
      <c r="AB227" s="346" t="s">
        <v>46</v>
      </c>
      <c r="AC227" s="362"/>
      <c r="AD227" s="822"/>
      <c r="AE227" s="375"/>
      <c r="AF227" s="375"/>
      <c r="AG227" s="329"/>
      <c r="AH227" s="375"/>
      <c r="AI227" s="329"/>
      <c r="AJ227" s="375"/>
      <c r="AK227" s="375"/>
      <c r="AL227" s="375"/>
      <c r="AM227" s="375"/>
      <c r="AN227" s="329"/>
      <c r="AO227" s="329"/>
      <c r="AP227" s="329"/>
      <c r="AQ227" s="329"/>
      <c r="AR227" s="357"/>
    </row>
    <row r="228" spans="1:45" ht="27.75" customHeight="1">
      <c r="A228" s="328">
        <v>46099</v>
      </c>
      <c r="B228" s="447" t="s">
        <v>2593</v>
      </c>
      <c r="C228" s="437" t="s">
        <v>2715</v>
      </c>
      <c r="D228" s="361" t="s">
        <v>3328</v>
      </c>
      <c r="E228" s="647"/>
      <c r="F228" s="823" t="s">
        <v>105</v>
      </c>
      <c r="G228" s="327">
        <v>25</v>
      </c>
      <c r="H228" s="836" t="s">
        <v>2640</v>
      </c>
      <c r="I228" s="845" t="s">
        <v>2641</v>
      </c>
      <c r="J228" s="820" t="s">
        <v>2636</v>
      </c>
      <c r="K228" s="690" t="s">
        <v>53</v>
      </c>
      <c r="L228" s="363" t="s">
        <v>2520</v>
      </c>
      <c r="M228" s="328">
        <v>46237</v>
      </c>
      <c r="N228" s="355"/>
      <c r="O228" s="821" t="s">
        <v>602</v>
      </c>
      <c r="P228" s="425">
        <v>45409</v>
      </c>
      <c r="Q228" s="425">
        <v>46133</v>
      </c>
      <c r="R228" s="763" t="s">
        <v>2387</v>
      </c>
      <c r="S228" s="847">
        <v>50</v>
      </c>
      <c r="T228" s="847">
        <v>30</v>
      </c>
      <c r="U228" s="847">
        <v>60</v>
      </c>
      <c r="V228" s="847">
        <v>25</v>
      </c>
      <c r="W228" s="386">
        <f t="shared" si="41"/>
        <v>1</v>
      </c>
      <c r="X228" s="386">
        <f>(0.8*V228+1.5)*W228</f>
        <v>21.5</v>
      </c>
      <c r="Y228" s="386">
        <f t="shared" si="42"/>
        <v>0.09</v>
      </c>
      <c r="Z228" s="347">
        <v>8.0299999999999994</v>
      </c>
      <c r="AA228" s="410">
        <f t="shared" si="43"/>
        <v>200.74999999999997</v>
      </c>
      <c r="AB228" s="346" t="s">
        <v>46</v>
      </c>
      <c r="AC228" s="822"/>
      <c r="AD228" s="822"/>
      <c r="AE228" s="425">
        <v>46133</v>
      </c>
      <c r="AF228" s="446">
        <v>46139</v>
      </c>
      <c r="AG228" s="329"/>
      <c r="AH228" s="375"/>
      <c r="AI228" s="329"/>
      <c r="AJ228" s="375"/>
      <c r="AK228" s="375"/>
      <c r="AL228" s="375"/>
      <c r="AM228" s="375"/>
      <c r="AN228" s="329"/>
      <c r="AO228" s="329"/>
      <c r="AP228" s="329"/>
      <c r="AQ228" s="329"/>
      <c r="AR228" s="357"/>
    </row>
    <row r="229" spans="1:45" s="104" customFormat="1" ht="26.25" customHeight="1">
      <c r="A229" s="328">
        <v>46099</v>
      </c>
      <c r="B229" s="447" t="s">
        <v>2593</v>
      </c>
      <c r="C229" s="437" t="s">
        <v>2716</v>
      </c>
      <c r="D229" s="361" t="s">
        <v>3320</v>
      </c>
      <c r="E229" s="647" t="s">
        <v>2771</v>
      </c>
      <c r="F229" s="818" t="s">
        <v>105</v>
      </c>
      <c r="G229" s="363">
        <v>75</v>
      </c>
      <c r="H229" s="701" t="s">
        <v>2784</v>
      </c>
      <c r="I229" s="819" t="s">
        <v>106</v>
      </c>
      <c r="J229" s="820" t="s">
        <v>2636</v>
      </c>
      <c r="K229" s="365" t="s">
        <v>357</v>
      </c>
      <c r="L229" s="421" t="s">
        <v>2408</v>
      </c>
      <c r="M229" s="328">
        <v>46237</v>
      </c>
      <c r="N229" s="355"/>
      <c r="O229" s="821" t="s">
        <v>602</v>
      </c>
      <c r="P229" s="425"/>
      <c r="Q229" s="425">
        <v>46146</v>
      </c>
      <c r="R229" s="495" t="s">
        <v>2385</v>
      </c>
      <c r="S229" s="422">
        <v>93</v>
      </c>
      <c r="T229" s="422">
        <v>56</v>
      </c>
      <c r="U229" s="422">
        <v>43</v>
      </c>
      <c r="V229" s="368">
        <v>25</v>
      </c>
      <c r="W229" s="388">
        <f t="shared" si="41"/>
        <v>3</v>
      </c>
      <c r="X229" s="386">
        <f>(1*V229+1.5)*W229</f>
        <v>79.5</v>
      </c>
      <c r="Y229" s="386">
        <f t="shared" si="42"/>
        <v>0.67</v>
      </c>
      <c r="Z229" s="347">
        <v>8.5</v>
      </c>
      <c r="AA229" s="410">
        <f t="shared" si="43"/>
        <v>637.5</v>
      </c>
      <c r="AB229" s="346" t="s">
        <v>46</v>
      </c>
      <c r="AC229" s="362"/>
      <c r="AD229" s="827"/>
      <c r="AE229" s="425">
        <v>46146</v>
      </c>
      <c r="AF229" s="425">
        <v>46146</v>
      </c>
      <c r="AG229" s="329"/>
      <c r="AH229" s="375"/>
      <c r="AI229" s="329"/>
      <c r="AJ229" s="375"/>
      <c r="AK229" s="375"/>
      <c r="AL229" s="375"/>
      <c r="AM229" s="375"/>
      <c r="AN229" s="329"/>
      <c r="AO229" s="329"/>
      <c r="AP229" s="329"/>
      <c r="AQ229" s="329"/>
      <c r="AR229" s="357"/>
    </row>
    <row r="230" spans="1:45" s="115" customFormat="1" ht="26.25" customHeight="1">
      <c r="A230" s="328">
        <v>46099</v>
      </c>
      <c r="B230" s="447" t="s">
        <v>2593</v>
      </c>
      <c r="C230" s="437" t="s">
        <v>2717</v>
      </c>
      <c r="D230" s="361" t="s">
        <v>3326</v>
      </c>
      <c r="E230" s="647" t="s">
        <v>2771</v>
      </c>
      <c r="F230" s="818" t="s">
        <v>105</v>
      </c>
      <c r="G230" s="843">
        <v>20</v>
      </c>
      <c r="H230" s="392" t="s">
        <v>2785</v>
      </c>
      <c r="I230" s="820" t="s">
        <v>2633</v>
      </c>
      <c r="J230" s="820" t="s">
        <v>2636</v>
      </c>
      <c r="K230" s="391" t="s">
        <v>53</v>
      </c>
      <c r="L230" s="819" t="s">
        <v>2996</v>
      </c>
      <c r="M230" s="328">
        <v>46237</v>
      </c>
      <c r="N230" s="355"/>
      <c r="O230" s="821" t="s">
        <v>602</v>
      </c>
      <c r="P230" s="425">
        <v>45409</v>
      </c>
      <c r="Q230" s="425">
        <v>46125</v>
      </c>
      <c r="R230" s="495" t="s">
        <v>2385</v>
      </c>
      <c r="S230" s="422">
        <v>82</v>
      </c>
      <c r="T230" s="422">
        <v>45</v>
      </c>
      <c r="U230" s="422">
        <v>40</v>
      </c>
      <c r="V230" s="407">
        <v>2</v>
      </c>
      <c r="W230" s="386">
        <f t="shared" si="41"/>
        <v>10</v>
      </c>
      <c r="X230" s="386">
        <f>(3.35*V230+1.5)*W230</f>
        <v>82</v>
      </c>
      <c r="Y230" s="386">
        <f t="shared" si="42"/>
        <v>1.48</v>
      </c>
      <c r="Z230" s="347">
        <v>31.1</v>
      </c>
      <c r="AA230" s="410">
        <f t="shared" si="43"/>
        <v>622</v>
      </c>
      <c r="AB230" s="346" t="s">
        <v>46</v>
      </c>
      <c r="AC230" s="822"/>
      <c r="AD230" s="362" t="s">
        <v>2631</v>
      </c>
      <c r="AE230" s="425">
        <v>46125</v>
      </c>
      <c r="AF230" s="425">
        <v>46095</v>
      </c>
      <c r="AG230" s="329"/>
      <c r="AH230" s="446">
        <v>46157</v>
      </c>
      <c r="AI230" s="329"/>
      <c r="AJ230" s="375"/>
      <c r="AK230" s="375"/>
      <c r="AL230" s="375"/>
      <c r="AM230" s="375"/>
      <c r="AN230" s="375"/>
      <c r="AO230" s="329"/>
      <c r="AP230" s="357"/>
      <c r="AQ230" s="425" t="s">
        <v>2075</v>
      </c>
      <c r="AR230" s="357"/>
    </row>
    <row r="231" spans="1:45" s="104" customFormat="1" ht="26.25" customHeight="1">
      <c r="A231" s="328">
        <v>46099</v>
      </c>
      <c r="B231" s="447" t="s">
        <v>2593</v>
      </c>
      <c r="C231" s="437" t="s">
        <v>2718</v>
      </c>
      <c r="D231" s="361" t="s">
        <v>3327</v>
      </c>
      <c r="E231" s="353"/>
      <c r="F231" s="824" t="s">
        <v>105</v>
      </c>
      <c r="G231" s="396">
        <v>20</v>
      </c>
      <c r="H231" s="527" t="s">
        <v>2642</v>
      </c>
      <c r="I231" s="819" t="s">
        <v>619</v>
      </c>
      <c r="J231" s="820" t="s">
        <v>2636</v>
      </c>
      <c r="K231" s="392" t="s">
        <v>53</v>
      </c>
      <c r="L231" s="421" t="s">
        <v>2408</v>
      </c>
      <c r="M231" s="328">
        <v>46237</v>
      </c>
      <c r="N231" s="782"/>
      <c r="O231" s="821" t="s">
        <v>602</v>
      </c>
      <c r="P231" s="425" t="s">
        <v>48</v>
      </c>
      <c r="Q231" s="425">
        <v>46146</v>
      </c>
      <c r="R231" s="395" t="s">
        <v>1729</v>
      </c>
      <c r="S231" s="380">
        <v>60</v>
      </c>
      <c r="T231" s="380">
        <v>50</v>
      </c>
      <c r="U231" s="422">
        <v>62</v>
      </c>
      <c r="V231" s="407">
        <v>10</v>
      </c>
      <c r="W231" s="388">
        <f t="shared" si="41"/>
        <v>2</v>
      </c>
      <c r="X231" s="386">
        <f>(1.1*V231+1.5)*W231</f>
        <v>25</v>
      </c>
      <c r="Y231" s="386">
        <f t="shared" si="42"/>
        <v>0.37</v>
      </c>
      <c r="Z231" s="698">
        <v>10.25</v>
      </c>
      <c r="AA231" s="410">
        <f t="shared" si="43"/>
        <v>205</v>
      </c>
      <c r="AB231" s="346" t="s">
        <v>46</v>
      </c>
      <c r="AC231" s="362"/>
      <c r="AD231" s="827"/>
      <c r="AE231" s="425">
        <v>46146</v>
      </c>
      <c r="AF231" s="425">
        <v>46146</v>
      </c>
      <c r="AG231" s="329"/>
      <c r="AH231" s="446">
        <v>46157</v>
      </c>
      <c r="AI231" s="329"/>
      <c r="AJ231" s="375"/>
      <c r="AK231" s="375"/>
      <c r="AL231" s="375"/>
      <c r="AM231" s="375"/>
      <c r="AN231" s="329"/>
      <c r="AO231" s="329"/>
      <c r="AP231" s="329"/>
      <c r="AQ231" s="329"/>
      <c r="AR231" s="357"/>
    </row>
    <row r="232" spans="1:45" s="104" customFormat="1" ht="38.25">
      <c r="A232" s="328">
        <v>46099</v>
      </c>
      <c r="B232" s="447" t="s">
        <v>2593</v>
      </c>
      <c r="C232" s="437" t="s">
        <v>2719</v>
      </c>
      <c r="D232" s="361" t="s">
        <v>3317</v>
      </c>
      <c r="E232" s="399"/>
      <c r="F232" s="818" t="s">
        <v>105</v>
      </c>
      <c r="G232" s="363">
        <v>150</v>
      </c>
      <c r="H232" s="701" t="s">
        <v>2643</v>
      </c>
      <c r="I232" s="819" t="s">
        <v>2599</v>
      </c>
      <c r="J232" s="820" t="s">
        <v>2644</v>
      </c>
      <c r="K232" s="402" t="s">
        <v>53</v>
      </c>
      <c r="L232" s="421" t="s">
        <v>2321</v>
      </c>
      <c r="M232" s="328">
        <v>46237</v>
      </c>
      <c r="N232" s="355"/>
      <c r="O232" s="821" t="s">
        <v>602</v>
      </c>
      <c r="P232" s="425">
        <v>45409</v>
      </c>
      <c r="Q232" s="425">
        <v>46122</v>
      </c>
      <c r="R232" s="395" t="s">
        <v>1729</v>
      </c>
      <c r="S232" s="422">
        <v>27</v>
      </c>
      <c r="T232" s="422">
        <v>25</v>
      </c>
      <c r="U232" s="422">
        <v>30</v>
      </c>
      <c r="V232" s="368">
        <v>150</v>
      </c>
      <c r="W232" s="388">
        <f t="shared" si="41"/>
        <v>1</v>
      </c>
      <c r="X232" s="386">
        <f>(0.01*V232+0.9)*W232</f>
        <v>2.4</v>
      </c>
      <c r="Y232" s="386">
        <f t="shared" si="42"/>
        <v>0.02</v>
      </c>
      <c r="Z232" s="698">
        <v>0.55000000000000004</v>
      </c>
      <c r="AA232" s="410">
        <f t="shared" si="43"/>
        <v>82.5</v>
      </c>
      <c r="AB232" s="346" t="s">
        <v>46</v>
      </c>
      <c r="AC232" s="362"/>
      <c r="AD232" s="827"/>
      <c r="AE232" s="425">
        <v>46122</v>
      </c>
      <c r="AF232" s="446">
        <v>46123</v>
      </c>
      <c r="AG232" s="329"/>
      <c r="AH232" s="446">
        <v>46157</v>
      </c>
      <c r="AI232" s="329"/>
      <c r="AJ232" s="375"/>
      <c r="AK232" s="375"/>
      <c r="AL232" s="375"/>
      <c r="AM232" s="375"/>
      <c r="AN232" s="329"/>
      <c r="AO232" s="329"/>
      <c r="AP232" s="329"/>
      <c r="AQ232" s="846"/>
      <c r="AR232" s="425" t="s">
        <v>2905</v>
      </c>
      <c r="AS232" t="s">
        <v>2907</v>
      </c>
    </row>
    <row r="233" spans="1:45" s="104" customFormat="1" ht="38.25">
      <c r="A233" s="328">
        <v>46099</v>
      </c>
      <c r="B233" s="447" t="s">
        <v>2593</v>
      </c>
      <c r="C233" s="437" t="s">
        <v>2720</v>
      </c>
      <c r="D233" s="361" t="s">
        <v>3317</v>
      </c>
      <c r="E233" s="353"/>
      <c r="F233" s="818" t="s">
        <v>105</v>
      </c>
      <c r="G233" s="825">
        <v>50</v>
      </c>
      <c r="H233" s="701" t="s">
        <v>2645</v>
      </c>
      <c r="I233" s="819" t="s">
        <v>2599</v>
      </c>
      <c r="J233" s="820" t="s">
        <v>2644</v>
      </c>
      <c r="K233" s="402" t="s">
        <v>50</v>
      </c>
      <c r="L233" s="421" t="s">
        <v>2321</v>
      </c>
      <c r="M233" s="328">
        <v>46237</v>
      </c>
      <c r="N233" s="355"/>
      <c r="O233" s="821" t="s">
        <v>2646</v>
      </c>
      <c r="P233" s="369">
        <v>42185</v>
      </c>
      <c r="Q233" s="425">
        <v>46122</v>
      </c>
      <c r="R233" s="395" t="s">
        <v>1729</v>
      </c>
      <c r="S233" s="422">
        <v>25</v>
      </c>
      <c r="T233" s="422">
        <v>24</v>
      </c>
      <c r="U233" s="422">
        <v>17</v>
      </c>
      <c r="V233" s="368">
        <v>50</v>
      </c>
      <c r="W233" s="388">
        <f t="shared" si="41"/>
        <v>1</v>
      </c>
      <c r="X233" s="386">
        <f>(0.01*V233+0.9)*W233</f>
        <v>1.4</v>
      </c>
      <c r="Y233" s="386">
        <f t="shared" si="42"/>
        <v>0.01</v>
      </c>
      <c r="Z233" s="698">
        <v>0.55000000000000004</v>
      </c>
      <c r="AA233" s="410">
        <f t="shared" si="43"/>
        <v>27.500000000000004</v>
      </c>
      <c r="AB233" s="346" t="s">
        <v>46</v>
      </c>
      <c r="AC233" s="362"/>
      <c r="AD233" s="827"/>
      <c r="AE233" s="425">
        <v>46122</v>
      </c>
      <c r="AF233" s="446">
        <v>46123</v>
      </c>
      <c r="AG233" s="329"/>
      <c r="AH233" s="446">
        <v>46157</v>
      </c>
      <c r="AI233" s="329"/>
      <c r="AJ233" s="375"/>
      <c r="AK233" s="375"/>
      <c r="AL233" s="375"/>
      <c r="AM233" s="375"/>
      <c r="AN233" s="329"/>
      <c r="AO233" s="329"/>
      <c r="AP233" s="329"/>
      <c r="AQ233" s="846"/>
      <c r="AR233" s="425" t="s">
        <v>2905</v>
      </c>
      <c r="AS233" t="s">
        <v>2907</v>
      </c>
    </row>
    <row r="234" spans="1:45" customFormat="1" ht="25.5">
      <c r="A234" s="328">
        <v>46099</v>
      </c>
      <c r="B234" s="447" t="s">
        <v>2593</v>
      </c>
      <c r="C234" s="437" t="s">
        <v>2721</v>
      </c>
      <c r="D234" s="361" t="s">
        <v>3317</v>
      </c>
      <c r="E234" s="399"/>
      <c r="F234" s="848" t="s">
        <v>105</v>
      </c>
      <c r="G234" s="363">
        <v>50</v>
      </c>
      <c r="H234" s="686" t="s">
        <v>2647</v>
      </c>
      <c r="I234" s="819" t="s">
        <v>2648</v>
      </c>
      <c r="J234" s="820" t="s">
        <v>2644</v>
      </c>
      <c r="K234" s="392" t="s">
        <v>2772</v>
      </c>
      <c r="L234" s="421" t="s">
        <v>2321</v>
      </c>
      <c r="M234" s="328">
        <v>46237</v>
      </c>
      <c r="N234" s="355"/>
      <c r="O234" s="821" t="s">
        <v>602</v>
      </c>
      <c r="P234" s="425">
        <v>45409</v>
      </c>
      <c r="Q234" s="425">
        <v>46130</v>
      </c>
      <c r="R234" s="395" t="s">
        <v>1729</v>
      </c>
      <c r="S234" s="422">
        <v>25</v>
      </c>
      <c r="T234" s="368">
        <v>24</v>
      </c>
      <c r="U234" s="368">
        <v>17</v>
      </c>
      <c r="V234" s="368">
        <v>50</v>
      </c>
      <c r="W234" s="388">
        <v>1</v>
      </c>
      <c r="X234" s="386">
        <f>(0.01*V234+0.9)*W234</f>
        <v>1.4</v>
      </c>
      <c r="Y234" s="386">
        <f t="shared" si="42"/>
        <v>0.01</v>
      </c>
      <c r="Z234" s="698">
        <v>0.55000000000000004</v>
      </c>
      <c r="AA234" s="410">
        <f t="shared" ref="AA234:AA265" si="44">Z234*G234</f>
        <v>27.500000000000004</v>
      </c>
      <c r="AB234" s="346" t="s">
        <v>46</v>
      </c>
      <c r="AC234" s="362"/>
      <c r="AD234" s="849"/>
      <c r="AE234" s="425">
        <v>46130</v>
      </c>
      <c r="AF234" s="446">
        <v>46132</v>
      </c>
      <c r="AG234" s="329"/>
      <c r="AH234" s="446">
        <v>46157</v>
      </c>
      <c r="AI234" s="329"/>
      <c r="AJ234" s="375"/>
      <c r="AK234" s="375"/>
      <c r="AL234" s="375"/>
      <c r="AM234" s="375"/>
      <c r="AN234" s="329"/>
      <c r="AO234" s="329"/>
      <c r="AP234" s="329"/>
      <c r="AQ234" s="329"/>
      <c r="AR234" s="425" t="s">
        <v>2905</v>
      </c>
      <c r="AS234" t="s">
        <v>2907</v>
      </c>
    </row>
    <row r="235" spans="1:45" customFormat="1" ht="25.5">
      <c r="A235" s="328">
        <v>46099</v>
      </c>
      <c r="B235" s="447" t="s">
        <v>2593</v>
      </c>
      <c r="C235" s="437" t="s">
        <v>2722</v>
      </c>
      <c r="D235" s="361" t="s">
        <v>3317</v>
      </c>
      <c r="E235" s="399"/>
      <c r="F235" s="818" t="s">
        <v>105</v>
      </c>
      <c r="G235" s="363">
        <v>50</v>
      </c>
      <c r="H235" s="701" t="s">
        <v>2649</v>
      </c>
      <c r="I235" s="819" t="s">
        <v>2648</v>
      </c>
      <c r="J235" s="820" t="s">
        <v>2644</v>
      </c>
      <c r="K235" s="402" t="s">
        <v>75</v>
      </c>
      <c r="L235" s="421" t="s">
        <v>2321</v>
      </c>
      <c r="M235" s="328">
        <v>46237</v>
      </c>
      <c r="N235" s="355"/>
      <c r="O235" s="821" t="s">
        <v>602</v>
      </c>
      <c r="P235" s="425">
        <v>45409</v>
      </c>
      <c r="Q235" s="425">
        <v>46122</v>
      </c>
      <c r="R235" s="395" t="s">
        <v>1729</v>
      </c>
      <c r="S235" s="422">
        <v>25</v>
      </c>
      <c r="T235" s="368">
        <v>24</v>
      </c>
      <c r="U235" s="368">
        <v>17</v>
      </c>
      <c r="V235" s="368">
        <v>50</v>
      </c>
      <c r="W235" s="388">
        <v>1</v>
      </c>
      <c r="X235" s="386">
        <f>(0.01*V235+0.9)*W235</f>
        <v>1.4</v>
      </c>
      <c r="Y235" s="386">
        <f t="shared" si="42"/>
        <v>0.01</v>
      </c>
      <c r="Z235" s="698">
        <v>0.55000000000000004</v>
      </c>
      <c r="AA235" s="410">
        <f t="shared" si="44"/>
        <v>27.500000000000004</v>
      </c>
      <c r="AB235" s="346" t="s">
        <v>46</v>
      </c>
      <c r="AC235" s="362" t="s">
        <v>48</v>
      </c>
      <c r="AD235" s="827"/>
      <c r="AE235" s="425">
        <v>46122</v>
      </c>
      <c r="AF235" s="446">
        <v>46123</v>
      </c>
      <c r="AG235" s="329"/>
      <c r="AH235" s="446">
        <v>46157</v>
      </c>
      <c r="AI235" s="329"/>
      <c r="AJ235" s="375"/>
      <c r="AK235" s="375"/>
      <c r="AL235" s="375"/>
      <c r="AM235" s="375"/>
      <c r="AN235" s="329"/>
      <c r="AO235" s="329"/>
      <c r="AP235" s="329"/>
      <c r="AQ235" s="329"/>
      <c r="AR235" s="425" t="s">
        <v>2905</v>
      </c>
      <c r="AS235" t="s">
        <v>2907</v>
      </c>
    </row>
    <row r="236" spans="1:45" s="838" customFormat="1" ht="27.75" customHeight="1">
      <c r="A236" s="328">
        <v>46099</v>
      </c>
      <c r="B236" s="447" t="s">
        <v>2593</v>
      </c>
      <c r="C236" s="437" t="s">
        <v>2723</v>
      </c>
      <c r="D236" s="361"/>
      <c r="E236" s="353"/>
      <c r="F236" s="835" t="s">
        <v>105</v>
      </c>
      <c r="G236" s="327">
        <v>25</v>
      </c>
      <c r="H236" s="391" t="s">
        <v>2650</v>
      </c>
      <c r="I236" s="837" t="s">
        <v>2606</v>
      </c>
      <c r="J236" s="839" t="s">
        <v>2644</v>
      </c>
      <c r="K236" s="352" t="s">
        <v>53</v>
      </c>
      <c r="L236" s="421" t="s">
        <v>2165</v>
      </c>
      <c r="M236" s="328">
        <v>46237</v>
      </c>
      <c r="N236" s="355"/>
      <c r="O236" s="821" t="s">
        <v>602</v>
      </c>
      <c r="P236" s="425">
        <v>45409</v>
      </c>
      <c r="Q236" s="348"/>
      <c r="R236" s="395" t="s">
        <v>2387</v>
      </c>
      <c r="S236" s="428">
        <v>52</v>
      </c>
      <c r="T236" s="397">
        <v>48</v>
      </c>
      <c r="U236" s="428">
        <v>40</v>
      </c>
      <c r="V236" s="397">
        <v>25</v>
      </c>
      <c r="W236" s="413">
        <f t="shared" ref="W236:W241" si="45">ROUND(G236/V236,2)</f>
        <v>1</v>
      </c>
      <c r="X236" s="413">
        <f>(0.7*V236+1.5)*W236</f>
        <v>19</v>
      </c>
      <c r="Y236" s="413">
        <f t="shared" si="42"/>
        <v>0.1</v>
      </c>
      <c r="Z236" s="698">
        <v>6.84</v>
      </c>
      <c r="AA236" s="410">
        <f t="shared" si="44"/>
        <v>171</v>
      </c>
      <c r="AB236" s="346" t="s">
        <v>46</v>
      </c>
      <c r="AC236" s="842"/>
      <c r="AD236" s="362"/>
      <c r="AE236" s="375"/>
      <c r="AF236" s="375"/>
      <c r="AG236" s="329"/>
      <c r="AH236" s="375"/>
      <c r="AI236" s="329"/>
      <c r="AJ236" s="375"/>
      <c r="AK236" s="375"/>
      <c r="AL236" s="375"/>
      <c r="AM236" s="375"/>
      <c r="AN236" s="329"/>
      <c r="AO236" s="329"/>
      <c r="AP236" s="329"/>
      <c r="AQ236" s="329"/>
      <c r="AR236" s="357"/>
    </row>
    <row r="237" spans="1:45" s="104" customFormat="1" ht="27.75" customHeight="1">
      <c r="A237" s="328">
        <v>46099</v>
      </c>
      <c r="B237" s="447" t="s">
        <v>2593</v>
      </c>
      <c r="C237" s="437" t="s">
        <v>2724</v>
      </c>
      <c r="D237" s="361" t="s">
        <v>3315</v>
      </c>
      <c r="E237" s="353"/>
      <c r="F237" s="823" t="s">
        <v>105</v>
      </c>
      <c r="G237" s="327">
        <v>25</v>
      </c>
      <c r="H237" s="701" t="s">
        <v>2651</v>
      </c>
      <c r="I237" s="398" t="s">
        <v>2595</v>
      </c>
      <c r="J237" s="839" t="s">
        <v>2644</v>
      </c>
      <c r="K237" s="690" t="s">
        <v>53</v>
      </c>
      <c r="L237" s="363" t="s">
        <v>2520</v>
      </c>
      <c r="M237" s="328">
        <v>46237</v>
      </c>
      <c r="N237" s="355"/>
      <c r="O237" s="821" t="s">
        <v>602</v>
      </c>
      <c r="P237" s="425">
        <v>45409</v>
      </c>
      <c r="Q237" s="446">
        <v>46136</v>
      </c>
      <c r="R237" s="395" t="s">
        <v>1729</v>
      </c>
      <c r="S237" s="380">
        <v>60</v>
      </c>
      <c r="T237" s="380">
        <v>60</v>
      </c>
      <c r="U237" s="380">
        <v>30</v>
      </c>
      <c r="V237" s="368">
        <v>25</v>
      </c>
      <c r="W237" s="388">
        <f t="shared" si="45"/>
        <v>1</v>
      </c>
      <c r="X237" s="386">
        <f>(0.7*V237+1.5)*W237</f>
        <v>19</v>
      </c>
      <c r="Y237" s="386">
        <f t="shared" si="42"/>
        <v>0.11</v>
      </c>
      <c r="Z237" s="698">
        <v>5.75</v>
      </c>
      <c r="AA237" s="410">
        <f t="shared" si="44"/>
        <v>143.75</v>
      </c>
      <c r="AB237" s="346" t="s">
        <v>46</v>
      </c>
      <c r="AC237" s="822"/>
      <c r="AD237" s="822"/>
      <c r="AE237" s="446">
        <v>46136</v>
      </c>
      <c r="AF237" s="446">
        <v>46139</v>
      </c>
      <c r="AG237" s="329"/>
      <c r="AH237" s="446">
        <v>46153</v>
      </c>
      <c r="AI237" s="329"/>
      <c r="AJ237" s="375"/>
      <c r="AK237" s="375"/>
      <c r="AL237" s="375"/>
      <c r="AM237" s="375"/>
      <c r="AN237" s="329"/>
      <c r="AO237" s="329"/>
      <c r="AP237" s="329"/>
      <c r="AQ237" s="329"/>
      <c r="AR237" s="357"/>
    </row>
    <row r="238" spans="1:45" s="104" customFormat="1" ht="27.75" customHeight="1">
      <c r="A238" s="328">
        <v>46099</v>
      </c>
      <c r="B238" s="447" t="s">
        <v>2593</v>
      </c>
      <c r="C238" s="437" t="s">
        <v>2725</v>
      </c>
      <c r="D238" s="361" t="s">
        <v>3329</v>
      </c>
      <c r="E238" s="353"/>
      <c r="F238" s="823" t="s">
        <v>105</v>
      </c>
      <c r="G238" s="327">
        <v>25</v>
      </c>
      <c r="H238" s="701" t="s">
        <v>2773</v>
      </c>
      <c r="I238" s="398" t="s">
        <v>2624</v>
      </c>
      <c r="J238" s="839" t="s">
        <v>2644</v>
      </c>
      <c r="K238" s="690" t="s">
        <v>53</v>
      </c>
      <c r="L238" s="363" t="s">
        <v>2520</v>
      </c>
      <c r="M238" s="328">
        <v>46237</v>
      </c>
      <c r="N238" s="355"/>
      <c r="O238" s="821" t="s">
        <v>602</v>
      </c>
      <c r="P238" s="425">
        <v>45409</v>
      </c>
      <c r="Q238" s="425">
        <v>46135</v>
      </c>
      <c r="R238" s="395" t="s">
        <v>1729</v>
      </c>
      <c r="S238" s="422">
        <v>60</v>
      </c>
      <c r="T238" s="422">
        <v>60</v>
      </c>
      <c r="U238" s="422">
        <v>33</v>
      </c>
      <c r="V238" s="368">
        <v>25</v>
      </c>
      <c r="W238" s="388">
        <f t="shared" si="45"/>
        <v>1</v>
      </c>
      <c r="X238" s="386">
        <f>(0.8*V238+1.5)*W238</f>
        <v>21.5</v>
      </c>
      <c r="Y238" s="386">
        <f t="shared" si="42"/>
        <v>0.12</v>
      </c>
      <c r="Z238" s="698">
        <v>7.34</v>
      </c>
      <c r="AA238" s="410">
        <f t="shared" si="44"/>
        <v>183.5</v>
      </c>
      <c r="AB238" s="346" t="s">
        <v>46</v>
      </c>
      <c r="AC238" s="362"/>
      <c r="AD238" s="827"/>
      <c r="AE238" s="425">
        <v>46135</v>
      </c>
      <c r="AF238" s="446">
        <v>46139</v>
      </c>
      <c r="AG238" s="329"/>
      <c r="AH238" s="446">
        <v>46153</v>
      </c>
      <c r="AI238" s="329"/>
      <c r="AJ238" s="375"/>
      <c r="AK238" s="375"/>
      <c r="AL238" s="375"/>
      <c r="AM238" s="375"/>
      <c r="AN238" s="329"/>
      <c r="AO238" s="329"/>
      <c r="AP238" s="329"/>
      <c r="AQ238" s="329"/>
      <c r="AR238" s="357"/>
    </row>
    <row r="239" spans="1:45" s="104" customFormat="1" ht="26.25" customHeight="1">
      <c r="A239" s="328">
        <v>46099</v>
      </c>
      <c r="B239" s="447" t="s">
        <v>2593</v>
      </c>
      <c r="C239" s="437" t="s">
        <v>2726</v>
      </c>
      <c r="D239" s="361" t="s">
        <v>3330</v>
      </c>
      <c r="E239" s="353"/>
      <c r="F239" s="824" t="s">
        <v>105</v>
      </c>
      <c r="G239" s="327">
        <v>25</v>
      </c>
      <c r="H239" s="828" t="s">
        <v>2774</v>
      </c>
      <c r="I239" s="819" t="s">
        <v>2601</v>
      </c>
      <c r="J239" s="839" t="s">
        <v>2644</v>
      </c>
      <c r="K239" s="392" t="s">
        <v>53</v>
      </c>
      <c r="L239" s="363" t="s">
        <v>2076</v>
      </c>
      <c r="M239" s="328">
        <v>46237</v>
      </c>
      <c r="N239" s="355"/>
      <c r="O239" s="821" t="s">
        <v>602</v>
      </c>
      <c r="P239" s="425" t="s">
        <v>48</v>
      </c>
      <c r="Q239" s="425">
        <v>46132</v>
      </c>
      <c r="R239" s="395" t="s">
        <v>1729</v>
      </c>
      <c r="S239" s="380">
        <v>70</v>
      </c>
      <c r="T239" s="380">
        <v>50</v>
      </c>
      <c r="U239" s="380">
        <v>45</v>
      </c>
      <c r="V239" s="407">
        <v>25</v>
      </c>
      <c r="W239" s="388">
        <f t="shared" si="45"/>
        <v>1</v>
      </c>
      <c r="X239" s="386">
        <f>(1*V239+1.5)*W239</f>
        <v>26.5</v>
      </c>
      <c r="Y239" s="386">
        <f t="shared" si="42"/>
        <v>0.16</v>
      </c>
      <c r="Z239" s="347">
        <v>7.57</v>
      </c>
      <c r="AA239" s="410">
        <f t="shared" si="44"/>
        <v>189.25</v>
      </c>
      <c r="AB239" s="346" t="s">
        <v>46</v>
      </c>
      <c r="AC239" s="362"/>
      <c r="AD239" s="822"/>
      <c r="AE239" s="425">
        <v>46132</v>
      </c>
      <c r="AF239" s="446">
        <v>46133</v>
      </c>
      <c r="AG239" s="329"/>
      <c r="AH239" s="446">
        <v>46153</v>
      </c>
      <c r="AI239" s="329"/>
      <c r="AJ239" s="375"/>
      <c r="AK239" s="375"/>
      <c r="AL239" s="375"/>
      <c r="AM239" s="375"/>
      <c r="AN239" s="329"/>
      <c r="AO239" s="329"/>
      <c r="AP239" s="329"/>
      <c r="AQ239" s="329"/>
      <c r="AR239" s="357"/>
    </row>
    <row r="240" spans="1:45" s="104" customFormat="1" ht="27.75" customHeight="1">
      <c r="A240" s="328">
        <v>46099</v>
      </c>
      <c r="B240" s="447" t="s">
        <v>2593</v>
      </c>
      <c r="C240" s="437" t="s">
        <v>2727</v>
      </c>
      <c r="D240" s="361" t="s">
        <v>3324</v>
      </c>
      <c r="E240" s="353"/>
      <c r="F240" s="758" t="s">
        <v>105</v>
      </c>
      <c r="G240" s="327">
        <v>25</v>
      </c>
      <c r="H240" s="527" t="s">
        <v>2652</v>
      </c>
      <c r="I240" s="398" t="s">
        <v>109</v>
      </c>
      <c r="J240" s="839" t="s">
        <v>2644</v>
      </c>
      <c r="K240" s="365" t="s">
        <v>53</v>
      </c>
      <c r="L240" s="421" t="s">
        <v>2390</v>
      </c>
      <c r="M240" s="328">
        <v>46237</v>
      </c>
      <c r="N240" s="355"/>
      <c r="O240" s="821" t="s">
        <v>602</v>
      </c>
      <c r="P240" s="425">
        <v>45409</v>
      </c>
      <c r="Q240" s="425">
        <v>46125</v>
      </c>
      <c r="R240" s="395" t="s">
        <v>1729</v>
      </c>
      <c r="S240" s="380">
        <v>50</v>
      </c>
      <c r="T240" s="380">
        <v>50</v>
      </c>
      <c r="U240" s="380">
        <v>43</v>
      </c>
      <c r="V240" s="368">
        <v>25</v>
      </c>
      <c r="W240" s="388">
        <f t="shared" si="45"/>
        <v>1</v>
      </c>
      <c r="X240" s="386">
        <f>(0.6*V240+1.5)*W240</f>
        <v>16.5</v>
      </c>
      <c r="Y240" s="386">
        <f t="shared" si="42"/>
        <v>0.11</v>
      </c>
      <c r="Z240" s="698">
        <v>7.2</v>
      </c>
      <c r="AA240" s="410">
        <f t="shared" si="44"/>
        <v>180</v>
      </c>
      <c r="AB240" s="346" t="s">
        <v>46</v>
      </c>
      <c r="AC240" s="822"/>
      <c r="AD240" s="822"/>
      <c r="AE240" s="425">
        <v>46125</v>
      </c>
      <c r="AF240" s="425">
        <v>46125</v>
      </c>
      <c r="AG240" s="329"/>
      <c r="AH240" s="446">
        <v>46141</v>
      </c>
      <c r="AI240" s="329"/>
      <c r="AJ240" s="375"/>
      <c r="AK240" s="375"/>
      <c r="AL240" s="375"/>
      <c r="AM240" s="375"/>
      <c r="AN240" s="329"/>
      <c r="AO240" s="329"/>
      <c r="AP240" s="329"/>
      <c r="AQ240" s="329"/>
      <c r="AR240" s="357"/>
    </row>
    <row r="241" spans="1:45" s="104" customFormat="1" ht="26.25" customHeight="1">
      <c r="A241" s="328">
        <v>46099</v>
      </c>
      <c r="B241" s="447" t="s">
        <v>2593</v>
      </c>
      <c r="C241" s="437" t="s">
        <v>2728</v>
      </c>
      <c r="D241" s="361" t="s">
        <v>3319</v>
      </c>
      <c r="E241" s="353"/>
      <c r="F241" s="818" t="s">
        <v>105</v>
      </c>
      <c r="G241" s="363">
        <v>50</v>
      </c>
      <c r="H241" s="701" t="s">
        <v>2653</v>
      </c>
      <c r="I241" s="819" t="s">
        <v>112</v>
      </c>
      <c r="J241" s="820" t="s">
        <v>2644</v>
      </c>
      <c r="K241" s="402" t="s">
        <v>53</v>
      </c>
      <c r="L241" s="393" t="s">
        <v>2390</v>
      </c>
      <c r="M241" s="328">
        <v>46237</v>
      </c>
      <c r="N241" s="355"/>
      <c r="O241" s="821" t="s">
        <v>602</v>
      </c>
      <c r="P241" s="425">
        <v>45409</v>
      </c>
      <c r="Q241" s="425">
        <v>46153</v>
      </c>
      <c r="R241" s="395" t="s">
        <v>1729</v>
      </c>
      <c r="S241" s="422">
        <v>60</v>
      </c>
      <c r="T241" s="422">
        <v>40</v>
      </c>
      <c r="U241" s="422">
        <v>50</v>
      </c>
      <c r="V241" s="368">
        <v>10</v>
      </c>
      <c r="W241" s="388">
        <f t="shared" si="45"/>
        <v>5</v>
      </c>
      <c r="X241" s="386">
        <f>2*W241</f>
        <v>10</v>
      </c>
      <c r="Y241" s="386">
        <f t="shared" si="42"/>
        <v>0.6</v>
      </c>
      <c r="Z241" s="698">
        <v>10.5</v>
      </c>
      <c r="AA241" s="410">
        <f t="shared" si="44"/>
        <v>525</v>
      </c>
      <c r="AB241" s="346" t="s">
        <v>46</v>
      </c>
      <c r="AC241" s="362"/>
      <c r="AD241" s="827"/>
      <c r="AE241" s="425">
        <v>46153</v>
      </c>
      <c r="AF241" s="425">
        <v>46153</v>
      </c>
      <c r="AG241" s="329"/>
      <c r="AH241" s="375"/>
      <c r="AI241" s="329"/>
      <c r="AJ241" s="375"/>
      <c r="AK241" s="375"/>
      <c r="AL241" s="375"/>
      <c r="AM241" s="375"/>
      <c r="AN241" s="329"/>
      <c r="AO241" s="329"/>
      <c r="AP241" s="329"/>
      <c r="AQ241" s="329"/>
      <c r="AR241" s="357"/>
    </row>
    <row r="242" spans="1:45" s="115" customFormat="1" ht="26.25" customHeight="1">
      <c r="A242" s="328">
        <v>46099</v>
      </c>
      <c r="B242" s="447" t="s">
        <v>2593</v>
      </c>
      <c r="C242" s="437" t="s">
        <v>2729</v>
      </c>
      <c r="D242" s="361" t="s">
        <v>3319</v>
      </c>
      <c r="E242" s="353"/>
      <c r="F242" s="824" t="s">
        <v>105</v>
      </c>
      <c r="G242" s="363">
        <v>25</v>
      </c>
      <c r="H242" s="527" t="s">
        <v>2654</v>
      </c>
      <c r="I242" s="819" t="s">
        <v>112</v>
      </c>
      <c r="J242" s="820" t="s">
        <v>2644</v>
      </c>
      <c r="K242" s="392" t="s">
        <v>2655</v>
      </c>
      <c r="L242" s="393" t="s">
        <v>2390</v>
      </c>
      <c r="M242" s="328">
        <v>46237</v>
      </c>
      <c r="N242" s="355"/>
      <c r="O242" s="821" t="s">
        <v>602</v>
      </c>
      <c r="P242" s="425">
        <v>45409</v>
      </c>
      <c r="Q242" s="425">
        <v>46153</v>
      </c>
      <c r="R242" s="395" t="s">
        <v>1729</v>
      </c>
      <c r="S242" s="422">
        <v>60</v>
      </c>
      <c r="T242" s="422">
        <v>40</v>
      </c>
      <c r="U242" s="422">
        <v>50</v>
      </c>
      <c r="V242" s="368">
        <v>10</v>
      </c>
      <c r="W242" s="388">
        <v>2</v>
      </c>
      <c r="X242" s="386">
        <f>10*W242</f>
        <v>20</v>
      </c>
      <c r="Y242" s="386">
        <v>0.24</v>
      </c>
      <c r="Z242" s="698">
        <v>10.5</v>
      </c>
      <c r="AA242" s="410">
        <f t="shared" si="44"/>
        <v>262.5</v>
      </c>
      <c r="AB242" s="346" t="s">
        <v>46</v>
      </c>
      <c r="AC242" s="362"/>
      <c r="AD242" s="827"/>
      <c r="AE242" s="425">
        <v>46153</v>
      </c>
      <c r="AF242" s="425">
        <v>46153</v>
      </c>
      <c r="AG242" s="329"/>
      <c r="AH242" s="375"/>
      <c r="AI242" s="329"/>
      <c r="AJ242" s="375"/>
      <c r="AK242" s="375"/>
      <c r="AL242" s="375"/>
      <c r="AM242" s="375"/>
      <c r="AN242" s="329"/>
      <c r="AO242" s="329"/>
      <c r="AP242" s="329"/>
      <c r="AQ242" s="329"/>
      <c r="AR242" s="357"/>
    </row>
    <row r="243" spans="1:45" customFormat="1" ht="26.25" customHeight="1">
      <c r="A243" s="328">
        <v>46099</v>
      </c>
      <c r="B243" s="447" t="s">
        <v>2593</v>
      </c>
      <c r="C243" s="437" t="s">
        <v>2730</v>
      </c>
      <c r="D243" s="361"/>
      <c r="E243" s="353" t="s">
        <v>3285</v>
      </c>
      <c r="F243" s="818" t="s">
        <v>105</v>
      </c>
      <c r="G243" s="399">
        <v>25</v>
      </c>
      <c r="H243" s="755" t="s">
        <v>2656</v>
      </c>
      <c r="I243" s="819" t="s">
        <v>1072</v>
      </c>
      <c r="J243" s="820" t="s">
        <v>2644</v>
      </c>
      <c r="K243" s="402" t="s">
        <v>53</v>
      </c>
      <c r="L243" s="399" t="s">
        <v>60</v>
      </c>
      <c r="M243" s="328">
        <v>46237</v>
      </c>
      <c r="N243" s="355"/>
      <c r="O243" s="821" t="s">
        <v>602</v>
      </c>
      <c r="P243" s="425" t="s">
        <v>48</v>
      </c>
      <c r="Q243" s="348"/>
      <c r="R243" s="395" t="s">
        <v>1729</v>
      </c>
      <c r="S243" s="407">
        <v>50</v>
      </c>
      <c r="T243" s="407">
        <v>48</v>
      </c>
      <c r="U243" s="407">
        <v>38</v>
      </c>
      <c r="V243" s="380">
        <v>10</v>
      </c>
      <c r="W243" s="386">
        <f t="shared" ref="W243:W250" si="46">ROUND(G243/V243,2)</f>
        <v>2.5</v>
      </c>
      <c r="X243" s="386">
        <f>(1.2*V243+1.5)*W243</f>
        <v>33.75</v>
      </c>
      <c r="Y243" s="386">
        <f t="shared" ref="Y243:Y282" si="47">ROUND((S243*T243*U243)*0.000001*W243,2)</f>
        <v>0.23</v>
      </c>
      <c r="Z243" s="347">
        <v>7.9</v>
      </c>
      <c r="AA243" s="410">
        <f t="shared" si="44"/>
        <v>197.5</v>
      </c>
      <c r="AB243" s="346" t="s">
        <v>46</v>
      </c>
      <c r="AC243" s="822"/>
      <c r="AD243" s="822"/>
      <c r="AE243" s="375"/>
      <c r="AF243" s="375"/>
      <c r="AG243" s="329"/>
      <c r="AH243" s="375"/>
      <c r="AI243" s="329"/>
      <c r="AJ243" s="375"/>
      <c r="AK243" s="375"/>
      <c r="AL243" s="375"/>
      <c r="AM243" s="375"/>
      <c r="AN243" s="329"/>
      <c r="AO243" s="329"/>
      <c r="AP243" s="329"/>
      <c r="AQ243" s="329"/>
      <c r="AR243" s="357"/>
    </row>
    <row r="244" spans="1:45" s="115" customFormat="1" ht="26.25" customHeight="1">
      <c r="A244" s="328">
        <v>46099</v>
      </c>
      <c r="B244" s="447" t="s">
        <v>2593</v>
      </c>
      <c r="C244" s="437" t="s">
        <v>2731</v>
      </c>
      <c r="D244" s="361" t="s">
        <v>3326</v>
      </c>
      <c r="E244" s="353"/>
      <c r="F244" s="818" t="s">
        <v>105</v>
      </c>
      <c r="G244" s="843">
        <v>10</v>
      </c>
      <c r="H244" s="392" t="s">
        <v>2786</v>
      </c>
      <c r="I244" s="820" t="s">
        <v>2633</v>
      </c>
      <c r="J244" s="820" t="s">
        <v>2644</v>
      </c>
      <c r="K244" s="391" t="s">
        <v>53</v>
      </c>
      <c r="L244" s="819" t="s">
        <v>2996</v>
      </c>
      <c r="M244" s="328">
        <v>46237</v>
      </c>
      <c r="N244" s="355"/>
      <c r="O244" s="821" t="s">
        <v>602</v>
      </c>
      <c r="P244" s="425">
        <v>45409</v>
      </c>
      <c r="Q244" s="425">
        <v>46125</v>
      </c>
      <c r="R244" s="395" t="s">
        <v>1729</v>
      </c>
      <c r="S244" s="422">
        <v>82</v>
      </c>
      <c r="T244" s="422">
        <v>45</v>
      </c>
      <c r="U244" s="422">
        <v>40</v>
      </c>
      <c r="V244" s="407">
        <v>2</v>
      </c>
      <c r="W244" s="386">
        <f t="shared" si="46"/>
        <v>5</v>
      </c>
      <c r="X244" s="386">
        <f>(3.35*V244+1.5)*W244</f>
        <v>41</v>
      </c>
      <c r="Y244" s="386">
        <f t="shared" si="47"/>
        <v>0.74</v>
      </c>
      <c r="Z244" s="347">
        <v>31.1</v>
      </c>
      <c r="AA244" s="410">
        <f t="shared" si="44"/>
        <v>311</v>
      </c>
      <c r="AB244" s="346" t="s">
        <v>46</v>
      </c>
      <c r="AC244" s="822"/>
      <c r="AD244" s="362" t="s">
        <v>2631</v>
      </c>
      <c r="AE244" s="425">
        <v>46125</v>
      </c>
      <c r="AF244" s="425">
        <v>46095</v>
      </c>
      <c r="AG244" s="329"/>
      <c r="AH244" s="446">
        <v>46157</v>
      </c>
      <c r="AI244" s="329"/>
      <c r="AJ244" s="375"/>
      <c r="AK244" s="375"/>
      <c r="AL244" s="375"/>
      <c r="AM244" s="375"/>
      <c r="AN244" s="375"/>
      <c r="AO244" s="329"/>
      <c r="AP244" s="375"/>
      <c r="AQ244" s="425" t="s">
        <v>2075</v>
      </c>
      <c r="AR244" s="357"/>
    </row>
    <row r="245" spans="1:45" customFormat="1" ht="27.75" customHeight="1">
      <c r="A245" s="328">
        <v>46099</v>
      </c>
      <c r="B245" s="447" t="s">
        <v>2593</v>
      </c>
      <c r="C245" s="437" t="s">
        <v>2732</v>
      </c>
      <c r="D245" s="361" t="s">
        <v>3318</v>
      </c>
      <c r="E245" s="353"/>
      <c r="F245" s="758" t="s">
        <v>105</v>
      </c>
      <c r="G245" s="327">
        <v>50</v>
      </c>
      <c r="H245" s="828" t="s">
        <v>2657</v>
      </c>
      <c r="I245" s="398" t="s">
        <v>2627</v>
      </c>
      <c r="J245" s="839" t="s">
        <v>2644</v>
      </c>
      <c r="K245" s="365" t="s">
        <v>53</v>
      </c>
      <c r="L245" s="421" t="s">
        <v>2076</v>
      </c>
      <c r="M245" s="328">
        <v>46237</v>
      </c>
      <c r="N245" s="355"/>
      <c r="O245" s="382" t="s">
        <v>2628</v>
      </c>
      <c r="P245" s="425">
        <v>45409</v>
      </c>
      <c r="Q245" s="425">
        <v>46122</v>
      </c>
      <c r="R245" s="395" t="s">
        <v>2387</v>
      </c>
      <c r="S245" s="380">
        <v>68</v>
      </c>
      <c r="T245" s="380">
        <v>56</v>
      </c>
      <c r="U245" s="850">
        <v>14</v>
      </c>
      <c r="V245" s="850">
        <v>50</v>
      </c>
      <c r="W245" s="388">
        <f t="shared" si="46"/>
        <v>1</v>
      </c>
      <c r="X245" s="386">
        <f>5.5*W245</f>
        <v>5.5</v>
      </c>
      <c r="Y245" s="386">
        <f t="shared" si="47"/>
        <v>0.05</v>
      </c>
      <c r="Z245" s="347">
        <v>1.25</v>
      </c>
      <c r="AA245" s="410">
        <f t="shared" si="44"/>
        <v>62.5</v>
      </c>
      <c r="AB245" s="346" t="s">
        <v>46</v>
      </c>
      <c r="AC245" s="822"/>
      <c r="AD245" s="822"/>
      <c r="AE245" s="425">
        <v>46122</v>
      </c>
      <c r="AF245" s="425">
        <v>46122</v>
      </c>
      <c r="AG245" s="329"/>
      <c r="AH245" s="446">
        <v>46141</v>
      </c>
      <c r="AI245" s="329"/>
      <c r="AJ245" s="375"/>
      <c r="AK245" s="375"/>
      <c r="AL245" s="375"/>
      <c r="AM245" s="375"/>
      <c r="AN245" s="375"/>
      <c r="AO245" s="329"/>
      <c r="AP245" s="375"/>
      <c r="AQ245" s="329"/>
      <c r="AR245" s="357"/>
    </row>
    <row r="246" spans="1:45" customFormat="1" ht="25.5">
      <c r="A246" s="328">
        <v>46099</v>
      </c>
      <c r="B246" s="447" t="s">
        <v>2593</v>
      </c>
      <c r="C246" s="437" t="s">
        <v>2733</v>
      </c>
      <c r="D246" s="354" t="s">
        <v>3321</v>
      </c>
      <c r="E246" s="327"/>
      <c r="F246" s="824" t="s">
        <v>105</v>
      </c>
      <c r="G246" s="851">
        <v>25</v>
      </c>
      <c r="H246" s="828" t="s">
        <v>2658</v>
      </c>
      <c r="I246" s="819" t="s">
        <v>111</v>
      </c>
      <c r="J246" s="819" t="s">
        <v>114</v>
      </c>
      <c r="K246" s="392" t="s">
        <v>2615</v>
      </c>
      <c r="L246" s="819" t="s">
        <v>2822</v>
      </c>
      <c r="M246" s="328">
        <v>46237</v>
      </c>
      <c r="N246" s="782"/>
      <c r="O246" s="852" t="s">
        <v>2659</v>
      </c>
      <c r="P246" s="406">
        <v>43250</v>
      </c>
      <c r="Q246" s="425">
        <v>46126</v>
      </c>
      <c r="R246" s="395" t="s">
        <v>1729</v>
      </c>
      <c r="S246" s="683">
        <v>60</v>
      </c>
      <c r="T246" s="683">
        <v>30</v>
      </c>
      <c r="U246" s="683">
        <v>55</v>
      </c>
      <c r="V246" s="368">
        <v>25</v>
      </c>
      <c r="W246" s="388">
        <f t="shared" si="46"/>
        <v>1</v>
      </c>
      <c r="X246" s="385">
        <f>(0.4*V246+2)*W246</f>
        <v>12</v>
      </c>
      <c r="Y246" s="386">
        <f t="shared" si="47"/>
        <v>0.1</v>
      </c>
      <c r="Z246" s="347">
        <v>5.56</v>
      </c>
      <c r="AA246" s="410">
        <f t="shared" si="44"/>
        <v>139</v>
      </c>
      <c r="AB246" s="346" t="s">
        <v>46</v>
      </c>
      <c r="AC246" s="362" t="s">
        <v>2639</v>
      </c>
      <c r="AD246" s="726"/>
      <c r="AE246" s="425">
        <v>46126</v>
      </c>
      <c r="AF246" s="425">
        <v>46126</v>
      </c>
      <c r="AG246" s="329"/>
      <c r="AH246" s="446">
        <v>46148</v>
      </c>
      <c r="AI246" s="329"/>
      <c r="AJ246" s="375"/>
      <c r="AK246" s="375"/>
      <c r="AL246" s="375"/>
      <c r="AM246" s="375"/>
      <c r="AN246" s="329"/>
      <c r="AO246" s="329"/>
      <c r="AP246" s="329"/>
      <c r="AQ246" s="329"/>
      <c r="AR246" s="357"/>
    </row>
    <row r="247" spans="1:45" customFormat="1" ht="38.25">
      <c r="A247" s="328">
        <v>46099</v>
      </c>
      <c r="B247" s="447" t="s">
        <v>2593</v>
      </c>
      <c r="C247" s="437" t="s">
        <v>2734</v>
      </c>
      <c r="D247" s="361" t="s">
        <v>3331</v>
      </c>
      <c r="E247" s="647" t="s">
        <v>2598</v>
      </c>
      <c r="F247" s="818" t="s">
        <v>105</v>
      </c>
      <c r="G247" s="825">
        <v>50</v>
      </c>
      <c r="H247" s="701" t="s">
        <v>2775</v>
      </c>
      <c r="I247" s="819" t="s">
        <v>2776</v>
      </c>
      <c r="J247" s="819" t="s">
        <v>114</v>
      </c>
      <c r="K247" s="402" t="s">
        <v>53</v>
      </c>
      <c r="L247" s="421" t="s">
        <v>2321</v>
      </c>
      <c r="M247" s="328">
        <v>46237</v>
      </c>
      <c r="N247" s="355"/>
      <c r="O247" s="845" t="s">
        <v>2793</v>
      </c>
      <c r="P247" s="845" t="s">
        <v>3091</v>
      </c>
      <c r="Q247" s="425">
        <v>46130</v>
      </c>
      <c r="R247" s="395" t="s">
        <v>1729</v>
      </c>
      <c r="S247" s="422">
        <v>35</v>
      </c>
      <c r="T247" s="422">
        <v>35</v>
      </c>
      <c r="U247" s="422">
        <v>25</v>
      </c>
      <c r="V247" s="368">
        <v>50</v>
      </c>
      <c r="W247" s="388">
        <f t="shared" si="46"/>
        <v>1</v>
      </c>
      <c r="X247" s="386">
        <f>2*W247</f>
        <v>2</v>
      </c>
      <c r="Y247" s="386">
        <f t="shared" si="47"/>
        <v>0.03</v>
      </c>
      <c r="Z247" s="347">
        <v>0.55000000000000004</v>
      </c>
      <c r="AA247" s="410">
        <f t="shared" si="44"/>
        <v>27.500000000000004</v>
      </c>
      <c r="AB247" s="346" t="s">
        <v>46</v>
      </c>
      <c r="AC247" s="822"/>
      <c r="AD247" s="822"/>
      <c r="AE247" s="425">
        <v>46130</v>
      </c>
      <c r="AF247" s="446">
        <v>46132</v>
      </c>
      <c r="AG247" s="329"/>
      <c r="AH247" s="446">
        <v>46140</v>
      </c>
      <c r="AI247" s="329"/>
      <c r="AJ247" s="375"/>
      <c r="AK247" s="375"/>
      <c r="AL247" s="375"/>
      <c r="AM247" s="375"/>
      <c r="AN247" s="329"/>
      <c r="AO247" s="329"/>
      <c r="AP247" s="329"/>
      <c r="AQ247" s="329"/>
      <c r="AR247" s="357"/>
      <c r="AS247" t="s">
        <v>2905</v>
      </c>
    </row>
    <row r="248" spans="1:45" ht="27.75" customHeight="1">
      <c r="A248" s="328">
        <v>46099</v>
      </c>
      <c r="B248" s="447" t="s">
        <v>2593</v>
      </c>
      <c r="C248" s="437" t="s">
        <v>2735</v>
      </c>
      <c r="D248" s="361" t="s">
        <v>3328</v>
      </c>
      <c r="E248" s="353"/>
      <c r="F248" s="823" t="s">
        <v>105</v>
      </c>
      <c r="G248" s="327">
        <v>25</v>
      </c>
      <c r="H248" s="836" t="s">
        <v>2660</v>
      </c>
      <c r="I248" s="845" t="s">
        <v>2641</v>
      </c>
      <c r="J248" s="820" t="s">
        <v>114</v>
      </c>
      <c r="K248" s="690" t="s">
        <v>53</v>
      </c>
      <c r="L248" s="363" t="s">
        <v>2520</v>
      </c>
      <c r="M248" s="328">
        <v>46237</v>
      </c>
      <c r="N248" s="355"/>
      <c r="O248" s="821" t="s">
        <v>602</v>
      </c>
      <c r="P248" s="425">
        <v>45409</v>
      </c>
      <c r="Q248" s="425">
        <v>46133</v>
      </c>
      <c r="R248" s="395" t="s">
        <v>1729</v>
      </c>
      <c r="S248" s="847">
        <v>50</v>
      </c>
      <c r="T248" s="847">
        <v>30</v>
      </c>
      <c r="U248" s="847">
        <v>60</v>
      </c>
      <c r="V248" s="847">
        <v>25</v>
      </c>
      <c r="W248" s="386">
        <f t="shared" si="46"/>
        <v>1</v>
      </c>
      <c r="X248" s="386">
        <f>(0.8*V248+1.5)*W248</f>
        <v>21.5</v>
      </c>
      <c r="Y248" s="386">
        <f t="shared" si="47"/>
        <v>0.09</v>
      </c>
      <c r="Z248" s="347">
        <v>8.0299999999999994</v>
      </c>
      <c r="AA248" s="410">
        <f t="shared" si="44"/>
        <v>200.74999999999997</v>
      </c>
      <c r="AB248" s="346" t="s">
        <v>46</v>
      </c>
      <c r="AC248" s="822"/>
      <c r="AD248" s="822"/>
      <c r="AE248" s="425">
        <v>46133</v>
      </c>
      <c r="AF248" s="446">
        <v>46139</v>
      </c>
      <c r="AG248" s="329"/>
      <c r="AH248" s="375"/>
      <c r="AI248" s="329"/>
      <c r="AJ248" s="375"/>
      <c r="AK248" s="375"/>
      <c r="AL248" s="375"/>
      <c r="AM248" s="375"/>
      <c r="AN248" s="329"/>
      <c r="AO248" s="329"/>
      <c r="AP248" s="329"/>
      <c r="AQ248" s="329"/>
      <c r="AR248" s="357"/>
    </row>
    <row r="249" spans="1:45" s="104" customFormat="1" ht="25.5" customHeight="1">
      <c r="A249" s="328">
        <v>46099</v>
      </c>
      <c r="B249" s="447" t="s">
        <v>2593</v>
      </c>
      <c r="C249" s="437" t="s">
        <v>2736</v>
      </c>
      <c r="D249" s="361" t="s">
        <v>3324</v>
      </c>
      <c r="E249" s="353"/>
      <c r="F249" s="758" t="s">
        <v>105</v>
      </c>
      <c r="G249" s="368">
        <v>250</v>
      </c>
      <c r="H249" s="527" t="s">
        <v>2661</v>
      </c>
      <c r="I249" s="398" t="s">
        <v>109</v>
      </c>
      <c r="J249" s="839" t="s">
        <v>114</v>
      </c>
      <c r="K249" s="365" t="s">
        <v>53</v>
      </c>
      <c r="L249" s="819" t="s">
        <v>2390</v>
      </c>
      <c r="M249" s="328">
        <v>46237</v>
      </c>
      <c r="N249" s="355"/>
      <c r="O249" s="821" t="s">
        <v>602</v>
      </c>
      <c r="P249" s="821">
        <v>42551</v>
      </c>
      <c r="Q249" s="425">
        <v>46125</v>
      </c>
      <c r="R249" s="395" t="s">
        <v>1729</v>
      </c>
      <c r="S249" s="380">
        <v>50</v>
      </c>
      <c r="T249" s="380">
        <v>50</v>
      </c>
      <c r="U249" s="380">
        <v>43</v>
      </c>
      <c r="V249" s="368">
        <v>25</v>
      </c>
      <c r="W249" s="388">
        <f t="shared" si="46"/>
        <v>10</v>
      </c>
      <c r="X249" s="386">
        <f>(0.6*V249+1.5)*W249</f>
        <v>165</v>
      </c>
      <c r="Y249" s="386">
        <f t="shared" si="47"/>
        <v>1.08</v>
      </c>
      <c r="Z249" s="853">
        <v>7.2</v>
      </c>
      <c r="AA249" s="410">
        <f t="shared" si="44"/>
        <v>1800</v>
      </c>
      <c r="AB249" s="346" t="s">
        <v>46</v>
      </c>
      <c r="AC249" s="822"/>
      <c r="AD249" s="822"/>
      <c r="AE249" s="425">
        <v>46135</v>
      </c>
      <c r="AF249" s="425">
        <v>46135</v>
      </c>
      <c r="AG249" s="329"/>
      <c r="AH249" s="446">
        <v>46141</v>
      </c>
      <c r="AI249" s="329"/>
      <c r="AJ249" s="375"/>
      <c r="AK249" s="375"/>
      <c r="AL249" s="375"/>
      <c r="AM249" s="375"/>
      <c r="AN249" s="329"/>
      <c r="AO249" s="329"/>
      <c r="AP249" s="329"/>
      <c r="AQ249" s="329"/>
      <c r="AR249" s="357"/>
    </row>
    <row r="250" spans="1:45" s="104" customFormat="1" ht="26.25" customHeight="1">
      <c r="A250" s="328">
        <v>46099</v>
      </c>
      <c r="B250" s="447" t="s">
        <v>2593</v>
      </c>
      <c r="C250" s="437" t="s">
        <v>2737</v>
      </c>
      <c r="D250" s="361" t="s">
        <v>3320</v>
      </c>
      <c r="E250" s="525"/>
      <c r="F250" s="818" t="s">
        <v>105</v>
      </c>
      <c r="G250" s="363">
        <v>25</v>
      </c>
      <c r="H250" s="836" t="s">
        <v>2662</v>
      </c>
      <c r="I250" s="819" t="s">
        <v>106</v>
      </c>
      <c r="J250" s="819" t="s">
        <v>114</v>
      </c>
      <c r="K250" s="392" t="s">
        <v>2615</v>
      </c>
      <c r="L250" s="421" t="s">
        <v>2408</v>
      </c>
      <c r="M250" s="328">
        <v>46237</v>
      </c>
      <c r="N250" s="355"/>
      <c r="O250" s="821" t="s">
        <v>602</v>
      </c>
      <c r="P250" s="425" t="s">
        <v>48</v>
      </c>
      <c r="Q250" s="425">
        <v>46146</v>
      </c>
      <c r="R250" s="395" t="s">
        <v>1729</v>
      </c>
      <c r="S250" s="422">
        <v>93</v>
      </c>
      <c r="T250" s="422">
        <v>56</v>
      </c>
      <c r="U250" s="422">
        <v>43</v>
      </c>
      <c r="V250" s="368">
        <v>25</v>
      </c>
      <c r="W250" s="388">
        <f t="shared" si="46"/>
        <v>1</v>
      </c>
      <c r="X250" s="386">
        <f>(1*V250+1.5)*W250</f>
        <v>26.5</v>
      </c>
      <c r="Y250" s="386">
        <f t="shared" si="47"/>
        <v>0.22</v>
      </c>
      <c r="Z250" s="347">
        <v>8.5</v>
      </c>
      <c r="AA250" s="410">
        <f t="shared" si="44"/>
        <v>212.5</v>
      </c>
      <c r="AB250" s="346" t="s">
        <v>46</v>
      </c>
      <c r="AC250" s="362"/>
      <c r="AD250" s="827"/>
      <c r="AE250" s="425">
        <v>46146</v>
      </c>
      <c r="AF250" s="425">
        <v>46146</v>
      </c>
      <c r="AG250" s="329"/>
      <c r="AH250" s="375"/>
      <c r="AI250" s="329"/>
      <c r="AJ250" s="375"/>
      <c r="AK250" s="375"/>
      <c r="AL250" s="375"/>
      <c r="AM250" s="375"/>
      <c r="AN250" s="329"/>
      <c r="AO250" s="329"/>
      <c r="AP250" s="329"/>
      <c r="AQ250" s="329"/>
      <c r="AR250" s="357"/>
    </row>
    <row r="251" spans="1:45" s="104" customFormat="1" ht="26.25" customHeight="1">
      <c r="A251" s="328">
        <v>46099</v>
      </c>
      <c r="B251" s="447" t="s">
        <v>2593</v>
      </c>
      <c r="C251" s="437" t="s">
        <v>2738</v>
      </c>
      <c r="D251" s="361" t="s">
        <v>3332</v>
      </c>
      <c r="E251" s="916" t="s">
        <v>3027</v>
      </c>
      <c r="F251" s="818" t="s">
        <v>105</v>
      </c>
      <c r="G251" s="363">
        <v>50</v>
      </c>
      <c r="H251" s="497" t="s">
        <v>2787</v>
      </c>
      <c r="I251" s="819" t="s">
        <v>2301</v>
      </c>
      <c r="J251" s="820" t="s">
        <v>114</v>
      </c>
      <c r="K251" s="392" t="s">
        <v>357</v>
      </c>
      <c r="L251" s="421" t="s">
        <v>2408</v>
      </c>
      <c r="M251" s="328">
        <v>46237</v>
      </c>
      <c r="N251" s="355"/>
      <c r="O251" s="398" t="s">
        <v>602</v>
      </c>
      <c r="P251" s="425">
        <v>45409</v>
      </c>
      <c r="Q251" s="425">
        <v>46160</v>
      </c>
      <c r="R251" s="395" t="s">
        <v>1729</v>
      </c>
      <c r="S251" s="854">
        <v>93</v>
      </c>
      <c r="T251" s="854">
        <v>56</v>
      </c>
      <c r="U251" s="854">
        <v>43</v>
      </c>
      <c r="V251" s="368">
        <v>20</v>
      </c>
      <c r="W251" s="855">
        <f>G251/V251</f>
        <v>2.5</v>
      </c>
      <c r="X251" s="386">
        <f>(1.1*V251+2)*W251</f>
        <v>60</v>
      </c>
      <c r="Y251" s="386">
        <f t="shared" si="47"/>
        <v>0.56000000000000005</v>
      </c>
      <c r="Z251" s="347">
        <v>10.210000000000001</v>
      </c>
      <c r="AA251" s="410">
        <f t="shared" si="44"/>
        <v>510.50000000000006</v>
      </c>
      <c r="AB251" s="346" t="s">
        <v>46</v>
      </c>
      <c r="AC251" s="362"/>
      <c r="AD251" s="827"/>
      <c r="AE251" s="425">
        <v>46160</v>
      </c>
      <c r="AF251" s="375"/>
      <c r="AG251" s="329"/>
      <c r="AH251" s="375"/>
      <c r="AI251" s="329"/>
      <c r="AJ251" s="375"/>
      <c r="AK251" s="375"/>
      <c r="AL251" s="375"/>
      <c r="AM251" s="375"/>
      <c r="AN251" s="329"/>
      <c r="AO251" s="329"/>
      <c r="AP251" s="329"/>
      <c r="AQ251" s="329"/>
      <c r="AR251" s="357"/>
    </row>
    <row r="252" spans="1:45" customFormat="1" ht="26.25" customHeight="1">
      <c r="A252" s="328">
        <v>46099</v>
      </c>
      <c r="B252" s="447" t="s">
        <v>2593</v>
      </c>
      <c r="C252" s="437" t="s">
        <v>2739</v>
      </c>
      <c r="D252" s="361" t="s">
        <v>3327</v>
      </c>
      <c r="E252" s="647" t="s">
        <v>2598</v>
      </c>
      <c r="F252" s="818" t="s">
        <v>105</v>
      </c>
      <c r="G252" s="843">
        <v>25</v>
      </c>
      <c r="H252" s="701" t="s">
        <v>2788</v>
      </c>
      <c r="I252" s="819" t="s">
        <v>619</v>
      </c>
      <c r="J252" s="820" t="s">
        <v>114</v>
      </c>
      <c r="K252" s="392" t="s">
        <v>53</v>
      </c>
      <c r="L252" s="421" t="s">
        <v>2408</v>
      </c>
      <c r="M252" s="328">
        <v>46237</v>
      </c>
      <c r="N252" s="355"/>
      <c r="O252" s="821" t="s">
        <v>602</v>
      </c>
      <c r="P252" s="425">
        <v>45409</v>
      </c>
      <c r="Q252" s="425">
        <v>46146</v>
      </c>
      <c r="R252" s="495" t="s">
        <v>2385</v>
      </c>
      <c r="S252" s="422">
        <v>60</v>
      </c>
      <c r="T252" s="422">
        <v>50</v>
      </c>
      <c r="U252" s="422">
        <v>62</v>
      </c>
      <c r="V252" s="368">
        <v>10</v>
      </c>
      <c r="W252" s="388">
        <f t="shared" ref="W252:W272" si="48">ROUND(G252/V252,2)</f>
        <v>2.5</v>
      </c>
      <c r="X252" s="386">
        <f>(1.1*V252+1.5)*W252</f>
        <v>31.25</v>
      </c>
      <c r="Y252" s="386">
        <f t="shared" si="47"/>
        <v>0.47</v>
      </c>
      <c r="Z252" s="347">
        <v>10.25</v>
      </c>
      <c r="AA252" s="410">
        <f t="shared" si="44"/>
        <v>256.25</v>
      </c>
      <c r="AB252" s="346" t="s">
        <v>46</v>
      </c>
      <c r="AC252" s="822"/>
      <c r="AD252" s="822"/>
      <c r="AE252" s="425">
        <v>46146</v>
      </c>
      <c r="AF252" s="425">
        <v>46146</v>
      </c>
      <c r="AG252" s="329"/>
      <c r="AH252" s="446">
        <v>46157</v>
      </c>
      <c r="AI252" s="329"/>
      <c r="AJ252" s="375"/>
      <c r="AK252" s="375"/>
      <c r="AL252" s="375"/>
      <c r="AM252" s="375"/>
      <c r="AN252" s="329"/>
      <c r="AO252" s="329"/>
      <c r="AP252" s="329"/>
      <c r="AQ252" s="329"/>
      <c r="AR252" s="357"/>
    </row>
    <row r="253" spans="1:45" s="104" customFormat="1" ht="25.5">
      <c r="A253" s="328">
        <v>46099</v>
      </c>
      <c r="B253" s="447" t="s">
        <v>2593</v>
      </c>
      <c r="C253" s="437" t="s">
        <v>2740</v>
      </c>
      <c r="D253" s="361" t="s">
        <v>3318</v>
      </c>
      <c r="E253" s="353"/>
      <c r="F253" s="824" t="s">
        <v>105</v>
      </c>
      <c r="G253" s="363">
        <v>100</v>
      </c>
      <c r="H253" s="527" t="s">
        <v>2663</v>
      </c>
      <c r="I253" s="819" t="s">
        <v>2627</v>
      </c>
      <c r="J253" s="820" t="s">
        <v>114</v>
      </c>
      <c r="K253" s="392" t="s">
        <v>53</v>
      </c>
      <c r="L253" s="421" t="s">
        <v>2076</v>
      </c>
      <c r="M253" s="328">
        <v>46237</v>
      </c>
      <c r="N253" s="355"/>
      <c r="O253" s="382" t="s">
        <v>2628</v>
      </c>
      <c r="P253" s="425">
        <v>45409</v>
      </c>
      <c r="Q253" s="425">
        <v>46122</v>
      </c>
      <c r="R253" s="395" t="s">
        <v>2387</v>
      </c>
      <c r="S253" s="422">
        <v>70</v>
      </c>
      <c r="T253" s="422">
        <v>50</v>
      </c>
      <c r="U253" s="422">
        <v>25</v>
      </c>
      <c r="V253" s="368">
        <v>100</v>
      </c>
      <c r="W253" s="388">
        <f t="shared" si="48"/>
        <v>1</v>
      </c>
      <c r="X253" s="386">
        <f>10.5*W253</f>
        <v>10.5</v>
      </c>
      <c r="Y253" s="386">
        <f t="shared" si="47"/>
        <v>0.09</v>
      </c>
      <c r="Z253" s="347">
        <v>1.25</v>
      </c>
      <c r="AA253" s="410">
        <f t="shared" si="44"/>
        <v>125</v>
      </c>
      <c r="AB253" s="346" t="s">
        <v>46</v>
      </c>
      <c r="AC253" s="362"/>
      <c r="AD253" s="827"/>
      <c r="AE253" s="425">
        <v>46122</v>
      </c>
      <c r="AF253" s="425">
        <v>46122</v>
      </c>
      <c r="AG253" s="329"/>
      <c r="AH253" s="446">
        <v>46141</v>
      </c>
      <c r="AI253" s="329"/>
      <c r="AJ253" s="375"/>
      <c r="AK253" s="375"/>
      <c r="AL253" s="375"/>
      <c r="AM253" s="375"/>
      <c r="AN253" s="329"/>
      <c r="AO253" s="799"/>
      <c r="AP253" s="329"/>
      <c r="AQ253" s="329"/>
      <c r="AR253" s="357"/>
    </row>
    <row r="254" spans="1:45" ht="26.25" customHeight="1">
      <c r="A254" s="328">
        <v>46099</v>
      </c>
      <c r="B254" s="447" t="s">
        <v>2593</v>
      </c>
      <c r="C254" s="437" t="s">
        <v>2741</v>
      </c>
      <c r="D254" s="361" t="s">
        <v>3321</v>
      </c>
      <c r="E254" s="327"/>
      <c r="F254" s="823" t="s">
        <v>105</v>
      </c>
      <c r="G254" s="847">
        <v>50</v>
      </c>
      <c r="H254" s="701" t="s">
        <v>2665</v>
      </c>
      <c r="I254" s="398" t="s">
        <v>111</v>
      </c>
      <c r="J254" s="856" t="s">
        <v>2602</v>
      </c>
      <c r="K254" s="690" t="s">
        <v>2615</v>
      </c>
      <c r="L254" s="391" t="s">
        <v>2822</v>
      </c>
      <c r="M254" s="328">
        <v>46237</v>
      </c>
      <c r="N254" s="355"/>
      <c r="O254" s="821" t="s">
        <v>602</v>
      </c>
      <c r="P254" s="369">
        <v>43251</v>
      </c>
      <c r="Q254" s="425">
        <v>46126</v>
      </c>
      <c r="R254" s="395" t="s">
        <v>1729</v>
      </c>
      <c r="S254" s="422">
        <v>60</v>
      </c>
      <c r="T254" s="422">
        <v>30</v>
      </c>
      <c r="U254" s="422">
        <v>55</v>
      </c>
      <c r="V254" s="368">
        <v>50</v>
      </c>
      <c r="W254" s="388">
        <f t="shared" si="48"/>
        <v>1</v>
      </c>
      <c r="X254" s="386">
        <f>(0.8*V254+1.5)*W254</f>
        <v>41.5</v>
      </c>
      <c r="Y254" s="386">
        <f t="shared" si="47"/>
        <v>0.1</v>
      </c>
      <c r="Z254" s="761">
        <v>5.56</v>
      </c>
      <c r="AA254" s="410">
        <f t="shared" si="44"/>
        <v>278</v>
      </c>
      <c r="AB254" s="346" t="s">
        <v>46</v>
      </c>
      <c r="AC254" s="822"/>
      <c r="AD254" s="822"/>
      <c r="AE254" s="425">
        <v>46126</v>
      </c>
      <c r="AF254" s="425">
        <v>46126</v>
      </c>
      <c r="AG254" s="329"/>
      <c r="AH254" s="446">
        <v>46148</v>
      </c>
      <c r="AI254" s="329"/>
      <c r="AJ254" s="375"/>
      <c r="AK254" s="375"/>
      <c r="AL254" s="375"/>
      <c r="AM254" s="375"/>
      <c r="AN254" s="329" t="s">
        <v>51</v>
      </c>
      <c r="AO254" s="799"/>
      <c r="AP254" s="329"/>
      <c r="AQ254" s="329"/>
      <c r="AR254" s="357"/>
    </row>
    <row r="255" spans="1:45" s="104" customFormat="1" ht="27.75" customHeight="1">
      <c r="A255" s="328">
        <v>46099</v>
      </c>
      <c r="B255" s="447" t="s">
        <v>2593</v>
      </c>
      <c r="C255" s="437" t="s">
        <v>2742</v>
      </c>
      <c r="D255" s="361" t="s">
        <v>3317</v>
      </c>
      <c r="E255" s="399"/>
      <c r="F255" s="365" t="s">
        <v>105</v>
      </c>
      <c r="G255" s="327">
        <v>100</v>
      </c>
      <c r="H255" s="701" t="s">
        <v>2664</v>
      </c>
      <c r="I255" s="398" t="s">
        <v>2648</v>
      </c>
      <c r="J255" s="839" t="s">
        <v>2602</v>
      </c>
      <c r="K255" s="690" t="s">
        <v>50</v>
      </c>
      <c r="L255" s="421" t="s">
        <v>2321</v>
      </c>
      <c r="M255" s="328">
        <v>46237</v>
      </c>
      <c r="N255" s="355"/>
      <c r="O255" s="821" t="s">
        <v>602</v>
      </c>
      <c r="P255" s="425">
        <v>45409</v>
      </c>
      <c r="Q255" s="425">
        <v>46122</v>
      </c>
      <c r="R255" s="395" t="s">
        <v>1729</v>
      </c>
      <c r="S255" s="422">
        <v>35</v>
      </c>
      <c r="T255" s="422">
        <v>35</v>
      </c>
      <c r="U255" s="422">
        <v>25</v>
      </c>
      <c r="V255" s="368">
        <v>100</v>
      </c>
      <c r="W255" s="388">
        <f t="shared" si="48"/>
        <v>1</v>
      </c>
      <c r="X255" s="386">
        <f>(0.011*V255+1)*W255</f>
        <v>2.0999999999999996</v>
      </c>
      <c r="Y255" s="386">
        <f t="shared" si="47"/>
        <v>0.03</v>
      </c>
      <c r="Z255" s="698">
        <v>0.55000000000000004</v>
      </c>
      <c r="AA255" s="410">
        <f t="shared" si="44"/>
        <v>55.000000000000007</v>
      </c>
      <c r="AB255" s="346" t="s">
        <v>46</v>
      </c>
      <c r="AC255" s="362"/>
      <c r="AD255" s="827"/>
      <c r="AE255" s="425">
        <v>46122</v>
      </c>
      <c r="AF255" s="446">
        <v>46123</v>
      </c>
      <c r="AG255" s="329"/>
      <c r="AH255" s="446">
        <v>46157</v>
      </c>
      <c r="AI255" s="329"/>
      <c r="AJ255" s="375"/>
      <c r="AK255" s="375"/>
      <c r="AL255" s="375"/>
      <c r="AM255" s="375"/>
      <c r="AN255" s="329"/>
      <c r="AO255" s="329"/>
      <c r="AP255" s="329"/>
      <c r="AQ255" s="329"/>
      <c r="AR255" s="425" t="s">
        <v>2905</v>
      </c>
      <c r="AS255" t="s">
        <v>2907</v>
      </c>
    </row>
    <row r="256" spans="1:45" customFormat="1" ht="27.75" customHeight="1">
      <c r="A256" s="328">
        <v>46099</v>
      </c>
      <c r="B256" s="447" t="s">
        <v>2593</v>
      </c>
      <c r="C256" s="437" t="s">
        <v>2743</v>
      </c>
      <c r="D256" s="361" t="s">
        <v>3322</v>
      </c>
      <c r="E256" s="353"/>
      <c r="F256" s="823" t="s">
        <v>105</v>
      </c>
      <c r="G256" s="327">
        <v>100</v>
      </c>
      <c r="H256" s="701" t="s">
        <v>2666</v>
      </c>
      <c r="I256" s="398" t="s">
        <v>2618</v>
      </c>
      <c r="J256" s="839" t="s">
        <v>2602</v>
      </c>
      <c r="K256" s="690" t="s">
        <v>53</v>
      </c>
      <c r="L256" s="421" t="s">
        <v>2321</v>
      </c>
      <c r="M256" s="328">
        <v>46237</v>
      </c>
      <c r="N256" s="355"/>
      <c r="O256" s="821" t="s">
        <v>602</v>
      </c>
      <c r="P256" s="425">
        <v>45409</v>
      </c>
      <c r="Q256" s="425">
        <v>46122</v>
      </c>
      <c r="R256" s="395" t="s">
        <v>1729</v>
      </c>
      <c r="S256" s="422">
        <v>46</v>
      </c>
      <c r="T256" s="422">
        <v>24</v>
      </c>
      <c r="U256" s="841">
        <v>25</v>
      </c>
      <c r="V256" s="683">
        <v>100</v>
      </c>
      <c r="W256" s="388">
        <f t="shared" si="48"/>
        <v>1</v>
      </c>
      <c r="X256" s="386">
        <f>(0.011*V256+1.5)*W256</f>
        <v>2.5999999999999996</v>
      </c>
      <c r="Y256" s="386">
        <f t="shared" si="47"/>
        <v>0.03</v>
      </c>
      <c r="Z256" s="347">
        <v>0.55000000000000004</v>
      </c>
      <c r="AA256" s="410">
        <f t="shared" si="44"/>
        <v>55.000000000000007</v>
      </c>
      <c r="AB256" s="346" t="s">
        <v>46</v>
      </c>
      <c r="AC256" s="822"/>
      <c r="AD256" s="822"/>
      <c r="AE256" s="425">
        <v>46122</v>
      </c>
      <c r="AF256" s="425">
        <v>46122</v>
      </c>
      <c r="AG256" s="329"/>
      <c r="AH256" s="446">
        <v>46153</v>
      </c>
      <c r="AI256" s="329"/>
      <c r="AJ256" s="375"/>
      <c r="AK256" s="375"/>
      <c r="AL256" s="375"/>
      <c r="AM256" s="375"/>
      <c r="AN256" s="329"/>
      <c r="AO256" s="329"/>
      <c r="AP256" s="329"/>
      <c r="AQ256" s="329"/>
      <c r="AR256" s="425" t="s">
        <v>2905</v>
      </c>
      <c r="AS256" t="s">
        <v>2907</v>
      </c>
    </row>
    <row r="257" spans="1:45" customFormat="1" ht="27.75" customHeight="1">
      <c r="A257" s="328">
        <v>46099</v>
      </c>
      <c r="B257" s="447" t="s">
        <v>2593</v>
      </c>
      <c r="C257" s="437" t="s">
        <v>2744</v>
      </c>
      <c r="D257" s="361" t="s">
        <v>3322</v>
      </c>
      <c r="E257" s="353"/>
      <c r="F257" s="823" t="s">
        <v>105</v>
      </c>
      <c r="G257" s="327">
        <v>200</v>
      </c>
      <c r="H257" s="701" t="s">
        <v>2883</v>
      </c>
      <c r="I257" s="856" t="s">
        <v>2638</v>
      </c>
      <c r="J257" s="839" t="s">
        <v>2602</v>
      </c>
      <c r="K257" s="690" t="s">
        <v>53</v>
      </c>
      <c r="L257" s="421" t="s">
        <v>2321</v>
      </c>
      <c r="M257" s="328">
        <v>46237</v>
      </c>
      <c r="N257" s="355"/>
      <c r="O257" s="845" t="s">
        <v>2793</v>
      </c>
      <c r="P257" s="425">
        <v>45409</v>
      </c>
      <c r="Q257" s="425">
        <v>46122</v>
      </c>
      <c r="R257" s="395" t="s">
        <v>1729</v>
      </c>
      <c r="S257" s="422">
        <v>40</v>
      </c>
      <c r="T257" s="422">
        <v>40</v>
      </c>
      <c r="U257" s="422">
        <v>25</v>
      </c>
      <c r="V257" s="368">
        <v>200</v>
      </c>
      <c r="W257" s="388">
        <f t="shared" si="48"/>
        <v>1</v>
      </c>
      <c r="X257" s="386">
        <f>1.6*W257</f>
        <v>1.6</v>
      </c>
      <c r="Y257" s="386">
        <f t="shared" si="47"/>
        <v>0.04</v>
      </c>
      <c r="Z257" s="347">
        <v>0.55000000000000004</v>
      </c>
      <c r="AA257" s="410">
        <f t="shared" si="44"/>
        <v>110.00000000000001</v>
      </c>
      <c r="AB257" s="346" t="s">
        <v>46</v>
      </c>
      <c r="AC257" s="822"/>
      <c r="AD257" s="822"/>
      <c r="AE257" s="425">
        <v>46122</v>
      </c>
      <c r="AF257" s="425">
        <v>46122</v>
      </c>
      <c r="AG257" s="329"/>
      <c r="AH257" s="446">
        <v>46140</v>
      </c>
      <c r="AI257" s="329"/>
      <c r="AJ257" s="375"/>
      <c r="AK257" s="375"/>
      <c r="AL257" s="375"/>
      <c r="AM257" s="375"/>
      <c r="AN257" s="329"/>
      <c r="AO257" s="329"/>
      <c r="AP257" s="329"/>
      <c r="AQ257" s="329"/>
      <c r="AR257" s="425" t="s">
        <v>2906</v>
      </c>
      <c r="AS257" t="s">
        <v>2907</v>
      </c>
    </row>
    <row r="258" spans="1:45" customFormat="1" ht="27.75" customHeight="1">
      <c r="A258" s="328">
        <v>46099</v>
      </c>
      <c r="B258" s="447" t="s">
        <v>2593</v>
      </c>
      <c r="C258" s="437" t="s">
        <v>2745</v>
      </c>
      <c r="D258" s="361" t="s">
        <v>3331</v>
      </c>
      <c r="E258" s="353"/>
      <c r="F258" s="823" t="s">
        <v>105</v>
      </c>
      <c r="G258" s="327">
        <v>50</v>
      </c>
      <c r="H258" s="701" t="s">
        <v>2777</v>
      </c>
      <c r="I258" s="856" t="s">
        <v>2668</v>
      </c>
      <c r="J258" s="839" t="s">
        <v>2602</v>
      </c>
      <c r="K258" s="690" t="s">
        <v>53</v>
      </c>
      <c r="L258" s="421" t="s">
        <v>2321</v>
      </c>
      <c r="M258" s="328">
        <v>46237</v>
      </c>
      <c r="N258" s="355"/>
      <c r="O258" s="845" t="s">
        <v>2793</v>
      </c>
      <c r="P258" s="845" t="s">
        <v>3091</v>
      </c>
      <c r="Q258" s="425">
        <v>46130</v>
      </c>
      <c r="R258" s="395" t="s">
        <v>1729</v>
      </c>
      <c r="S258" s="422">
        <v>35</v>
      </c>
      <c r="T258" s="422">
        <v>35</v>
      </c>
      <c r="U258" s="422">
        <v>25</v>
      </c>
      <c r="V258" s="368">
        <v>50</v>
      </c>
      <c r="W258" s="388">
        <f t="shared" si="48"/>
        <v>1</v>
      </c>
      <c r="X258" s="386">
        <f>1.6*W258</f>
        <v>1.6</v>
      </c>
      <c r="Y258" s="386">
        <f t="shared" si="47"/>
        <v>0.03</v>
      </c>
      <c r="Z258" s="347">
        <v>0.55000000000000004</v>
      </c>
      <c r="AA258" s="410">
        <f t="shared" si="44"/>
        <v>27.500000000000004</v>
      </c>
      <c r="AB258" s="346" t="s">
        <v>46</v>
      </c>
      <c r="AC258" s="822"/>
      <c r="AD258" s="822"/>
      <c r="AE258" s="425">
        <v>46130</v>
      </c>
      <c r="AF258" s="446">
        <v>46132</v>
      </c>
      <c r="AG258" s="329"/>
      <c r="AH258" s="446">
        <v>46140</v>
      </c>
      <c r="AI258" s="329"/>
      <c r="AJ258" s="375"/>
      <c r="AK258" s="375"/>
      <c r="AL258" s="375"/>
      <c r="AM258" s="375"/>
      <c r="AN258" s="329"/>
      <c r="AO258" s="329"/>
      <c r="AP258" s="329"/>
      <c r="AQ258" s="329"/>
      <c r="AR258" s="425" t="s">
        <v>2906</v>
      </c>
      <c r="AS258" t="s">
        <v>2907</v>
      </c>
    </row>
    <row r="259" spans="1:45" ht="27.75" customHeight="1">
      <c r="A259" s="328">
        <v>46099</v>
      </c>
      <c r="B259" s="447" t="s">
        <v>2593</v>
      </c>
      <c r="C259" s="437" t="s">
        <v>2746</v>
      </c>
      <c r="D259" s="361" t="s">
        <v>3328</v>
      </c>
      <c r="E259" s="353"/>
      <c r="F259" s="823" t="s">
        <v>105</v>
      </c>
      <c r="G259" s="327">
        <v>100</v>
      </c>
      <c r="H259" s="836" t="s">
        <v>2667</v>
      </c>
      <c r="I259" s="845" t="s">
        <v>2641</v>
      </c>
      <c r="J259" s="839" t="s">
        <v>2602</v>
      </c>
      <c r="K259" s="690" t="s">
        <v>53</v>
      </c>
      <c r="L259" s="363" t="s">
        <v>2520</v>
      </c>
      <c r="M259" s="328">
        <v>46237</v>
      </c>
      <c r="N259" s="355"/>
      <c r="O259" s="821" t="s">
        <v>602</v>
      </c>
      <c r="P259" s="425">
        <v>45409</v>
      </c>
      <c r="Q259" s="425">
        <v>46133</v>
      </c>
      <c r="R259" s="395" t="s">
        <v>2385</v>
      </c>
      <c r="S259" s="847">
        <v>50</v>
      </c>
      <c r="T259" s="847">
        <v>30</v>
      </c>
      <c r="U259" s="847">
        <v>60</v>
      </c>
      <c r="V259" s="847">
        <v>25</v>
      </c>
      <c r="W259" s="386">
        <f t="shared" si="48"/>
        <v>4</v>
      </c>
      <c r="X259" s="386">
        <f>(0.8*V259+1.5)*W259</f>
        <v>86</v>
      </c>
      <c r="Y259" s="386">
        <f t="shared" si="47"/>
        <v>0.36</v>
      </c>
      <c r="Z259" s="347">
        <v>8.0299999999999994</v>
      </c>
      <c r="AA259" s="410">
        <f t="shared" si="44"/>
        <v>802.99999999999989</v>
      </c>
      <c r="AB259" s="346" t="s">
        <v>46</v>
      </c>
      <c r="AC259" s="822"/>
      <c r="AD259" s="822"/>
      <c r="AE259" s="425">
        <v>46133</v>
      </c>
      <c r="AF259" s="446">
        <v>46139</v>
      </c>
      <c r="AG259" s="329"/>
      <c r="AH259" s="375"/>
      <c r="AI259" s="329"/>
      <c r="AJ259" s="375"/>
      <c r="AK259" s="375"/>
      <c r="AL259" s="375"/>
      <c r="AM259" s="375"/>
      <c r="AN259" s="329"/>
      <c r="AO259" s="329"/>
      <c r="AP259" s="329"/>
      <c r="AQ259" s="329"/>
      <c r="AR259" s="357"/>
    </row>
    <row r="260" spans="1:45" ht="38.25">
      <c r="A260" s="328">
        <v>46099</v>
      </c>
      <c r="B260" s="447" t="s">
        <v>2593</v>
      </c>
      <c r="C260" s="437" t="s">
        <v>2747</v>
      </c>
      <c r="D260" s="361" t="s">
        <v>3325</v>
      </c>
      <c r="E260" s="353"/>
      <c r="F260" s="823" t="s">
        <v>105</v>
      </c>
      <c r="G260" s="847">
        <v>10</v>
      </c>
      <c r="H260" s="690" t="s">
        <v>2669</v>
      </c>
      <c r="I260" s="837" t="s">
        <v>2630</v>
      </c>
      <c r="J260" s="839" t="s">
        <v>2602</v>
      </c>
      <c r="K260" s="690" t="s">
        <v>53</v>
      </c>
      <c r="L260" s="819" t="s">
        <v>2996</v>
      </c>
      <c r="M260" s="328">
        <v>46237</v>
      </c>
      <c r="N260" s="355"/>
      <c r="O260" s="821" t="s">
        <v>602</v>
      </c>
      <c r="P260" s="689">
        <v>42534</v>
      </c>
      <c r="Q260" s="425">
        <v>46125</v>
      </c>
      <c r="R260" s="395" t="s">
        <v>1729</v>
      </c>
      <c r="S260" s="422">
        <v>82</v>
      </c>
      <c r="T260" s="422">
        <v>45</v>
      </c>
      <c r="U260" s="422">
        <v>40</v>
      </c>
      <c r="V260" s="407">
        <v>2</v>
      </c>
      <c r="W260" s="386">
        <f t="shared" si="48"/>
        <v>5</v>
      </c>
      <c r="X260" s="386">
        <f>(3.35*V260+1.5)*W260</f>
        <v>41</v>
      </c>
      <c r="Y260" s="386">
        <f t="shared" si="47"/>
        <v>0.74</v>
      </c>
      <c r="Z260" s="761">
        <v>30.05</v>
      </c>
      <c r="AA260" s="410">
        <f t="shared" si="44"/>
        <v>300.5</v>
      </c>
      <c r="AB260" s="346" t="s">
        <v>46</v>
      </c>
      <c r="AC260" s="822"/>
      <c r="AD260" s="409" t="s">
        <v>2631</v>
      </c>
      <c r="AE260" s="425">
        <v>46125</v>
      </c>
      <c r="AF260" s="446">
        <v>46126</v>
      </c>
      <c r="AG260" s="329"/>
      <c r="AH260" s="446">
        <v>46151</v>
      </c>
      <c r="AI260" s="329" t="s">
        <v>51</v>
      </c>
      <c r="AJ260" s="375"/>
      <c r="AK260" s="375"/>
      <c r="AL260" s="375"/>
      <c r="AM260" s="375"/>
      <c r="AN260" s="375"/>
      <c r="AO260" s="799"/>
      <c r="AP260" s="357"/>
      <c r="AQ260" s="425" t="s">
        <v>2075</v>
      </c>
      <c r="AR260" s="357"/>
    </row>
    <row r="261" spans="1:45" ht="38.25">
      <c r="A261" s="328">
        <v>46099</v>
      </c>
      <c r="B261" s="447" t="s">
        <v>2593</v>
      </c>
      <c r="C261" s="437" t="s">
        <v>2748</v>
      </c>
      <c r="D261" s="361" t="s">
        <v>3326</v>
      </c>
      <c r="E261" s="353"/>
      <c r="F261" s="823" t="s">
        <v>105</v>
      </c>
      <c r="G261" s="847">
        <v>10</v>
      </c>
      <c r="H261" s="690" t="s">
        <v>2670</v>
      </c>
      <c r="I261" s="837" t="s">
        <v>2633</v>
      </c>
      <c r="J261" s="839" t="s">
        <v>2602</v>
      </c>
      <c r="K261" s="690" t="s">
        <v>53</v>
      </c>
      <c r="L261" s="819" t="s">
        <v>2996</v>
      </c>
      <c r="M261" s="328">
        <v>46237</v>
      </c>
      <c r="N261" s="355"/>
      <c r="O261" s="821" t="s">
        <v>602</v>
      </c>
      <c r="P261" s="369">
        <v>43251</v>
      </c>
      <c r="Q261" s="425">
        <v>46125</v>
      </c>
      <c r="R261" s="395" t="s">
        <v>2385</v>
      </c>
      <c r="S261" s="422">
        <v>82</v>
      </c>
      <c r="T261" s="422">
        <v>45</v>
      </c>
      <c r="U261" s="422">
        <v>40</v>
      </c>
      <c r="V261" s="407">
        <v>2</v>
      </c>
      <c r="W261" s="386">
        <f t="shared" si="48"/>
        <v>5</v>
      </c>
      <c r="X261" s="386">
        <f>(3.35*V261+1.5)*W261</f>
        <v>41</v>
      </c>
      <c r="Y261" s="386">
        <f t="shared" si="47"/>
        <v>0.74</v>
      </c>
      <c r="Z261" s="761">
        <v>31.099999999999998</v>
      </c>
      <c r="AA261" s="410">
        <f t="shared" si="44"/>
        <v>311</v>
      </c>
      <c r="AB261" s="346" t="s">
        <v>46</v>
      </c>
      <c r="AC261" s="822"/>
      <c r="AD261" s="362" t="s">
        <v>2631</v>
      </c>
      <c r="AE261" s="425">
        <v>46125</v>
      </c>
      <c r="AF261" s="425">
        <v>46095</v>
      </c>
      <c r="AG261" s="329"/>
      <c r="AH261" s="446">
        <v>46157</v>
      </c>
      <c r="AI261" s="329" t="s">
        <v>51</v>
      </c>
      <c r="AJ261" s="375"/>
      <c r="AK261" s="375"/>
      <c r="AL261" s="375"/>
      <c r="AM261" s="375"/>
      <c r="AN261" s="375"/>
      <c r="AO261" s="799"/>
      <c r="AP261" s="357"/>
      <c r="AQ261" s="425" t="s">
        <v>2075</v>
      </c>
      <c r="AR261" s="357"/>
    </row>
    <row r="262" spans="1:45" customFormat="1" ht="25.5">
      <c r="A262" s="328">
        <v>46099</v>
      </c>
      <c r="B262" s="447" t="s">
        <v>2593</v>
      </c>
      <c r="C262" s="437" t="s">
        <v>2749</v>
      </c>
      <c r="D262" s="361" t="s">
        <v>3318</v>
      </c>
      <c r="E262" s="353"/>
      <c r="F262" s="823" t="s">
        <v>105</v>
      </c>
      <c r="G262" s="327">
        <v>100</v>
      </c>
      <c r="H262" s="701" t="s">
        <v>2671</v>
      </c>
      <c r="I262" s="398" t="s">
        <v>2627</v>
      </c>
      <c r="J262" s="839" t="s">
        <v>2602</v>
      </c>
      <c r="K262" s="690" t="s">
        <v>53</v>
      </c>
      <c r="L262" s="421" t="s">
        <v>2076</v>
      </c>
      <c r="M262" s="328">
        <v>46237</v>
      </c>
      <c r="N262" s="355"/>
      <c r="O262" s="845" t="s">
        <v>2628</v>
      </c>
      <c r="P262" s="425">
        <v>45409</v>
      </c>
      <c r="Q262" s="425">
        <v>46122</v>
      </c>
      <c r="R262" s="395" t="s">
        <v>2385</v>
      </c>
      <c r="S262" s="422">
        <v>70</v>
      </c>
      <c r="T262" s="422">
        <v>50</v>
      </c>
      <c r="U262" s="422">
        <v>25</v>
      </c>
      <c r="V262" s="368">
        <v>100</v>
      </c>
      <c r="W262" s="388">
        <f t="shared" si="48"/>
        <v>1</v>
      </c>
      <c r="X262" s="386">
        <f>(0.08*V262+1.5)*W262</f>
        <v>9.5</v>
      </c>
      <c r="Y262" s="386">
        <f t="shared" si="47"/>
        <v>0.09</v>
      </c>
      <c r="Z262" s="347">
        <v>1.25</v>
      </c>
      <c r="AA262" s="410">
        <f t="shared" si="44"/>
        <v>125</v>
      </c>
      <c r="AB262" s="346" t="s">
        <v>46</v>
      </c>
      <c r="AC262" s="362" t="s">
        <v>48</v>
      </c>
      <c r="AD262" s="827"/>
      <c r="AE262" s="425">
        <v>46122</v>
      </c>
      <c r="AF262" s="425">
        <v>46122</v>
      </c>
      <c r="AG262" s="329"/>
      <c r="AH262" s="446">
        <v>46141</v>
      </c>
      <c r="AI262" s="329"/>
      <c r="AJ262" s="375"/>
      <c r="AK262" s="375"/>
      <c r="AL262" s="375"/>
      <c r="AM262" s="375"/>
      <c r="AN262" s="329"/>
      <c r="AO262" s="329"/>
      <c r="AP262" s="329"/>
      <c r="AQ262" s="329"/>
      <c r="AR262" s="357"/>
    </row>
    <row r="263" spans="1:45" ht="25.5">
      <c r="A263" s="328">
        <v>46099</v>
      </c>
      <c r="B263" s="447" t="s">
        <v>2593</v>
      </c>
      <c r="C263" s="437" t="s">
        <v>2750</v>
      </c>
      <c r="D263" s="361" t="s">
        <v>3321</v>
      </c>
      <c r="E263" s="647" t="s">
        <v>2598</v>
      </c>
      <c r="F263" s="818" t="s">
        <v>105</v>
      </c>
      <c r="G263" s="843">
        <v>50</v>
      </c>
      <c r="H263" s="836" t="s">
        <v>2789</v>
      </c>
      <c r="I263" s="819" t="s">
        <v>2613</v>
      </c>
      <c r="J263" s="820" t="s">
        <v>2673</v>
      </c>
      <c r="K263" s="402" t="s">
        <v>3093</v>
      </c>
      <c r="L263" s="421" t="s">
        <v>2822</v>
      </c>
      <c r="M263" s="328">
        <v>46237</v>
      </c>
      <c r="N263" s="355"/>
      <c r="O263" s="821" t="s">
        <v>602</v>
      </c>
      <c r="P263" s="425">
        <v>45409</v>
      </c>
      <c r="Q263" s="425">
        <v>46148</v>
      </c>
      <c r="R263" s="395" t="s">
        <v>1729</v>
      </c>
      <c r="S263" s="422">
        <v>60</v>
      </c>
      <c r="T263" s="422">
        <v>30</v>
      </c>
      <c r="U263" s="422">
        <v>55</v>
      </c>
      <c r="V263" s="683">
        <v>50</v>
      </c>
      <c r="W263" s="364">
        <f t="shared" si="48"/>
        <v>1</v>
      </c>
      <c r="X263" s="386">
        <f>8.5*W263</f>
        <v>8.5</v>
      </c>
      <c r="Y263" s="386">
        <f t="shared" si="47"/>
        <v>0.1</v>
      </c>
      <c r="Z263" s="347">
        <v>5.56</v>
      </c>
      <c r="AA263" s="410">
        <f t="shared" si="44"/>
        <v>278</v>
      </c>
      <c r="AB263" s="346" t="s">
        <v>46</v>
      </c>
      <c r="AC263" s="822"/>
      <c r="AD263" s="822"/>
      <c r="AE263" s="425">
        <v>46148</v>
      </c>
      <c r="AF263" s="425">
        <v>46148</v>
      </c>
      <c r="AG263" s="329"/>
      <c r="AH263" s="446">
        <v>46148</v>
      </c>
      <c r="AI263" s="329"/>
      <c r="AJ263" s="375"/>
      <c r="AK263" s="375"/>
      <c r="AL263" s="375"/>
      <c r="AM263" s="375"/>
      <c r="AN263" s="329"/>
      <c r="AO263" s="329"/>
      <c r="AP263" s="329"/>
      <c r="AQ263" s="329"/>
      <c r="AR263" s="357"/>
    </row>
    <row r="264" spans="1:45" s="104" customFormat="1" ht="24.75" customHeight="1">
      <c r="A264" s="328">
        <v>46099</v>
      </c>
      <c r="B264" s="447" t="s">
        <v>2593</v>
      </c>
      <c r="C264" s="437" t="s">
        <v>2751</v>
      </c>
      <c r="D264" s="361" t="s">
        <v>3317</v>
      </c>
      <c r="E264" s="399"/>
      <c r="F264" s="818" t="s">
        <v>105</v>
      </c>
      <c r="G264" s="363">
        <v>800</v>
      </c>
      <c r="H264" s="701" t="s">
        <v>2672</v>
      </c>
      <c r="I264" s="819" t="s">
        <v>2599</v>
      </c>
      <c r="J264" s="820" t="s">
        <v>2673</v>
      </c>
      <c r="K264" s="402" t="s">
        <v>53</v>
      </c>
      <c r="L264" s="421" t="s">
        <v>2321</v>
      </c>
      <c r="M264" s="328">
        <v>46237</v>
      </c>
      <c r="N264" s="355"/>
      <c r="O264" s="821" t="s">
        <v>602</v>
      </c>
      <c r="P264" s="425">
        <v>45409</v>
      </c>
      <c r="Q264" s="425">
        <v>46122</v>
      </c>
      <c r="R264" s="395" t="s">
        <v>1729</v>
      </c>
      <c r="S264" s="422">
        <v>52</v>
      </c>
      <c r="T264" s="422">
        <v>32</v>
      </c>
      <c r="U264" s="683">
        <v>38</v>
      </c>
      <c r="V264" s="368">
        <v>400</v>
      </c>
      <c r="W264" s="388">
        <f t="shared" si="48"/>
        <v>2</v>
      </c>
      <c r="X264" s="386">
        <f>(0.011*V264+3)*W264</f>
        <v>14.799999999999999</v>
      </c>
      <c r="Y264" s="386">
        <f t="shared" si="47"/>
        <v>0.13</v>
      </c>
      <c r="Z264" s="698">
        <v>0.55000000000000004</v>
      </c>
      <c r="AA264" s="410">
        <f t="shared" si="44"/>
        <v>440.00000000000006</v>
      </c>
      <c r="AB264" s="346" t="s">
        <v>46</v>
      </c>
      <c r="AC264" s="362"/>
      <c r="AD264" s="827"/>
      <c r="AE264" s="425">
        <v>46122</v>
      </c>
      <c r="AF264" s="446">
        <v>46123</v>
      </c>
      <c r="AG264" s="329"/>
      <c r="AH264" s="446">
        <v>46157</v>
      </c>
      <c r="AI264" s="329"/>
      <c r="AJ264" s="375"/>
      <c r="AK264" s="375"/>
      <c r="AL264" s="375"/>
      <c r="AM264" s="375"/>
      <c r="AN264" s="329"/>
      <c r="AO264" s="329"/>
      <c r="AP264" s="329"/>
      <c r="AQ264" s="329"/>
      <c r="AR264" s="425" t="s">
        <v>2905</v>
      </c>
      <c r="AS264" t="s">
        <v>2907</v>
      </c>
    </row>
    <row r="265" spans="1:45" s="104" customFormat="1" ht="33" customHeight="1">
      <c r="A265" s="328">
        <v>46099</v>
      </c>
      <c r="B265" s="447" t="s">
        <v>2593</v>
      </c>
      <c r="C265" s="437" t="s">
        <v>2752</v>
      </c>
      <c r="D265" s="361" t="s">
        <v>3317</v>
      </c>
      <c r="E265" s="399"/>
      <c r="F265" s="818" t="s">
        <v>105</v>
      </c>
      <c r="G265" s="363">
        <v>350</v>
      </c>
      <c r="H265" s="701" t="s">
        <v>2674</v>
      </c>
      <c r="I265" s="819" t="s">
        <v>2599</v>
      </c>
      <c r="J265" s="820" t="s">
        <v>2673</v>
      </c>
      <c r="K265" s="402" t="s">
        <v>50</v>
      </c>
      <c r="L265" s="421" t="s">
        <v>2321</v>
      </c>
      <c r="M265" s="328">
        <v>46237</v>
      </c>
      <c r="N265" s="355"/>
      <c r="O265" s="821" t="s">
        <v>602</v>
      </c>
      <c r="P265" s="425">
        <v>45409</v>
      </c>
      <c r="Q265" s="425">
        <v>46122</v>
      </c>
      <c r="R265" s="395" t="s">
        <v>1729</v>
      </c>
      <c r="S265" s="422">
        <v>52</v>
      </c>
      <c r="T265" s="422">
        <v>32</v>
      </c>
      <c r="U265" s="683">
        <v>38</v>
      </c>
      <c r="V265" s="368">
        <v>350</v>
      </c>
      <c r="W265" s="388">
        <f t="shared" si="48"/>
        <v>1</v>
      </c>
      <c r="X265" s="386">
        <f>(0.01*V265+2)*W265</f>
        <v>5.5</v>
      </c>
      <c r="Y265" s="386">
        <f t="shared" si="47"/>
        <v>0.06</v>
      </c>
      <c r="Z265" s="698">
        <v>0.55000000000000004</v>
      </c>
      <c r="AA265" s="410">
        <f t="shared" si="44"/>
        <v>192.50000000000003</v>
      </c>
      <c r="AB265" s="346" t="s">
        <v>46</v>
      </c>
      <c r="AC265" s="362"/>
      <c r="AD265" s="827"/>
      <c r="AE265" s="425">
        <v>46122</v>
      </c>
      <c r="AF265" s="446">
        <v>46123</v>
      </c>
      <c r="AG265" s="329"/>
      <c r="AH265" s="446">
        <v>46157</v>
      </c>
      <c r="AI265" s="329"/>
      <c r="AJ265" s="375"/>
      <c r="AK265" s="375"/>
      <c r="AL265" s="375"/>
      <c r="AM265" s="375"/>
      <c r="AN265" s="329"/>
      <c r="AO265" s="329"/>
      <c r="AP265" s="329"/>
      <c r="AQ265" s="329"/>
      <c r="AR265" s="425" t="s">
        <v>2905</v>
      </c>
      <c r="AS265" s="104" t="s">
        <v>2907</v>
      </c>
    </row>
    <row r="266" spans="1:45" customFormat="1" ht="33" customHeight="1">
      <c r="A266" s="328">
        <v>46099</v>
      </c>
      <c r="B266" s="447" t="s">
        <v>2593</v>
      </c>
      <c r="C266" s="437" t="s">
        <v>2753</v>
      </c>
      <c r="D266" s="361" t="s">
        <v>3317</v>
      </c>
      <c r="E266" s="353"/>
      <c r="F266" s="818" t="s">
        <v>105</v>
      </c>
      <c r="G266" s="825">
        <v>550</v>
      </c>
      <c r="H266" s="701" t="s">
        <v>2675</v>
      </c>
      <c r="I266" s="819" t="s">
        <v>2599</v>
      </c>
      <c r="J266" s="819" t="s">
        <v>2673</v>
      </c>
      <c r="K266" s="402" t="s">
        <v>3093</v>
      </c>
      <c r="L266" s="421" t="s">
        <v>2321</v>
      </c>
      <c r="M266" s="328">
        <v>46237</v>
      </c>
      <c r="N266" s="355"/>
      <c r="O266" s="821" t="s">
        <v>2646</v>
      </c>
      <c r="P266" s="425" t="s">
        <v>3098</v>
      </c>
      <c r="Q266" s="425">
        <v>46130</v>
      </c>
      <c r="R266" s="395" t="s">
        <v>1729</v>
      </c>
      <c r="S266" s="422">
        <v>52</v>
      </c>
      <c r="T266" s="422">
        <v>32</v>
      </c>
      <c r="U266" s="683">
        <v>38</v>
      </c>
      <c r="V266" s="368">
        <v>550</v>
      </c>
      <c r="W266" s="388">
        <f t="shared" si="48"/>
        <v>1</v>
      </c>
      <c r="X266" s="386">
        <f>(0.6*V266+1.5)*W266</f>
        <v>331.5</v>
      </c>
      <c r="Y266" s="386">
        <f t="shared" si="47"/>
        <v>0.06</v>
      </c>
      <c r="Z266" s="698">
        <v>0.55000000000000004</v>
      </c>
      <c r="AA266" s="410">
        <f t="shared" ref="AA266:AA282" si="49">Z266*G266</f>
        <v>302.5</v>
      </c>
      <c r="AB266" s="346" t="s">
        <v>46</v>
      </c>
      <c r="AC266" s="822"/>
      <c r="AD266" s="822"/>
      <c r="AE266" s="425">
        <v>46130</v>
      </c>
      <c r="AF266" s="446">
        <v>46132</v>
      </c>
      <c r="AG266" s="329"/>
      <c r="AH266" s="446">
        <v>46157</v>
      </c>
      <c r="AI266" s="329"/>
      <c r="AJ266" s="375"/>
      <c r="AK266" s="375"/>
      <c r="AL266" s="375"/>
      <c r="AM266" s="375"/>
      <c r="AN266" s="329"/>
      <c r="AO266" s="329"/>
      <c r="AP266" s="329"/>
      <c r="AQ266" s="329"/>
      <c r="AR266" s="425" t="s">
        <v>2905</v>
      </c>
      <c r="AS266" t="s">
        <v>2907</v>
      </c>
    </row>
    <row r="267" spans="1:45" s="838" customFormat="1" ht="33" customHeight="1">
      <c r="A267" s="328">
        <v>46099</v>
      </c>
      <c r="B267" s="447" t="s">
        <v>2593</v>
      </c>
      <c r="C267" s="437" t="s">
        <v>2754</v>
      </c>
      <c r="D267" s="361"/>
      <c r="E267" s="399"/>
      <c r="F267" s="835" t="s">
        <v>105</v>
      </c>
      <c r="G267" s="327">
        <v>175</v>
      </c>
      <c r="H267" s="701" t="s">
        <v>2676</v>
      </c>
      <c r="I267" s="837" t="s">
        <v>2606</v>
      </c>
      <c r="J267" s="839" t="s">
        <v>2673</v>
      </c>
      <c r="K267" s="352" t="s">
        <v>3093</v>
      </c>
      <c r="L267" s="421" t="s">
        <v>2165</v>
      </c>
      <c r="M267" s="328">
        <v>46237</v>
      </c>
      <c r="N267" s="355"/>
      <c r="O267" s="821" t="s">
        <v>602</v>
      </c>
      <c r="P267" s="425">
        <v>45409</v>
      </c>
      <c r="Q267" s="348"/>
      <c r="R267" s="395" t="s">
        <v>2385</v>
      </c>
      <c r="S267" s="428">
        <v>52</v>
      </c>
      <c r="T267" s="397">
        <v>48</v>
      </c>
      <c r="U267" s="428">
        <v>40</v>
      </c>
      <c r="V267" s="397">
        <v>25</v>
      </c>
      <c r="W267" s="413">
        <f t="shared" si="48"/>
        <v>7</v>
      </c>
      <c r="X267" s="413">
        <f>(0.7*V267+1.5)*W267</f>
        <v>133</v>
      </c>
      <c r="Y267" s="413">
        <f t="shared" si="47"/>
        <v>0.7</v>
      </c>
      <c r="Z267" s="698">
        <v>6.84</v>
      </c>
      <c r="AA267" s="410">
        <f t="shared" si="49"/>
        <v>1197</v>
      </c>
      <c r="AB267" s="346" t="s">
        <v>46</v>
      </c>
      <c r="AC267" s="842"/>
      <c r="AD267" s="362"/>
      <c r="AE267" s="375"/>
      <c r="AF267" s="375"/>
      <c r="AG267" s="329"/>
      <c r="AH267" s="375"/>
      <c r="AI267" s="329"/>
      <c r="AJ267" s="375"/>
      <c r="AK267" s="375"/>
      <c r="AL267" s="375"/>
      <c r="AM267" s="375"/>
      <c r="AN267" s="329"/>
      <c r="AO267" s="329"/>
      <c r="AP267" s="329"/>
      <c r="AQ267" s="329"/>
      <c r="AR267" s="357"/>
    </row>
    <row r="268" spans="1:45" s="104" customFormat="1" ht="26.25" customHeight="1">
      <c r="A268" s="328">
        <v>46099</v>
      </c>
      <c r="B268" s="447" t="s">
        <v>2593</v>
      </c>
      <c r="C268" s="437" t="s">
        <v>2755</v>
      </c>
      <c r="D268" s="361" t="s">
        <v>3324</v>
      </c>
      <c r="E268" s="353"/>
      <c r="F268" s="818" t="s">
        <v>105</v>
      </c>
      <c r="G268" s="363">
        <v>150</v>
      </c>
      <c r="H268" s="701" t="s">
        <v>2677</v>
      </c>
      <c r="I268" s="819" t="s">
        <v>109</v>
      </c>
      <c r="J268" s="820" t="s">
        <v>2678</v>
      </c>
      <c r="K268" s="402" t="s">
        <v>3093</v>
      </c>
      <c r="L268" s="421" t="s">
        <v>2390</v>
      </c>
      <c r="M268" s="328">
        <v>46237</v>
      </c>
      <c r="N268" s="355"/>
      <c r="O268" s="821" t="s">
        <v>602</v>
      </c>
      <c r="P268" s="425">
        <v>45409</v>
      </c>
      <c r="Q268" s="425">
        <v>46135</v>
      </c>
      <c r="R268" s="395" t="s">
        <v>1729</v>
      </c>
      <c r="S268" s="380">
        <v>50</v>
      </c>
      <c r="T268" s="380">
        <v>50</v>
      </c>
      <c r="U268" s="380">
        <v>43</v>
      </c>
      <c r="V268" s="368">
        <v>25</v>
      </c>
      <c r="W268" s="388">
        <f t="shared" si="48"/>
        <v>6</v>
      </c>
      <c r="X268" s="386">
        <f>(0.6*V268+1.5)*W268</f>
        <v>99</v>
      </c>
      <c r="Y268" s="386">
        <f t="shared" si="47"/>
        <v>0.65</v>
      </c>
      <c r="Z268" s="698">
        <v>7.2</v>
      </c>
      <c r="AA268" s="410">
        <f t="shared" si="49"/>
        <v>1080</v>
      </c>
      <c r="AB268" s="372" t="s">
        <v>46</v>
      </c>
      <c r="AC268" s="822"/>
      <c r="AD268" s="822"/>
      <c r="AE268" s="425">
        <v>46135</v>
      </c>
      <c r="AF268" s="425">
        <v>46135</v>
      </c>
      <c r="AG268" s="329"/>
      <c r="AH268" s="446">
        <v>46141</v>
      </c>
      <c r="AI268" s="329"/>
      <c r="AJ268" s="375"/>
      <c r="AK268" s="375"/>
      <c r="AL268" s="375"/>
      <c r="AM268" s="375"/>
      <c r="AN268" s="329"/>
      <c r="AO268" s="329"/>
      <c r="AP268" s="329"/>
      <c r="AQ268" s="329"/>
      <c r="AR268" s="357"/>
    </row>
    <row r="269" spans="1:45" s="104" customFormat="1" ht="26.25" customHeight="1">
      <c r="A269" s="328">
        <v>46099</v>
      </c>
      <c r="B269" s="447" t="s">
        <v>2593</v>
      </c>
      <c r="C269" s="437" t="s">
        <v>2756</v>
      </c>
      <c r="D269" s="361" t="s">
        <v>3324</v>
      </c>
      <c r="E269" s="353"/>
      <c r="F269" s="818" t="s">
        <v>105</v>
      </c>
      <c r="G269" s="363">
        <v>100</v>
      </c>
      <c r="H269" s="391" t="s">
        <v>2677</v>
      </c>
      <c r="I269" s="819" t="s">
        <v>109</v>
      </c>
      <c r="J269" s="820" t="s">
        <v>2678</v>
      </c>
      <c r="K269" s="402" t="s">
        <v>3093</v>
      </c>
      <c r="L269" s="421" t="s">
        <v>2390</v>
      </c>
      <c r="M269" s="328">
        <v>46237</v>
      </c>
      <c r="N269" s="355"/>
      <c r="O269" s="821" t="s">
        <v>602</v>
      </c>
      <c r="P269" s="425">
        <v>45409</v>
      </c>
      <c r="Q269" s="425">
        <v>46135</v>
      </c>
      <c r="R269" s="395" t="s">
        <v>1729</v>
      </c>
      <c r="S269" s="380">
        <v>50</v>
      </c>
      <c r="T269" s="380">
        <v>50</v>
      </c>
      <c r="U269" s="380">
        <v>43</v>
      </c>
      <c r="V269" s="368">
        <v>25</v>
      </c>
      <c r="W269" s="388">
        <f t="shared" si="48"/>
        <v>4</v>
      </c>
      <c r="X269" s="386">
        <f>(0.6*V269+1.5)*W269</f>
        <v>66</v>
      </c>
      <c r="Y269" s="386">
        <f t="shared" si="47"/>
        <v>0.43</v>
      </c>
      <c r="Z269" s="698">
        <v>0</v>
      </c>
      <c r="AA269" s="410">
        <f t="shared" si="49"/>
        <v>0</v>
      </c>
      <c r="AB269" s="372" t="s">
        <v>46</v>
      </c>
      <c r="AC269" s="822"/>
      <c r="AD269" s="822"/>
      <c r="AE269" s="425">
        <v>46135</v>
      </c>
      <c r="AF269" s="425">
        <v>46135</v>
      </c>
      <c r="AG269" s="329"/>
      <c r="AH269" s="446">
        <v>46141</v>
      </c>
      <c r="AI269" s="329"/>
      <c r="AJ269" s="375"/>
      <c r="AK269" s="375"/>
      <c r="AL269" s="375"/>
      <c r="AM269" s="375"/>
      <c r="AN269" s="329"/>
      <c r="AO269" s="329"/>
      <c r="AP269" s="329"/>
      <c r="AQ269" s="329"/>
      <c r="AR269" s="357"/>
    </row>
    <row r="270" spans="1:45" customFormat="1" ht="27.75" customHeight="1">
      <c r="A270" s="328">
        <v>46099</v>
      </c>
      <c r="B270" s="447" t="s">
        <v>2593</v>
      </c>
      <c r="C270" s="437" t="s">
        <v>2757</v>
      </c>
      <c r="D270" s="361" t="s">
        <v>3319</v>
      </c>
      <c r="E270" s="353"/>
      <c r="F270" s="857" t="s">
        <v>105</v>
      </c>
      <c r="G270" s="327">
        <v>250</v>
      </c>
      <c r="H270" s="701" t="s">
        <v>2679</v>
      </c>
      <c r="I270" s="398" t="s">
        <v>112</v>
      </c>
      <c r="J270" s="839" t="s">
        <v>2673</v>
      </c>
      <c r="K270" s="690" t="s">
        <v>3093</v>
      </c>
      <c r="L270" s="393" t="s">
        <v>2390</v>
      </c>
      <c r="M270" s="328">
        <v>46237</v>
      </c>
      <c r="N270" s="355"/>
      <c r="O270" s="821" t="s">
        <v>602</v>
      </c>
      <c r="P270" s="425">
        <v>45409</v>
      </c>
      <c r="Q270" s="425">
        <v>46153</v>
      </c>
      <c r="R270" s="395" t="s">
        <v>1729</v>
      </c>
      <c r="S270" s="380">
        <v>60</v>
      </c>
      <c r="T270" s="380">
        <v>40</v>
      </c>
      <c r="U270" s="380">
        <v>50</v>
      </c>
      <c r="V270" s="407">
        <v>10</v>
      </c>
      <c r="W270" s="388">
        <f t="shared" si="48"/>
        <v>25</v>
      </c>
      <c r="X270" s="386">
        <f>(1.1*V270+1.5)*W270</f>
        <v>312.5</v>
      </c>
      <c r="Y270" s="386">
        <f t="shared" si="47"/>
        <v>3</v>
      </c>
      <c r="Z270" s="698">
        <v>10.5</v>
      </c>
      <c r="AA270" s="410">
        <f t="shared" si="49"/>
        <v>2625</v>
      </c>
      <c r="AB270" s="346" t="s">
        <v>46</v>
      </c>
      <c r="AC270" s="362"/>
      <c r="AD270" s="849"/>
      <c r="AE270" s="425">
        <v>46153</v>
      </c>
      <c r="AF270" s="425">
        <v>46153</v>
      </c>
      <c r="AG270" s="329"/>
      <c r="AH270" s="375"/>
      <c r="AI270" s="329"/>
      <c r="AJ270" s="375"/>
      <c r="AK270" s="375"/>
      <c r="AL270" s="375"/>
      <c r="AM270" s="375"/>
      <c r="AN270" s="329"/>
      <c r="AO270" s="329"/>
      <c r="AP270" s="329"/>
      <c r="AQ270" s="329"/>
      <c r="AR270" s="357"/>
    </row>
    <row r="271" spans="1:45" s="104" customFormat="1" ht="26.25" customHeight="1">
      <c r="A271" s="328">
        <v>46099</v>
      </c>
      <c r="B271" s="447" t="s">
        <v>2593</v>
      </c>
      <c r="C271" s="437" t="s">
        <v>2792</v>
      </c>
      <c r="D271" s="361" t="s">
        <v>3332</v>
      </c>
      <c r="E271" s="647"/>
      <c r="F271" s="818" t="s">
        <v>105</v>
      </c>
      <c r="G271" s="363">
        <v>100</v>
      </c>
      <c r="H271" s="701" t="s">
        <v>2680</v>
      </c>
      <c r="I271" s="819" t="s">
        <v>110</v>
      </c>
      <c r="J271" s="820" t="s">
        <v>2678</v>
      </c>
      <c r="K271" s="402" t="s">
        <v>3093</v>
      </c>
      <c r="L271" s="421" t="s">
        <v>2408</v>
      </c>
      <c r="M271" s="328">
        <v>46237</v>
      </c>
      <c r="N271" s="355"/>
      <c r="O271" s="821" t="s">
        <v>602</v>
      </c>
      <c r="P271" s="425">
        <v>45409</v>
      </c>
      <c r="Q271" s="348"/>
      <c r="R271" s="395" t="s">
        <v>2385</v>
      </c>
      <c r="S271" s="422">
        <v>80</v>
      </c>
      <c r="T271" s="422">
        <v>60</v>
      </c>
      <c r="U271" s="422">
        <v>40</v>
      </c>
      <c r="V271" s="368">
        <v>25</v>
      </c>
      <c r="W271" s="388">
        <f t="shared" si="48"/>
        <v>4</v>
      </c>
      <c r="X271" s="386">
        <f>(0.9*V271+1.5)*W271</f>
        <v>96</v>
      </c>
      <c r="Y271" s="386">
        <f t="shared" si="47"/>
        <v>0.77</v>
      </c>
      <c r="Z271" s="698">
        <v>8.1999999999999993</v>
      </c>
      <c r="AA271" s="410">
        <f t="shared" si="49"/>
        <v>819.99999999999989</v>
      </c>
      <c r="AB271" s="346" t="s">
        <v>46</v>
      </c>
      <c r="AC271" s="822"/>
      <c r="AD271" s="822"/>
      <c r="AE271" s="375"/>
      <c r="AF271" s="375"/>
      <c r="AG271" s="329"/>
      <c r="AH271" s="375"/>
      <c r="AI271" s="329"/>
      <c r="AJ271" s="375"/>
      <c r="AK271" s="375"/>
      <c r="AL271" s="375"/>
      <c r="AM271" s="375"/>
      <c r="AN271" s="329"/>
      <c r="AO271" s="329"/>
      <c r="AP271" s="329"/>
      <c r="AQ271" s="329"/>
      <c r="AR271" s="357"/>
    </row>
    <row r="272" spans="1:45" s="104" customFormat="1" ht="26.25" customHeight="1">
      <c r="A272" s="328">
        <v>46099</v>
      </c>
      <c r="B272" s="447" t="s">
        <v>2593</v>
      </c>
      <c r="C272" s="437" t="s">
        <v>2758</v>
      </c>
      <c r="D272" s="361" t="s">
        <v>3320</v>
      </c>
      <c r="E272" s="353"/>
      <c r="F272" s="818" t="s">
        <v>105</v>
      </c>
      <c r="G272" s="363">
        <v>200</v>
      </c>
      <c r="H272" s="701" t="s">
        <v>2681</v>
      </c>
      <c r="I272" s="819" t="s">
        <v>106</v>
      </c>
      <c r="J272" s="820" t="s">
        <v>2673</v>
      </c>
      <c r="K272" s="402" t="s">
        <v>3093</v>
      </c>
      <c r="L272" s="421" t="s">
        <v>2408</v>
      </c>
      <c r="M272" s="328">
        <v>46237</v>
      </c>
      <c r="N272" s="355"/>
      <c r="O272" s="845" t="s">
        <v>602</v>
      </c>
      <c r="P272" s="406">
        <v>41830</v>
      </c>
      <c r="Q272" s="425">
        <v>46146</v>
      </c>
      <c r="R272" s="395" t="s">
        <v>2385</v>
      </c>
      <c r="S272" s="422">
        <v>93</v>
      </c>
      <c r="T272" s="422">
        <v>56</v>
      </c>
      <c r="U272" s="422">
        <v>43</v>
      </c>
      <c r="V272" s="368">
        <v>25</v>
      </c>
      <c r="W272" s="388">
        <f t="shared" si="48"/>
        <v>8</v>
      </c>
      <c r="X272" s="386">
        <f>(1*V272+1.5)*W272</f>
        <v>212</v>
      </c>
      <c r="Y272" s="386">
        <f t="shared" si="47"/>
        <v>1.79</v>
      </c>
      <c r="Z272" s="698">
        <v>8.5</v>
      </c>
      <c r="AA272" s="410">
        <f t="shared" si="49"/>
        <v>1700</v>
      </c>
      <c r="AB272" s="346" t="s">
        <v>46</v>
      </c>
      <c r="AC272" s="362"/>
      <c r="AD272" s="827"/>
      <c r="AE272" s="425">
        <v>46146</v>
      </c>
      <c r="AF272" s="425">
        <v>46146</v>
      </c>
      <c r="AG272" s="329"/>
      <c r="AH272" s="375"/>
      <c r="AI272" s="329"/>
      <c r="AJ272" s="375"/>
      <c r="AK272" s="375"/>
      <c r="AL272" s="375"/>
      <c r="AM272" s="375"/>
      <c r="AN272" s="329"/>
      <c r="AO272" s="329"/>
      <c r="AP272" s="329"/>
      <c r="AQ272" s="329"/>
      <c r="AR272" s="357"/>
    </row>
    <row r="273" spans="1:45" s="104" customFormat="1" ht="26.25" customHeight="1">
      <c r="A273" s="328">
        <v>46099</v>
      </c>
      <c r="B273" s="447" t="s">
        <v>2593</v>
      </c>
      <c r="C273" s="437" t="s">
        <v>2759</v>
      </c>
      <c r="D273" s="361" t="s">
        <v>3332</v>
      </c>
      <c r="E273" s="647" t="s">
        <v>3027</v>
      </c>
      <c r="F273" s="818" t="s">
        <v>105</v>
      </c>
      <c r="G273" s="393">
        <v>75</v>
      </c>
      <c r="H273" s="497" t="s">
        <v>2682</v>
      </c>
      <c r="I273" s="819" t="s">
        <v>2301</v>
      </c>
      <c r="J273" s="820" t="s">
        <v>2673</v>
      </c>
      <c r="K273" s="402" t="s">
        <v>3093</v>
      </c>
      <c r="L273" s="421" t="s">
        <v>2408</v>
      </c>
      <c r="M273" s="328">
        <v>46237</v>
      </c>
      <c r="N273" s="355"/>
      <c r="O273" s="398" t="s">
        <v>602</v>
      </c>
      <c r="P273" s="425">
        <v>45409</v>
      </c>
      <c r="Q273" s="425">
        <v>46160</v>
      </c>
      <c r="R273" s="395" t="s">
        <v>2385</v>
      </c>
      <c r="S273" s="854">
        <v>93</v>
      </c>
      <c r="T273" s="854">
        <v>56</v>
      </c>
      <c r="U273" s="854">
        <v>43</v>
      </c>
      <c r="V273" s="368">
        <v>20</v>
      </c>
      <c r="W273" s="855">
        <f>G273/V273</f>
        <v>3.75</v>
      </c>
      <c r="X273" s="386">
        <f>(1.1*V273+2)*W273</f>
        <v>90</v>
      </c>
      <c r="Y273" s="386">
        <f t="shared" si="47"/>
        <v>0.84</v>
      </c>
      <c r="Z273" s="698">
        <v>10.210000000000001</v>
      </c>
      <c r="AA273" s="410">
        <f t="shared" si="49"/>
        <v>765.75000000000011</v>
      </c>
      <c r="AB273" s="346" t="s">
        <v>46</v>
      </c>
      <c r="AC273" s="362"/>
      <c r="AD273" s="827"/>
      <c r="AE273" s="425">
        <v>46160</v>
      </c>
      <c r="AF273" s="375"/>
      <c r="AG273" s="329"/>
      <c r="AH273" s="375"/>
      <c r="AI273" s="329"/>
      <c r="AJ273" s="375"/>
      <c r="AK273" s="375"/>
      <c r="AL273" s="375"/>
      <c r="AM273" s="375"/>
      <c r="AN273" s="329"/>
      <c r="AO273" s="329"/>
      <c r="AP273" s="329"/>
      <c r="AQ273" s="329"/>
      <c r="AR273" s="357"/>
    </row>
    <row r="274" spans="1:45" s="115" customFormat="1" ht="38.25">
      <c r="A274" s="328">
        <v>46099</v>
      </c>
      <c r="B274" s="447" t="s">
        <v>2593</v>
      </c>
      <c r="C274" s="437" t="s">
        <v>2760</v>
      </c>
      <c r="D274" s="361" t="s">
        <v>3326</v>
      </c>
      <c r="E274" s="353"/>
      <c r="F274" s="823" t="s">
        <v>105</v>
      </c>
      <c r="G274" s="847">
        <v>100</v>
      </c>
      <c r="H274" s="352" t="s">
        <v>2778</v>
      </c>
      <c r="I274" s="837" t="s">
        <v>2633</v>
      </c>
      <c r="J274" s="839" t="s">
        <v>2673</v>
      </c>
      <c r="K274" s="690" t="s">
        <v>3093</v>
      </c>
      <c r="L274" s="819" t="s">
        <v>2996</v>
      </c>
      <c r="M274" s="328">
        <v>46237</v>
      </c>
      <c r="N274" s="355"/>
      <c r="O274" s="821" t="s">
        <v>602</v>
      </c>
      <c r="P274" s="821">
        <v>42909</v>
      </c>
      <c r="Q274" s="425">
        <v>46135</v>
      </c>
      <c r="R274" s="395" t="s">
        <v>2385</v>
      </c>
      <c r="S274" s="422">
        <v>82</v>
      </c>
      <c r="T274" s="422">
        <v>45</v>
      </c>
      <c r="U274" s="422">
        <v>40</v>
      </c>
      <c r="V274" s="407">
        <v>2</v>
      </c>
      <c r="W274" s="386">
        <f t="shared" ref="W274:W282" si="50">ROUND(G274/V274,2)</f>
        <v>50</v>
      </c>
      <c r="X274" s="386">
        <f>(3.35*V274+1.5)*W274</f>
        <v>409.99999999999994</v>
      </c>
      <c r="Y274" s="386">
        <f t="shared" si="47"/>
        <v>7.38</v>
      </c>
      <c r="Z274" s="853">
        <v>31.099999999999998</v>
      </c>
      <c r="AA274" s="410">
        <f t="shared" si="49"/>
        <v>3110</v>
      </c>
      <c r="AB274" s="346" t="s">
        <v>46</v>
      </c>
      <c r="AC274" s="822"/>
      <c r="AD274" s="362" t="s">
        <v>2631</v>
      </c>
      <c r="AE274" s="425">
        <v>46135</v>
      </c>
      <c r="AF274" s="425">
        <v>46135</v>
      </c>
      <c r="AG274" s="329"/>
      <c r="AH274" s="446">
        <v>46157</v>
      </c>
      <c r="AI274" s="329"/>
      <c r="AJ274" s="375"/>
      <c r="AK274" s="375"/>
      <c r="AL274" s="375"/>
      <c r="AM274" s="375"/>
      <c r="AN274" s="375"/>
      <c r="AO274" s="329"/>
      <c r="AP274" s="357"/>
      <c r="AQ274" s="425" t="s">
        <v>2075</v>
      </c>
      <c r="AR274" s="357"/>
    </row>
    <row r="275" spans="1:45" s="104" customFormat="1" ht="27.75" customHeight="1">
      <c r="A275" s="328">
        <v>46099</v>
      </c>
      <c r="B275" s="447" t="s">
        <v>2593</v>
      </c>
      <c r="C275" s="437" t="s">
        <v>2761</v>
      </c>
      <c r="D275" s="361" t="s">
        <v>3331</v>
      </c>
      <c r="E275" s="353"/>
      <c r="F275" s="823" t="s">
        <v>105</v>
      </c>
      <c r="G275" s="327">
        <v>100</v>
      </c>
      <c r="H275" s="497" t="s">
        <v>2779</v>
      </c>
      <c r="I275" s="856" t="s">
        <v>2776</v>
      </c>
      <c r="J275" s="839" t="s">
        <v>2683</v>
      </c>
      <c r="K275" s="690" t="s">
        <v>53</v>
      </c>
      <c r="L275" s="421" t="s">
        <v>2321</v>
      </c>
      <c r="M275" s="328">
        <v>46237</v>
      </c>
      <c r="N275" s="355"/>
      <c r="O275" s="845" t="s">
        <v>2793</v>
      </c>
      <c r="P275" s="845" t="s">
        <v>3091</v>
      </c>
      <c r="Q275" s="425">
        <v>46130</v>
      </c>
      <c r="R275" s="495" t="s">
        <v>1729</v>
      </c>
      <c r="S275" s="422">
        <v>40</v>
      </c>
      <c r="T275" s="422">
        <v>40</v>
      </c>
      <c r="U275" s="422">
        <v>25</v>
      </c>
      <c r="V275" s="368">
        <v>100</v>
      </c>
      <c r="W275" s="388">
        <f t="shared" si="50"/>
        <v>1</v>
      </c>
      <c r="X275" s="386">
        <f>5*W275</f>
        <v>5</v>
      </c>
      <c r="Y275" s="386">
        <f t="shared" si="47"/>
        <v>0.04</v>
      </c>
      <c r="Z275" s="698">
        <v>0.55000000000000004</v>
      </c>
      <c r="AA275" s="410">
        <f t="shared" si="49"/>
        <v>55.000000000000007</v>
      </c>
      <c r="AB275" s="346" t="s">
        <v>46</v>
      </c>
      <c r="AC275" s="822"/>
      <c r="AD275" s="822"/>
      <c r="AE275" s="425">
        <v>46130</v>
      </c>
      <c r="AF275" s="446">
        <v>46132</v>
      </c>
      <c r="AG275" s="329"/>
      <c r="AH275" s="446">
        <v>46140</v>
      </c>
      <c r="AI275" s="329"/>
      <c r="AJ275" s="375"/>
      <c r="AK275" s="375"/>
      <c r="AL275" s="375"/>
      <c r="AM275" s="375"/>
      <c r="AN275" s="329"/>
      <c r="AO275" s="329"/>
      <c r="AP275" s="329"/>
      <c r="AQ275" s="329"/>
      <c r="AR275" s="425" t="s">
        <v>2906</v>
      </c>
      <c r="AS275" t="s">
        <v>2907</v>
      </c>
    </row>
    <row r="276" spans="1:45" s="104" customFormat="1" ht="27.75" customHeight="1">
      <c r="A276" s="328">
        <v>46099</v>
      </c>
      <c r="B276" s="447" t="s">
        <v>2593</v>
      </c>
      <c r="C276" s="437" t="s">
        <v>2762</v>
      </c>
      <c r="D276" s="361" t="s">
        <v>3328</v>
      </c>
      <c r="E276" s="353"/>
      <c r="F276" s="823" t="s">
        <v>105</v>
      </c>
      <c r="G276" s="327">
        <v>200</v>
      </c>
      <c r="H276" s="701" t="s">
        <v>2684</v>
      </c>
      <c r="I276" s="398" t="s">
        <v>2641</v>
      </c>
      <c r="J276" s="820" t="s">
        <v>2683</v>
      </c>
      <c r="K276" s="690" t="s">
        <v>53</v>
      </c>
      <c r="L276" s="363" t="s">
        <v>2520</v>
      </c>
      <c r="M276" s="328">
        <v>46237</v>
      </c>
      <c r="N276" s="355"/>
      <c r="O276" s="821" t="s">
        <v>602</v>
      </c>
      <c r="P276" s="425">
        <v>45409</v>
      </c>
      <c r="Q276" s="425">
        <v>46133</v>
      </c>
      <c r="R276" s="495" t="s">
        <v>2387</v>
      </c>
      <c r="S276" s="422">
        <v>50</v>
      </c>
      <c r="T276" s="422">
        <v>30</v>
      </c>
      <c r="U276" s="422">
        <v>60</v>
      </c>
      <c r="V276" s="368">
        <v>25</v>
      </c>
      <c r="W276" s="388">
        <f t="shared" si="50"/>
        <v>8</v>
      </c>
      <c r="X276" s="386">
        <f>(0.8*V276+1.5)*W276</f>
        <v>172</v>
      </c>
      <c r="Y276" s="386">
        <f t="shared" si="47"/>
        <v>0.72</v>
      </c>
      <c r="Z276" s="698">
        <v>8.0299999999999994</v>
      </c>
      <c r="AA276" s="410">
        <f t="shared" si="49"/>
        <v>1605.9999999999998</v>
      </c>
      <c r="AB276" s="346" t="s">
        <v>46</v>
      </c>
      <c r="AC276" s="362"/>
      <c r="AD276" s="827"/>
      <c r="AE276" s="425">
        <v>46133</v>
      </c>
      <c r="AF276" s="446">
        <v>46139</v>
      </c>
      <c r="AG276" s="329"/>
      <c r="AH276" s="375"/>
      <c r="AI276" s="329"/>
      <c r="AJ276" s="375"/>
      <c r="AK276" s="375"/>
      <c r="AL276" s="375"/>
      <c r="AM276" s="375"/>
      <c r="AN276" s="329"/>
      <c r="AO276" s="329"/>
      <c r="AP276" s="329"/>
      <c r="AQ276" s="329"/>
      <c r="AR276" s="357"/>
    </row>
    <row r="277" spans="1:45" s="115" customFormat="1" ht="27.75" customHeight="1">
      <c r="A277" s="328">
        <v>46099</v>
      </c>
      <c r="B277" s="447" t="s">
        <v>2593</v>
      </c>
      <c r="C277" s="437" t="s">
        <v>2763</v>
      </c>
      <c r="D277" s="361" t="s">
        <v>3321</v>
      </c>
      <c r="E277" s="353"/>
      <c r="F277" s="823" t="s">
        <v>105</v>
      </c>
      <c r="G277" s="327">
        <v>200</v>
      </c>
      <c r="H277" s="701" t="s">
        <v>2685</v>
      </c>
      <c r="I277" s="398" t="s">
        <v>2613</v>
      </c>
      <c r="J277" s="839" t="s">
        <v>2686</v>
      </c>
      <c r="K277" s="690" t="s">
        <v>2615</v>
      </c>
      <c r="L277" s="421" t="s">
        <v>2822</v>
      </c>
      <c r="M277" s="328">
        <v>46237</v>
      </c>
      <c r="N277" s="355"/>
      <c r="O277" s="821" t="s">
        <v>602</v>
      </c>
      <c r="P277" s="425">
        <v>45409</v>
      </c>
      <c r="Q277" s="425">
        <v>46126</v>
      </c>
      <c r="R277" s="495" t="s">
        <v>1729</v>
      </c>
      <c r="S277" s="422">
        <v>60</v>
      </c>
      <c r="T277" s="422">
        <v>30</v>
      </c>
      <c r="U277" s="422">
        <v>55</v>
      </c>
      <c r="V277" s="368">
        <v>50</v>
      </c>
      <c r="W277" s="388">
        <f t="shared" si="50"/>
        <v>4</v>
      </c>
      <c r="X277" s="386">
        <f>(0.8*V277+1.5)*W277</f>
        <v>166</v>
      </c>
      <c r="Y277" s="386">
        <f t="shared" si="47"/>
        <v>0.4</v>
      </c>
      <c r="Z277" s="347">
        <v>5.56</v>
      </c>
      <c r="AA277" s="410">
        <f t="shared" si="49"/>
        <v>1112</v>
      </c>
      <c r="AB277" s="346" t="s">
        <v>46</v>
      </c>
      <c r="AC277" s="822"/>
      <c r="AD277" s="822"/>
      <c r="AE277" s="425">
        <v>46126</v>
      </c>
      <c r="AF277" s="425">
        <v>46126</v>
      </c>
      <c r="AG277" s="329"/>
      <c r="AH277" s="446">
        <v>46148</v>
      </c>
      <c r="AI277" s="329"/>
      <c r="AJ277" s="375"/>
      <c r="AK277" s="375"/>
      <c r="AL277" s="375"/>
      <c r="AM277" s="375"/>
      <c r="AN277" s="329"/>
      <c r="AO277" s="329"/>
      <c r="AP277" s="329"/>
      <c r="AQ277" s="329"/>
      <c r="AR277" s="357"/>
    </row>
    <row r="278" spans="1:45" customFormat="1" ht="27.75" customHeight="1">
      <c r="A278" s="328">
        <v>46099</v>
      </c>
      <c r="B278" s="447" t="s">
        <v>2593</v>
      </c>
      <c r="C278" s="437" t="s">
        <v>2764</v>
      </c>
      <c r="D278" s="361" t="s">
        <v>3317</v>
      </c>
      <c r="E278" s="399"/>
      <c r="F278" s="365" t="s">
        <v>105</v>
      </c>
      <c r="G278" s="327">
        <v>200</v>
      </c>
      <c r="H278" s="828" t="s">
        <v>2687</v>
      </c>
      <c r="I278" s="398" t="s">
        <v>2599</v>
      </c>
      <c r="J278" s="839" t="s">
        <v>2686</v>
      </c>
      <c r="K278" s="365" t="s">
        <v>53</v>
      </c>
      <c r="L278" s="421" t="s">
        <v>2321</v>
      </c>
      <c r="M278" s="328">
        <v>46237</v>
      </c>
      <c r="N278" s="355"/>
      <c r="O278" s="821" t="s">
        <v>602</v>
      </c>
      <c r="P278" s="425">
        <v>45409</v>
      </c>
      <c r="Q278" s="425">
        <v>46122</v>
      </c>
      <c r="R278" s="495" t="s">
        <v>1729</v>
      </c>
      <c r="S278" s="422">
        <v>45</v>
      </c>
      <c r="T278" s="422">
        <v>24</v>
      </c>
      <c r="U278" s="422">
        <v>17</v>
      </c>
      <c r="V278" s="422">
        <v>200</v>
      </c>
      <c r="W278" s="388">
        <f t="shared" si="50"/>
        <v>1</v>
      </c>
      <c r="X278" s="386">
        <f>(0.011*V278+0.5)*W278</f>
        <v>2.6999999999999997</v>
      </c>
      <c r="Y278" s="386">
        <f t="shared" si="47"/>
        <v>0.02</v>
      </c>
      <c r="Z278" s="698">
        <v>0.55000000000000004</v>
      </c>
      <c r="AA278" s="410">
        <f t="shared" si="49"/>
        <v>110.00000000000001</v>
      </c>
      <c r="AB278" s="346" t="s">
        <v>46</v>
      </c>
      <c r="AC278" s="355"/>
      <c r="AD278" s="858"/>
      <c r="AE278" s="425">
        <v>46122</v>
      </c>
      <c r="AF278" s="446">
        <v>46123</v>
      </c>
      <c r="AG278" s="329"/>
      <c r="AH278" s="446">
        <v>46157</v>
      </c>
      <c r="AI278" s="329"/>
      <c r="AJ278" s="375"/>
      <c r="AK278" s="375"/>
      <c r="AL278" s="375"/>
      <c r="AM278" s="375"/>
      <c r="AN278" s="329"/>
      <c r="AO278" s="329"/>
      <c r="AP278" s="329"/>
      <c r="AQ278" s="329"/>
      <c r="AR278" s="425" t="s">
        <v>2905</v>
      </c>
      <c r="AS278" t="s">
        <v>2907</v>
      </c>
    </row>
    <row r="279" spans="1:45" customFormat="1" ht="27.75" customHeight="1">
      <c r="A279" s="328">
        <v>46099</v>
      </c>
      <c r="B279" s="447" t="s">
        <v>2593</v>
      </c>
      <c r="C279" s="437" t="s">
        <v>2765</v>
      </c>
      <c r="D279" s="361" t="s">
        <v>3322</v>
      </c>
      <c r="E279" s="353"/>
      <c r="F279" s="857" t="s">
        <v>105</v>
      </c>
      <c r="G279" s="327">
        <v>100</v>
      </c>
      <c r="H279" s="686" t="s">
        <v>2688</v>
      </c>
      <c r="I279" s="856" t="s">
        <v>2638</v>
      </c>
      <c r="J279" s="860" t="s">
        <v>2686</v>
      </c>
      <c r="K279" s="859" t="s">
        <v>53</v>
      </c>
      <c r="L279" s="421" t="s">
        <v>2321</v>
      </c>
      <c r="M279" s="328">
        <v>46237</v>
      </c>
      <c r="N279" s="355"/>
      <c r="O279" s="845" t="s">
        <v>2793</v>
      </c>
      <c r="P279" s="425">
        <v>45409</v>
      </c>
      <c r="Q279" s="425">
        <v>46122</v>
      </c>
      <c r="R279" s="495" t="s">
        <v>1729</v>
      </c>
      <c r="S279" s="422">
        <v>40</v>
      </c>
      <c r="T279" s="422">
        <v>24</v>
      </c>
      <c r="U279" s="422">
        <v>15</v>
      </c>
      <c r="V279" s="368">
        <v>100</v>
      </c>
      <c r="W279" s="388">
        <f t="shared" si="50"/>
        <v>1</v>
      </c>
      <c r="X279" s="386">
        <f>3.2*W279</f>
        <v>3.2</v>
      </c>
      <c r="Y279" s="386">
        <f t="shared" si="47"/>
        <v>0.01</v>
      </c>
      <c r="Z279" s="347">
        <v>0.55000000000000004</v>
      </c>
      <c r="AA279" s="410">
        <f t="shared" si="49"/>
        <v>55.000000000000007</v>
      </c>
      <c r="AB279" s="346" t="s">
        <v>46</v>
      </c>
      <c r="AC279" s="362"/>
      <c r="AD279" s="861"/>
      <c r="AE279" s="425">
        <v>46122</v>
      </c>
      <c r="AF279" s="425">
        <v>46122</v>
      </c>
      <c r="AG279" s="329"/>
      <c r="AH279" s="446">
        <v>46140</v>
      </c>
      <c r="AI279" s="329"/>
      <c r="AJ279" s="375"/>
      <c r="AK279" s="375"/>
      <c r="AL279" s="375"/>
      <c r="AM279" s="375"/>
      <c r="AN279" s="329"/>
      <c r="AO279" s="329"/>
      <c r="AP279" s="329"/>
      <c r="AQ279" s="329"/>
      <c r="AR279" s="425" t="s">
        <v>2906</v>
      </c>
      <c r="AS279" t="s">
        <v>2907</v>
      </c>
    </row>
    <row r="280" spans="1:45" customFormat="1" ht="27.75" customHeight="1">
      <c r="A280" s="328">
        <v>46099</v>
      </c>
      <c r="B280" s="447" t="s">
        <v>2593</v>
      </c>
      <c r="C280" s="437" t="s">
        <v>2766</v>
      </c>
      <c r="D280" s="361" t="s">
        <v>3331</v>
      </c>
      <c r="E280" s="353"/>
      <c r="F280" s="857" t="s">
        <v>105</v>
      </c>
      <c r="G280" s="327">
        <v>200</v>
      </c>
      <c r="H280" s="686" t="s">
        <v>2791</v>
      </c>
      <c r="I280" s="856" t="s">
        <v>2668</v>
      </c>
      <c r="J280" s="860" t="s">
        <v>2686</v>
      </c>
      <c r="K280" s="859" t="s">
        <v>53</v>
      </c>
      <c r="L280" s="421" t="s">
        <v>2321</v>
      </c>
      <c r="M280" s="328">
        <v>46237</v>
      </c>
      <c r="N280" s="355"/>
      <c r="O280" s="845" t="s">
        <v>2793</v>
      </c>
      <c r="P280" s="845" t="s">
        <v>3091</v>
      </c>
      <c r="Q280" s="425">
        <v>46130</v>
      </c>
      <c r="R280" s="495" t="s">
        <v>1729</v>
      </c>
      <c r="S280" s="422">
        <v>40</v>
      </c>
      <c r="T280" s="422">
        <v>40</v>
      </c>
      <c r="U280" s="422">
        <v>25</v>
      </c>
      <c r="V280" s="368">
        <v>200</v>
      </c>
      <c r="W280" s="388">
        <f t="shared" si="50"/>
        <v>1</v>
      </c>
      <c r="X280" s="386">
        <f>3.2*W280</f>
        <v>3.2</v>
      </c>
      <c r="Y280" s="386">
        <f t="shared" si="47"/>
        <v>0.04</v>
      </c>
      <c r="Z280" s="347">
        <v>0.55000000000000004</v>
      </c>
      <c r="AA280" s="410">
        <f t="shared" si="49"/>
        <v>110.00000000000001</v>
      </c>
      <c r="AB280" s="346" t="s">
        <v>46</v>
      </c>
      <c r="AC280" s="362"/>
      <c r="AD280" s="861"/>
      <c r="AE280" s="425">
        <v>46130</v>
      </c>
      <c r="AF280" s="446">
        <v>46132</v>
      </c>
      <c r="AG280" s="329"/>
      <c r="AH280" s="446">
        <v>46140</v>
      </c>
      <c r="AI280" s="329"/>
      <c r="AJ280" s="375"/>
      <c r="AK280" s="375"/>
      <c r="AL280" s="375"/>
      <c r="AM280" s="375"/>
      <c r="AN280" s="329"/>
      <c r="AO280" s="329"/>
      <c r="AP280" s="329"/>
      <c r="AQ280" s="329"/>
      <c r="AR280" s="425" t="s">
        <v>2906</v>
      </c>
      <c r="AS280" t="s">
        <v>2907</v>
      </c>
    </row>
    <row r="281" spans="1:45" ht="36" customHeight="1">
      <c r="A281" s="328">
        <v>46120</v>
      </c>
      <c r="B281" s="447" t="s">
        <v>2593</v>
      </c>
      <c r="C281" s="437" t="s">
        <v>2999</v>
      </c>
      <c r="D281" s="447" t="s">
        <v>3321</v>
      </c>
      <c r="E281" s="647" t="s">
        <v>2598</v>
      </c>
      <c r="F281" s="823" t="s">
        <v>105</v>
      </c>
      <c r="G281" s="825">
        <v>90</v>
      </c>
      <c r="H281" s="352" t="s">
        <v>2997</v>
      </c>
      <c r="I281" s="398" t="s">
        <v>111</v>
      </c>
      <c r="J281" s="819" t="s">
        <v>2998</v>
      </c>
      <c r="K281" s="690" t="s">
        <v>2615</v>
      </c>
      <c r="L281" s="421" t="s">
        <v>2822</v>
      </c>
      <c r="M281" s="328">
        <v>46237</v>
      </c>
      <c r="N281" s="355"/>
      <c r="O281" s="821" t="s">
        <v>602</v>
      </c>
      <c r="P281" s="369">
        <v>43251</v>
      </c>
      <c r="Q281" s="425">
        <v>46130</v>
      </c>
      <c r="R281" s="395" t="s">
        <v>1729</v>
      </c>
      <c r="S281" s="422">
        <v>60</v>
      </c>
      <c r="T281" s="422">
        <v>30</v>
      </c>
      <c r="U281" s="422">
        <v>55</v>
      </c>
      <c r="V281" s="401">
        <v>50</v>
      </c>
      <c r="W281" s="388">
        <f t="shared" si="50"/>
        <v>1.8</v>
      </c>
      <c r="X281" s="386">
        <f>(0.8*V281+1.5)*W281</f>
        <v>74.7</v>
      </c>
      <c r="Y281" s="413">
        <f t="shared" si="47"/>
        <v>0.18</v>
      </c>
      <c r="Z281" s="376">
        <v>5.56</v>
      </c>
      <c r="AA281" s="737">
        <f t="shared" si="49"/>
        <v>500.4</v>
      </c>
      <c r="AB281" s="346" t="s">
        <v>46</v>
      </c>
      <c r="AC281" s="822"/>
      <c r="AD281" s="822"/>
      <c r="AE281" s="425">
        <v>46130</v>
      </c>
      <c r="AF281" s="425">
        <v>46130</v>
      </c>
      <c r="AG281" s="329"/>
      <c r="AH281" s="446">
        <v>46148</v>
      </c>
      <c r="AI281" s="329"/>
      <c r="AJ281" s="375"/>
      <c r="AK281" s="375"/>
      <c r="AL281" s="375"/>
      <c r="AM281" s="375"/>
      <c r="AN281" s="329"/>
      <c r="AO281" s="799"/>
      <c r="AP281" s="329"/>
      <c r="AQ281" s="329"/>
      <c r="AR281" s="357"/>
    </row>
    <row r="282" spans="1:45" s="115" customFormat="1" ht="36" customHeight="1">
      <c r="A282" s="328">
        <v>46120</v>
      </c>
      <c r="B282" s="447" t="s">
        <v>2593</v>
      </c>
      <c r="C282" s="437" t="s">
        <v>3000</v>
      </c>
      <c r="D282" s="438" t="s">
        <v>3326</v>
      </c>
      <c r="E282" s="647" t="s">
        <v>2598</v>
      </c>
      <c r="F282" s="818" t="s">
        <v>105</v>
      </c>
      <c r="G282" s="843">
        <v>10</v>
      </c>
      <c r="H282" s="392" t="s">
        <v>3019</v>
      </c>
      <c r="I282" s="820" t="s">
        <v>2633</v>
      </c>
      <c r="J282" s="819" t="s">
        <v>2998</v>
      </c>
      <c r="K282" s="391" t="s">
        <v>53</v>
      </c>
      <c r="L282" s="819" t="s">
        <v>2996</v>
      </c>
      <c r="M282" s="328">
        <v>46237</v>
      </c>
      <c r="N282" s="355"/>
      <c r="O282" s="821" t="s">
        <v>602</v>
      </c>
      <c r="P282" s="425">
        <v>45409</v>
      </c>
      <c r="Q282" s="425">
        <v>46095</v>
      </c>
      <c r="R282" s="395" t="s">
        <v>1729</v>
      </c>
      <c r="S282" s="422">
        <v>82</v>
      </c>
      <c r="T282" s="422">
        <v>45</v>
      </c>
      <c r="U282" s="422">
        <v>40</v>
      </c>
      <c r="V282" s="407">
        <v>2</v>
      </c>
      <c r="W282" s="388">
        <f t="shared" si="50"/>
        <v>5</v>
      </c>
      <c r="X282" s="386">
        <f>(3.35*V282+1.5)*W282</f>
        <v>41</v>
      </c>
      <c r="Y282" s="386">
        <f t="shared" si="47"/>
        <v>0.74</v>
      </c>
      <c r="Z282" s="347">
        <v>31.1</v>
      </c>
      <c r="AA282" s="737">
        <f t="shared" si="49"/>
        <v>311</v>
      </c>
      <c r="AB282" s="346" t="s">
        <v>46</v>
      </c>
      <c r="AC282" s="822"/>
      <c r="AD282" s="362" t="s">
        <v>2631</v>
      </c>
      <c r="AE282" s="425">
        <v>46125</v>
      </c>
      <c r="AF282" s="425">
        <v>46095</v>
      </c>
      <c r="AG282" s="329"/>
      <c r="AH282" s="446">
        <v>46157</v>
      </c>
      <c r="AI282" s="329"/>
      <c r="AJ282" s="375"/>
      <c r="AK282" s="375"/>
      <c r="AL282" s="375"/>
      <c r="AM282" s="375"/>
      <c r="AN282" s="375"/>
      <c r="AO282" s="329"/>
      <c r="AP282" s="329"/>
      <c r="AQ282" s="329"/>
      <c r="AR282" s="357"/>
    </row>
    <row r="283" spans="1:45" ht="27" customHeight="1">
      <c r="A283" s="330"/>
      <c r="B283" s="331"/>
      <c r="C283" s="332"/>
      <c r="D283" s="333"/>
      <c r="E283" s="334"/>
      <c r="F283" s="334"/>
      <c r="G283" s="335">
        <f>SUM(G202:G282)</f>
        <v>10995</v>
      </c>
      <c r="H283" s="334"/>
      <c r="I283" s="334"/>
      <c r="J283" s="334"/>
      <c r="K283" s="334"/>
      <c r="L283" s="336"/>
      <c r="M283" s="332"/>
      <c r="N283" s="332"/>
      <c r="O283" s="337"/>
      <c r="P283" s="338"/>
      <c r="Q283" s="337"/>
      <c r="R283" s="339"/>
      <c r="S283" s="340"/>
      <c r="T283" s="340"/>
      <c r="U283" s="340"/>
      <c r="V283" s="340"/>
      <c r="W283" s="341"/>
      <c r="X283" s="342"/>
      <c r="Y283" s="343">
        <f>SUM(Y202:Y280)</f>
        <v>64.210000000000036</v>
      </c>
      <c r="Z283" s="342"/>
      <c r="AA283" s="344"/>
      <c r="AB283" s="332"/>
      <c r="AC283" s="332"/>
      <c r="AD283" s="339"/>
      <c r="AE283" s="337"/>
      <c r="AF283" s="338"/>
      <c r="AG283" s="337"/>
      <c r="AH283" s="338"/>
      <c r="AI283" s="337"/>
      <c r="AJ283" s="338"/>
      <c r="AK283" s="338"/>
      <c r="AL283" s="338"/>
      <c r="AM283" s="338"/>
      <c r="AN283" s="338"/>
      <c r="AO283" s="338"/>
      <c r="AP283" s="338"/>
      <c r="AQ283" s="338"/>
      <c r="AR283" s="338"/>
    </row>
    <row r="284" spans="1:45" ht="30" customHeight="1">
      <c r="A284" s="351" t="s">
        <v>3455</v>
      </c>
      <c r="B284" s="331"/>
      <c r="C284" s="332"/>
      <c r="D284" s="333"/>
      <c r="E284" s="334"/>
      <c r="F284" s="334"/>
      <c r="G284" s="334"/>
      <c r="H284" s="341"/>
      <c r="I284" s="334"/>
      <c r="J284" s="334"/>
      <c r="K284" s="334"/>
      <c r="L284" s="336"/>
      <c r="M284" s="332"/>
      <c r="N284" s="332"/>
      <c r="O284" s="337"/>
      <c r="P284" s="338"/>
      <c r="Q284" s="337"/>
      <c r="R284" s="339"/>
      <c r="S284" s="340"/>
      <c r="T284" s="340"/>
      <c r="U284" s="340"/>
      <c r="V284" s="340"/>
      <c r="W284" s="341"/>
      <c r="X284" s="342"/>
      <c r="Y284" s="350"/>
      <c r="Z284" s="342"/>
      <c r="AA284" s="344"/>
      <c r="AB284" s="332"/>
      <c r="AC284" s="332"/>
      <c r="AD284" s="339"/>
      <c r="AE284" s="337"/>
      <c r="AF284" s="338"/>
      <c r="AG284" s="337"/>
      <c r="AH284" s="338"/>
      <c r="AI284" s="337"/>
      <c r="AJ284" s="338"/>
      <c r="AK284" s="338"/>
      <c r="AL284" s="338"/>
      <c r="AM284" s="338"/>
      <c r="AN284" s="338"/>
      <c r="AO284" s="338"/>
      <c r="AP284" s="338"/>
      <c r="AQ284" s="338"/>
      <c r="AR284" s="338"/>
    </row>
    <row r="285" spans="1:45" ht="27.75" customHeight="1">
      <c r="A285" s="490">
        <v>45405</v>
      </c>
      <c r="B285" s="447"/>
      <c r="C285" s="437" t="s">
        <v>2953</v>
      </c>
      <c r="D285" s="438"/>
      <c r="E285" s="353" t="s">
        <v>3022</v>
      </c>
      <c r="F285" s="824" t="s">
        <v>641</v>
      </c>
      <c r="G285" s="851">
        <v>100</v>
      </c>
      <c r="H285" s="730" t="s">
        <v>2908</v>
      </c>
      <c r="I285" s="886" t="s">
        <v>125</v>
      </c>
      <c r="J285" s="363" t="s">
        <v>2909</v>
      </c>
      <c r="K285" s="365" t="s">
        <v>642</v>
      </c>
      <c r="L285" s="767" t="s">
        <v>2821</v>
      </c>
      <c r="M285" s="406">
        <v>46241</v>
      </c>
      <c r="N285" s="403" t="s">
        <v>99</v>
      </c>
      <c r="O285" s="887" t="s">
        <v>88</v>
      </c>
      <c r="P285" s="369" t="s">
        <v>44</v>
      </c>
      <c r="Q285" s="425">
        <v>46151</v>
      </c>
      <c r="R285" s="395" t="s">
        <v>2385</v>
      </c>
      <c r="S285" s="368">
        <v>83</v>
      </c>
      <c r="T285" s="368">
        <v>56</v>
      </c>
      <c r="U285" s="368">
        <v>45</v>
      </c>
      <c r="V285" s="747">
        <v>25</v>
      </c>
      <c r="W285" s="888">
        <f>G285/V285</f>
        <v>4</v>
      </c>
      <c r="X285" s="806">
        <f>(1*V285+1.5)*W285</f>
        <v>106</v>
      </c>
      <c r="Y285" s="408">
        <f t="shared" ref="Y285:Y309" si="51">ROUND((S285*T285*U285)*0.000001*W285,2)</f>
        <v>0.84</v>
      </c>
      <c r="Z285" s="889">
        <v>9.07</v>
      </c>
      <c r="AA285" s="815">
        <f t="shared" ref="AA285:AA309" si="52">Z285*G285</f>
        <v>907</v>
      </c>
      <c r="AB285" s="346" t="s">
        <v>46</v>
      </c>
      <c r="AC285" s="362" t="s">
        <v>48</v>
      </c>
      <c r="AD285" s="625"/>
      <c r="AE285" s="375"/>
      <c r="AF285" s="375"/>
      <c r="AG285" s="329"/>
      <c r="AH285" s="375"/>
      <c r="AI285" s="329"/>
      <c r="AJ285" s="375"/>
      <c r="AK285" s="375"/>
      <c r="AL285" s="375"/>
      <c r="AM285" s="375"/>
      <c r="AN285" s="370"/>
      <c r="AO285" s="370"/>
      <c r="AP285" s="370"/>
      <c r="AQ285" s="370"/>
      <c r="AR285" s="375"/>
    </row>
    <row r="286" spans="1:45" ht="27.75" customHeight="1">
      <c r="A286" s="490">
        <v>45405</v>
      </c>
      <c r="B286" s="447"/>
      <c r="C286" s="437" t="s">
        <v>2954</v>
      </c>
      <c r="D286" s="890"/>
      <c r="E286" s="353"/>
      <c r="F286" s="824" t="s">
        <v>641</v>
      </c>
      <c r="G286" s="851">
        <v>100</v>
      </c>
      <c r="H286" s="702" t="s">
        <v>2910</v>
      </c>
      <c r="I286" s="886" t="s">
        <v>125</v>
      </c>
      <c r="J286" s="363" t="s">
        <v>2911</v>
      </c>
      <c r="K286" s="365" t="s">
        <v>2912</v>
      </c>
      <c r="L286" s="767" t="s">
        <v>2821</v>
      </c>
      <c r="M286" s="406">
        <v>46241</v>
      </c>
      <c r="N286" s="355"/>
      <c r="O286" s="887" t="s">
        <v>88</v>
      </c>
      <c r="P286" s="369" t="s">
        <v>44</v>
      </c>
      <c r="Q286" s="425">
        <v>46151</v>
      </c>
      <c r="R286" s="395" t="s">
        <v>2385</v>
      </c>
      <c r="S286" s="368">
        <v>83</v>
      </c>
      <c r="T286" s="368">
        <v>56</v>
      </c>
      <c r="U286" s="368">
        <v>45</v>
      </c>
      <c r="V286" s="747">
        <v>25</v>
      </c>
      <c r="W286" s="888">
        <f>G286/V286</f>
        <v>4</v>
      </c>
      <c r="X286" s="806">
        <f>(1*V286+1.5)*W286</f>
        <v>106</v>
      </c>
      <c r="Y286" s="408">
        <f t="shared" si="51"/>
        <v>0.84</v>
      </c>
      <c r="Z286" s="889">
        <v>9.07</v>
      </c>
      <c r="AA286" s="815">
        <f t="shared" si="52"/>
        <v>907</v>
      </c>
      <c r="AB286" s="346" t="s">
        <v>46</v>
      </c>
      <c r="AC286" s="362" t="s">
        <v>48</v>
      </c>
      <c r="AD286" s="625"/>
      <c r="AE286" s="375"/>
      <c r="AF286" s="375"/>
      <c r="AG286" s="329"/>
      <c r="AH286" s="375"/>
      <c r="AI286" s="329"/>
      <c r="AJ286" s="375"/>
      <c r="AK286" s="375"/>
      <c r="AL286" s="375"/>
      <c r="AM286" s="375"/>
      <c r="AN286" s="370"/>
      <c r="AO286" s="370"/>
      <c r="AP286" s="370"/>
      <c r="AQ286" s="370"/>
      <c r="AR286" s="375"/>
    </row>
    <row r="287" spans="1:45" s="115" customFormat="1" ht="30" customHeight="1">
      <c r="A287" s="490">
        <v>45405</v>
      </c>
      <c r="B287" s="447"/>
      <c r="C287" s="437" t="s">
        <v>2955</v>
      </c>
      <c r="D287" s="438"/>
      <c r="E287" s="900" t="s">
        <v>2913</v>
      </c>
      <c r="F287" s="824" t="s">
        <v>641</v>
      </c>
      <c r="G287" s="851">
        <v>600</v>
      </c>
      <c r="H287" s="631" t="s">
        <v>2914</v>
      </c>
      <c r="I287" s="886" t="s">
        <v>2148</v>
      </c>
      <c r="J287" s="363" t="s">
        <v>2909</v>
      </c>
      <c r="K287" s="365" t="s">
        <v>642</v>
      </c>
      <c r="L287" s="393" t="s">
        <v>2504</v>
      </c>
      <c r="M287" s="406">
        <v>46241</v>
      </c>
      <c r="N287" s="355"/>
      <c r="O287" s="887" t="s">
        <v>88</v>
      </c>
      <c r="P287" s="369" t="s">
        <v>44</v>
      </c>
      <c r="Q287" s="348"/>
      <c r="R287" s="395" t="s">
        <v>2385</v>
      </c>
      <c r="S287" s="407">
        <v>50</v>
      </c>
      <c r="T287" s="407">
        <v>48</v>
      </c>
      <c r="U287" s="407">
        <v>38</v>
      </c>
      <c r="V287" s="407">
        <v>10</v>
      </c>
      <c r="W287" s="388">
        <f>ROUND(G287/V287,2)</f>
        <v>60</v>
      </c>
      <c r="X287" s="386">
        <f>(1.2*V287+1.5)*W287</f>
        <v>810</v>
      </c>
      <c r="Y287" s="791">
        <f t="shared" si="51"/>
        <v>5.47</v>
      </c>
      <c r="Z287" s="698">
        <v>9.91</v>
      </c>
      <c r="AA287" s="815">
        <f t="shared" si="52"/>
        <v>5946</v>
      </c>
      <c r="AB287" s="724" t="s">
        <v>46</v>
      </c>
      <c r="AC287" s="628"/>
      <c r="AD287" s="891"/>
      <c r="AE287" s="375"/>
      <c r="AF287" s="375"/>
      <c r="AG287" s="329"/>
      <c r="AH287" s="375"/>
      <c r="AI287" s="329"/>
      <c r="AJ287" s="375"/>
      <c r="AK287" s="375"/>
      <c r="AL287" s="375"/>
      <c r="AM287" s="375"/>
      <c r="AN287" s="329"/>
      <c r="AO287" s="370"/>
      <c r="AP287" s="370"/>
      <c r="AQ287" s="370"/>
      <c r="AR287" s="375"/>
    </row>
    <row r="288" spans="1:45" ht="27" customHeight="1">
      <c r="A288" s="490">
        <v>45405</v>
      </c>
      <c r="B288" s="447"/>
      <c r="C288" s="437" t="s">
        <v>2956</v>
      </c>
      <c r="D288" s="438"/>
      <c r="E288" s="901" t="s">
        <v>2976</v>
      </c>
      <c r="F288" s="824" t="s">
        <v>641</v>
      </c>
      <c r="G288" s="851">
        <v>400</v>
      </c>
      <c r="H288" s="631" t="s">
        <v>2915</v>
      </c>
      <c r="I288" s="886" t="s">
        <v>2916</v>
      </c>
      <c r="J288" s="363" t="s">
        <v>2909</v>
      </c>
      <c r="K288" s="365" t="s">
        <v>642</v>
      </c>
      <c r="L288" s="393" t="s">
        <v>2321</v>
      </c>
      <c r="M288" s="406">
        <v>46241</v>
      </c>
      <c r="N288" s="355"/>
      <c r="O288" s="887" t="s">
        <v>2917</v>
      </c>
      <c r="P288" s="369"/>
      <c r="Q288" s="348"/>
      <c r="R288" s="395" t="s">
        <v>2385</v>
      </c>
      <c r="S288" s="543">
        <v>35</v>
      </c>
      <c r="T288" s="543">
        <v>35</v>
      </c>
      <c r="U288" s="543">
        <v>15</v>
      </c>
      <c r="V288" s="543">
        <v>200</v>
      </c>
      <c r="W288" s="632">
        <f>ROUND(G288/V288,2)</f>
        <v>2</v>
      </c>
      <c r="X288" s="413">
        <f>11*W288</f>
        <v>22</v>
      </c>
      <c r="Y288" s="732">
        <f t="shared" si="51"/>
        <v>0.04</v>
      </c>
      <c r="Z288" s="892">
        <v>1.07</v>
      </c>
      <c r="AA288" s="815">
        <f t="shared" si="52"/>
        <v>428</v>
      </c>
      <c r="AB288" s="724" t="s">
        <v>46</v>
      </c>
      <c r="AC288" s="891"/>
      <c r="AD288" s="891"/>
      <c r="AE288" s="375"/>
      <c r="AF288" s="375"/>
      <c r="AG288" s="329"/>
      <c r="AH288" s="375"/>
      <c r="AI288" s="329"/>
      <c r="AJ288" s="375"/>
      <c r="AK288" s="375"/>
      <c r="AL288" s="375"/>
      <c r="AM288" s="375"/>
      <c r="AN288" s="370"/>
      <c r="AO288" s="370"/>
      <c r="AP288" s="370"/>
      <c r="AQ288" s="370"/>
      <c r="AR288" s="425" t="s">
        <v>2918</v>
      </c>
    </row>
    <row r="289" spans="1:44" customFormat="1" ht="27" customHeight="1">
      <c r="A289" s="490">
        <v>45771</v>
      </c>
      <c r="B289" s="368"/>
      <c r="C289" s="437" t="s">
        <v>2957</v>
      </c>
      <c r="D289" s="354"/>
      <c r="E289" s="901" t="s">
        <v>2977</v>
      </c>
      <c r="F289" s="824" t="s">
        <v>641</v>
      </c>
      <c r="G289" s="396">
        <v>300</v>
      </c>
      <c r="H289" s="730" t="s">
        <v>2919</v>
      </c>
      <c r="I289" s="886" t="s">
        <v>125</v>
      </c>
      <c r="J289" s="363" t="s">
        <v>2920</v>
      </c>
      <c r="K289" s="392" t="s">
        <v>642</v>
      </c>
      <c r="L289" s="767" t="s">
        <v>2821</v>
      </c>
      <c r="M289" s="406">
        <v>46241</v>
      </c>
      <c r="N289" s="355"/>
      <c r="O289" s="893" t="s">
        <v>88</v>
      </c>
      <c r="P289" s="395"/>
      <c r="Q289" s="425">
        <v>46151</v>
      </c>
      <c r="R289" s="395" t="s">
        <v>2385</v>
      </c>
      <c r="S289" s="401">
        <v>83</v>
      </c>
      <c r="T289" s="401">
        <v>56</v>
      </c>
      <c r="U289" s="401">
        <v>45</v>
      </c>
      <c r="V289" s="401">
        <v>25</v>
      </c>
      <c r="W289" s="888">
        <f t="shared" ref="W289:W298" si="53">G289/V289</f>
        <v>12</v>
      </c>
      <c r="X289" s="806">
        <f>(1*V289+1.5)*W289</f>
        <v>318</v>
      </c>
      <c r="Y289" s="408">
        <f t="shared" si="51"/>
        <v>2.5099999999999998</v>
      </c>
      <c r="Z289" s="377">
        <v>9.07</v>
      </c>
      <c r="AA289" s="815">
        <f t="shared" si="52"/>
        <v>2721</v>
      </c>
      <c r="AB289" s="346" t="s">
        <v>46</v>
      </c>
      <c r="AC289" s="355"/>
      <c r="AD289" s="625"/>
      <c r="AE289" s="375"/>
      <c r="AF289" s="375"/>
      <c r="AG289" s="329"/>
      <c r="AH289" s="375"/>
      <c r="AI289" s="329"/>
      <c r="AJ289" s="375"/>
      <c r="AK289" s="375"/>
      <c r="AL289" s="375"/>
      <c r="AM289" s="375"/>
      <c r="AN289" s="329"/>
      <c r="AO289" s="370"/>
      <c r="AP289" s="370"/>
      <c r="AQ289" s="370"/>
      <c r="AR289" s="375"/>
    </row>
    <row r="290" spans="1:44" s="115" customFormat="1" ht="23.25" customHeight="1">
      <c r="A290" s="490">
        <v>45771</v>
      </c>
      <c r="B290" s="447"/>
      <c r="C290" s="437" t="s">
        <v>2958</v>
      </c>
      <c r="D290" s="438"/>
      <c r="E290" s="353" t="s">
        <v>3021</v>
      </c>
      <c r="F290" s="824" t="s">
        <v>641</v>
      </c>
      <c r="G290" s="851">
        <v>600</v>
      </c>
      <c r="H290" s="670" t="s">
        <v>2921</v>
      </c>
      <c r="I290" s="886" t="s">
        <v>2922</v>
      </c>
      <c r="J290" s="363" t="s">
        <v>2923</v>
      </c>
      <c r="K290" s="392" t="s">
        <v>642</v>
      </c>
      <c r="L290" s="391" t="s">
        <v>2995</v>
      </c>
      <c r="M290" s="406">
        <v>46241</v>
      </c>
      <c r="N290" s="355"/>
      <c r="O290" s="887" t="s">
        <v>2352</v>
      </c>
      <c r="P290" s="369" t="s">
        <v>44</v>
      </c>
      <c r="Q290" s="425">
        <v>46126</v>
      </c>
      <c r="R290" s="395" t="s">
        <v>2385</v>
      </c>
      <c r="S290" s="407">
        <v>47</v>
      </c>
      <c r="T290" s="407">
        <v>43</v>
      </c>
      <c r="U290" s="407">
        <v>45</v>
      </c>
      <c r="V290" s="407">
        <v>25</v>
      </c>
      <c r="W290" s="388">
        <f t="shared" si="53"/>
        <v>24</v>
      </c>
      <c r="X290" s="386">
        <f>W290*17.5</f>
        <v>420</v>
      </c>
      <c r="Y290" s="791">
        <f t="shared" si="51"/>
        <v>2.1800000000000002</v>
      </c>
      <c r="Z290" s="377">
        <v>5.25</v>
      </c>
      <c r="AA290" s="815">
        <f t="shared" si="52"/>
        <v>3150</v>
      </c>
      <c r="AB290" s="724" t="s">
        <v>46</v>
      </c>
      <c r="AC290" s="628"/>
      <c r="AD290" s="891"/>
      <c r="AE290" s="425">
        <v>46126</v>
      </c>
      <c r="AF290" s="446">
        <v>46157</v>
      </c>
      <c r="AG290" s="329"/>
      <c r="AH290" s="446">
        <v>46157</v>
      </c>
      <c r="AI290" s="329"/>
      <c r="AJ290" s="375"/>
      <c r="AK290" s="375"/>
      <c r="AL290" s="375"/>
      <c r="AM290" s="375"/>
      <c r="AN290" s="329"/>
      <c r="AO290" s="370"/>
      <c r="AP290" s="370"/>
      <c r="AQ290" s="370"/>
      <c r="AR290" s="375"/>
    </row>
    <row r="291" spans="1:44" s="115" customFormat="1" ht="23.25" customHeight="1">
      <c r="A291" s="490">
        <v>45771</v>
      </c>
      <c r="B291" s="447"/>
      <c r="C291" s="437" t="s">
        <v>2978</v>
      </c>
      <c r="D291" s="438"/>
      <c r="E291" s="353" t="s">
        <v>3002</v>
      </c>
      <c r="F291" s="824" t="s">
        <v>641</v>
      </c>
      <c r="G291" s="851">
        <v>500</v>
      </c>
      <c r="H291" s="670" t="s">
        <v>2924</v>
      </c>
      <c r="I291" s="886" t="s">
        <v>2925</v>
      </c>
      <c r="J291" s="363" t="s">
        <v>2923</v>
      </c>
      <c r="K291" s="392" t="s">
        <v>642</v>
      </c>
      <c r="L291" s="393" t="s">
        <v>2821</v>
      </c>
      <c r="M291" s="406">
        <v>46241</v>
      </c>
      <c r="N291" s="355"/>
      <c r="O291" s="887" t="s">
        <v>88</v>
      </c>
      <c r="P291" s="369" t="s">
        <v>44</v>
      </c>
      <c r="Q291" s="348"/>
      <c r="R291" s="395" t="s">
        <v>2385</v>
      </c>
      <c r="S291" s="407">
        <v>60</v>
      </c>
      <c r="T291" s="407">
        <v>44</v>
      </c>
      <c r="U291" s="407">
        <v>50</v>
      </c>
      <c r="V291" s="407">
        <v>25</v>
      </c>
      <c r="W291" s="388">
        <f t="shared" si="53"/>
        <v>20</v>
      </c>
      <c r="X291" s="386">
        <f>W291*22.5</f>
        <v>450</v>
      </c>
      <c r="Y291" s="791">
        <f t="shared" si="51"/>
        <v>2.64</v>
      </c>
      <c r="Z291" s="377">
        <v>6.83</v>
      </c>
      <c r="AA291" s="815">
        <f t="shared" si="52"/>
        <v>3415</v>
      </c>
      <c r="AB291" s="724" t="s">
        <v>46</v>
      </c>
      <c r="AC291" s="628"/>
      <c r="AD291" s="891"/>
      <c r="AE291" s="375"/>
      <c r="AF291" s="375"/>
      <c r="AG291" s="329"/>
      <c r="AH291" s="375"/>
      <c r="AI291" s="329"/>
      <c r="AJ291" s="375"/>
      <c r="AK291" s="375"/>
      <c r="AL291" s="375"/>
      <c r="AM291" s="375"/>
      <c r="AN291" s="329"/>
      <c r="AO291" s="370"/>
      <c r="AP291" s="370"/>
      <c r="AQ291" s="370"/>
      <c r="AR291" s="375"/>
    </row>
    <row r="292" spans="1:44" customFormat="1" ht="30" customHeight="1">
      <c r="A292" s="490">
        <v>45771</v>
      </c>
      <c r="B292" s="401"/>
      <c r="C292" s="437" t="s">
        <v>2959</v>
      </c>
      <c r="D292" s="447"/>
      <c r="E292" s="399" t="s">
        <v>3002</v>
      </c>
      <c r="F292" s="824" t="s">
        <v>641</v>
      </c>
      <c r="G292" s="363">
        <v>100</v>
      </c>
      <c r="H292" s="670" t="s">
        <v>2926</v>
      </c>
      <c r="I292" s="886" t="s">
        <v>1436</v>
      </c>
      <c r="J292" s="363" t="s">
        <v>2927</v>
      </c>
      <c r="K292" s="392" t="s">
        <v>642</v>
      </c>
      <c r="L292" s="393" t="s">
        <v>2821</v>
      </c>
      <c r="M292" s="406">
        <v>46241</v>
      </c>
      <c r="N292" s="355"/>
      <c r="O292" s="887" t="s">
        <v>88</v>
      </c>
      <c r="P292" s="369" t="s">
        <v>44</v>
      </c>
      <c r="Q292" s="348"/>
      <c r="R292" s="395" t="s">
        <v>2385</v>
      </c>
      <c r="S292" s="407">
        <v>62</v>
      </c>
      <c r="T292" s="407">
        <v>40</v>
      </c>
      <c r="U292" s="948">
        <v>58</v>
      </c>
      <c r="V292" s="407">
        <v>25</v>
      </c>
      <c r="W292" s="388">
        <f t="shared" si="53"/>
        <v>4</v>
      </c>
      <c r="X292" s="386">
        <f>W292*21</f>
        <v>84</v>
      </c>
      <c r="Y292" s="791">
        <f t="shared" si="51"/>
        <v>0.57999999999999996</v>
      </c>
      <c r="Z292" s="386">
        <v>7.32</v>
      </c>
      <c r="AA292" s="815">
        <f t="shared" si="52"/>
        <v>732</v>
      </c>
      <c r="AB292" s="724" t="s">
        <v>46</v>
      </c>
      <c r="AC292" s="355"/>
      <c r="AD292" s="891"/>
      <c r="AE292" s="375"/>
      <c r="AF292" s="375"/>
      <c r="AG292" s="329"/>
      <c r="AH292" s="375"/>
      <c r="AI292" s="329"/>
      <c r="AJ292" s="375"/>
      <c r="AK292" s="375"/>
      <c r="AL292" s="375"/>
      <c r="AM292" s="375"/>
      <c r="AN292" s="329"/>
      <c r="AO292" s="370"/>
      <c r="AP292" s="370"/>
      <c r="AQ292" s="370"/>
      <c r="AR292" s="375"/>
    </row>
    <row r="293" spans="1:44" s="104" customFormat="1" ht="23.25" customHeight="1">
      <c r="A293" s="490">
        <v>45771</v>
      </c>
      <c r="B293" s="447"/>
      <c r="C293" s="437" t="s">
        <v>2960</v>
      </c>
      <c r="D293" s="438"/>
      <c r="E293" s="399" t="s">
        <v>3004</v>
      </c>
      <c r="F293" s="824" t="s">
        <v>641</v>
      </c>
      <c r="G293" s="399">
        <v>25</v>
      </c>
      <c r="H293" s="812" t="s">
        <v>2928</v>
      </c>
      <c r="I293" s="886" t="s">
        <v>126</v>
      </c>
      <c r="J293" s="363" t="s">
        <v>2929</v>
      </c>
      <c r="K293" s="392" t="s">
        <v>642</v>
      </c>
      <c r="L293" s="399" t="s">
        <v>60</v>
      </c>
      <c r="M293" s="406">
        <v>46241</v>
      </c>
      <c r="N293" s="355"/>
      <c r="O293" s="893" t="s">
        <v>88</v>
      </c>
      <c r="P293" s="369"/>
      <c r="Q293" s="348"/>
      <c r="R293" s="395" t="s">
        <v>2385</v>
      </c>
      <c r="S293" s="543">
        <v>93</v>
      </c>
      <c r="T293" s="543">
        <v>66</v>
      </c>
      <c r="U293" s="543">
        <v>50</v>
      </c>
      <c r="V293" s="543">
        <v>25</v>
      </c>
      <c r="W293" s="388">
        <f t="shared" si="53"/>
        <v>1</v>
      </c>
      <c r="X293" s="386">
        <f>(1.4*V293+1.5)*W293</f>
        <v>36.5</v>
      </c>
      <c r="Y293" s="791">
        <f t="shared" si="51"/>
        <v>0.31</v>
      </c>
      <c r="Z293" s="377">
        <v>10.33</v>
      </c>
      <c r="AA293" s="815">
        <f t="shared" si="52"/>
        <v>258.25</v>
      </c>
      <c r="AB293" s="724" t="s">
        <v>46</v>
      </c>
      <c r="AC293" s="628"/>
      <c r="AD293" s="891"/>
      <c r="AE293" s="375"/>
      <c r="AF293" s="375"/>
      <c r="AG293" s="329"/>
      <c r="AH293" s="375"/>
      <c r="AI293" s="329"/>
      <c r="AJ293" s="375"/>
      <c r="AK293" s="375"/>
      <c r="AL293" s="375"/>
      <c r="AM293" s="375"/>
      <c r="AN293" s="329"/>
      <c r="AO293" s="370"/>
      <c r="AP293" s="370"/>
      <c r="AQ293" s="370"/>
      <c r="AR293" s="375"/>
    </row>
    <row r="294" spans="1:44" customFormat="1" ht="23.25" customHeight="1">
      <c r="A294" s="490">
        <v>45771</v>
      </c>
      <c r="B294" s="368"/>
      <c r="C294" s="437" t="s">
        <v>2961</v>
      </c>
      <c r="D294" s="354"/>
      <c r="E294" s="901"/>
      <c r="F294" s="824" t="s">
        <v>641</v>
      </c>
      <c r="G294" s="396">
        <v>100</v>
      </c>
      <c r="H294" s="730" t="s">
        <v>2930</v>
      </c>
      <c r="I294" s="886" t="s">
        <v>125</v>
      </c>
      <c r="J294" s="363" t="s">
        <v>2931</v>
      </c>
      <c r="K294" s="392" t="s">
        <v>642</v>
      </c>
      <c r="L294" s="767" t="s">
        <v>2821</v>
      </c>
      <c r="M294" s="406">
        <v>46241</v>
      </c>
      <c r="N294" s="355"/>
      <c r="O294" s="893" t="s">
        <v>88</v>
      </c>
      <c r="P294" s="395"/>
      <c r="Q294" s="425">
        <v>46151</v>
      </c>
      <c r="R294" s="395" t="s">
        <v>2385</v>
      </c>
      <c r="S294" s="401">
        <v>83</v>
      </c>
      <c r="T294" s="401">
        <v>56</v>
      </c>
      <c r="U294" s="401">
        <v>45</v>
      </c>
      <c r="V294" s="401">
        <v>25</v>
      </c>
      <c r="W294" s="888">
        <f t="shared" si="53"/>
        <v>4</v>
      </c>
      <c r="X294" s="806">
        <f>(1*V294+1.5)*W294</f>
        <v>106</v>
      </c>
      <c r="Y294" s="408">
        <f t="shared" si="51"/>
        <v>0.84</v>
      </c>
      <c r="Z294" s="377">
        <v>9.07</v>
      </c>
      <c r="AA294" s="815">
        <f t="shared" si="52"/>
        <v>907</v>
      </c>
      <c r="AB294" s="346" t="s">
        <v>46</v>
      </c>
      <c r="AC294" s="355"/>
      <c r="AD294" s="625"/>
      <c r="AE294" s="375"/>
      <c r="AF294" s="375"/>
      <c r="AG294" s="329"/>
      <c r="AH294" s="375"/>
      <c r="AI294" s="329"/>
      <c r="AJ294" s="375"/>
      <c r="AK294" s="375"/>
      <c r="AL294" s="375"/>
      <c r="AM294" s="375"/>
      <c r="AN294" s="329"/>
      <c r="AO294" s="370"/>
      <c r="AP294" s="370"/>
      <c r="AQ294" s="370"/>
      <c r="AR294" s="375"/>
    </row>
    <row r="295" spans="1:44" s="115" customFormat="1" ht="23.25" customHeight="1">
      <c r="A295" s="490">
        <v>45771</v>
      </c>
      <c r="B295" s="447"/>
      <c r="C295" s="437" t="s">
        <v>2962</v>
      </c>
      <c r="D295" s="438"/>
      <c r="E295" s="900"/>
      <c r="F295" s="824" t="s">
        <v>641</v>
      </c>
      <c r="G295" s="851">
        <v>150</v>
      </c>
      <c r="H295" s="670" t="s">
        <v>2932</v>
      </c>
      <c r="I295" s="886" t="s">
        <v>2922</v>
      </c>
      <c r="J295" s="363" t="s">
        <v>2931</v>
      </c>
      <c r="K295" s="392" t="s">
        <v>642</v>
      </c>
      <c r="L295" s="391" t="s">
        <v>2995</v>
      </c>
      <c r="M295" s="406">
        <v>46241</v>
      </c>
      <c r="N295" s="355"/>
      <c r="O295" s="887" t="s">
        <v>2352</v>
      </c>
      <c r="P295" s="369" t="s">
        <v>44</v>
      </c>
      <c r="Q295" s="425">
        <v>46126</v>
      </c>
      <c r="R295" s="395" t="s">
        <v>2385</v>
      </c>
      <c r="S295" s="543">
        <v>47</v>
      </c>
      <c r="T295" s="543">
        <v>43</v>
      </c>
      <c r="U295" s="543">
        <v>45</v>
      </c>
      <c r="V295" s="543">
        <v>25</v>
      </c>
      <c r="W295" s="388">
        <f t="shared" si="53"/>
        <v>6</v>
      </c>
      <c r="X295" s="386">
        <f>W295*17.5</f>
        <v>105</v>
      </c>
      <c r="Y295" s="791">
        <f t="shared" si="51"/>
        <v>0.55000000000000004</v>
      </c>
      <c r="Z295" s="377">
        <v>5.25</v>
      </c>
      <c r="AA295" s="815">
        <f t="shared" si="52"/>
        <v>787.5</v>
      </c>
      <c r="AB295" s="724" t="s">
        <v>46</v>
      </c>
      <c r="AC295" s="628"/>
      <c r="AD295" s="891"/>
      <c r="AE295" s="425">
        <v>46126</v>
      </c>
      <c r="AF295" s="446">
        <v>46157</v>
      </c>
      <c r="AG295" s="329"/>
      <c r="AH295" s="446">
        <v>46157</v>
      </c>
      <c r="AI295" s="329"/>
      <c r="AJ295" s="375"/>
      <c r="AK295" s="375"/>
      <c r="AL295" s="375"/>
      <c r="AM295" s="375"/>
      <c r="AN295" s="329"/>
      <c r="AO295" s="370"/>
      <c r="AP295" s="370"/>
      <c r="AQ295" s="370"/>
      <c r="AR295" s="375"/>
    </row>
    <row r="296" spans="1:44" customFormat="1" ht="27.75" customHeight="1">
      <c r="A296" s="731">
        <v>45784</v>
      </c>
      <c r="B296" s="662"/>
      <c r="C296" s="437" t="s">
        <v>2963</v>
      </c>
      <c r="D296" s="712"/>
      <c r="E296" s="901"/>
      <c r="F296" s="663" t="s">
        <v>641</v>
      </c>
      <c r="G296" s="662">
        <v>50</v>
      </c>
      <c r="H296" s="671" t="s">
        <v>2933</v>
      </c>
      <c r="I296" s="664" t="s">
        <v>2925</v>
      </c>
      <c r="J296" s="894" t="s">
        <v>2931</v>
      </c>
      <c r="K296" s="327" t="s">
        <v>642</v>
      </c>
      <c r="L296" s="393" t="s">
        <v>2821</v>
      </c>
      <c r="M296" s="406">
        <v>46241</v>
      </c>
      <c r="N296" s="355"/>
      <c r="O296" s="327" t="s">
        <v>88</v>
      </c>
      <c r="P296" s="327" t="s">
        <v>44</v>
      </c>
      <c r="Q296" s="348"/>
      <c r="R296" s="395" t="s">
        <v>2385</v>
      </c>
      <c r="S296" s="327">
        <v>60</v>
      </c>
      <c r="T296" s="327">
        <v>44</v>
      </c>
      <c r="U296" s="327">
        <v>50</v>
      </c>
      <c r="V296" s="327">
        <v>25</v>
      </c>
      <c r="W296" s="388">
        <f t="shared" si="53"/>
        <v>2</v>
      </c>
      <c r="X296" s="327">
        <f>22.5*W296</f>
        <v>45</v>
      </c>
      <c r="Y296" s="791">
        <f t="shared" si="51"/>
        <v>0.26</v>
      </c>
      <c r="Z296" s="512">
        <v>6.83</v>
      </c>
      <c r="AA296" s="815">
        <f t="shared" si="52"/>
        <v>341.5</v>
      </c>
      <c r="AB296" s="327" t="s">
        <v>46</v>
      </c>
      <c r="AC296" s="512"/>
      <c r="AD296" s="895"/>
      <c r="AE296" s="375"/>
      <c r="AF296" s="375"/>
      <c r="AG296" s="790"/>
      <c r="AH296" s="375"/>
      <c r="AI296" s="790"/>
      <c r="AJ296" s="375"/>
      <c r="AK296" s="375"/>
      <c r="AL296" s="375"/>
      <c r="AM296" s="375"/>
      <c r="AN296" s="790"/>
      <c r="AO296" s="896"/>
      <c r="AP296" s="896"/>
      <c r="AQ296" s="896"/>
      <c r="AR296" s="375"/>
    </row>
    <row r="297" spans="1:44" customFormat="1" ht="30" customHeight="1">
      <c r="A297" s="731">
        <v>45784</v>
      </c>
      <c r="B297" s="662"/>
      <c r="C297" s="437" t="s">
        <v>2964</v>
      </c>
      <c r="D297" s="712"/>
      <c r="E297" s="901"/>
      <c r="F297" s="663" t="s">
        <v>641</v>
      </c>
      <c r="G297" s="662">
        <v>100</v>
      </c>
      <c r="H297" s="671" t="s">
        <v>2934</v>
      </c>
      <c r="I297" s="664" t="s">
        <v>2292</v>
      </c>
      <c r="J297" s="894" t="s">
        <v>2931</v>
      </c>
      <c r="K297" s="327" t="s">
        <v>642</v>
      </c>
      <c r="L297" s="393" t="s">
        <v>2821</v>
      </c>
      <c r="M297" s="406">
        <v>46241</v>
      </c>
      <c r="N297" s="355"/>
      <c r="O297" s="327" t="s">
        <v>88</v>
      </c>
      <c r="P297" s="327" t="s">
        <v>44</v>
      </c>
      <c r="Q297" s="348"/>
      <c r="R297" s="395" t="s">
        <v>2385</v>
      </c>
      <c r="S297" s="327">
        <v>62</v>
      </c>
      <c r="T297" s="327">
        <v>40</v>
      </c>
      <c r="U297" s="327">
        <v>58</v>
      </c>
      <c r="V297" s="327">
        <v>25</v>
      </c>
      <c r="W297" s="388">
        <f t="shared" si="53"/>
        <v>4</v>
      </c>
      <c r="X297" s="327">
        <f>23.5*W297</f>
        <v>94</v>
      </c>
      <c r="Y297" s="791">
        <f t="shared" si="51"/>
        <v>0.57999999999999996</v>
      </c>
      <c r="Z297" s="512">
        <v>7.17</v>
      </c>
      <c r="AA297" s="815">
        <f t="shared" si="52"/>
        <v>717</v>
      </c>
      <c r="AB297" s="327" t="s">
        <v>46</v>
      </c>
      <c r="AC297" s="512"/>
      <c r="AD297" s="895"/>
      <c r="AE297" s="375"/>
      <c r="AF297" s="375"/>
      <c r="AG297" s="790"/>
      <c r="AH297" s="375"/>
      <c r="AI297" s="790"/>
      <c r="AJ297" s="375"/>
      <c r="AK297" s="375"/>
      <c r="AL297" s="375"/>
      <c r="AM297" s="375"/>
      <c r="AN297" s="790"/>
      <c r="AO297" s="896"/>
      <c r="AP297" s="896"/>
      <c r="AQ297" s="896"/>
      <c r="AR297" s="375"/>
    </row>
    <row r="298" spans="1:44" customFormat="1" ht="30" customHeight="1">
      <c r="A298" s="731">
        <v>45784</v>
      </c>
      <c r="B298" s="662"/>
      <c r="C298" s="437" t="s">
        <v>2965</v>
      </c>
      <c r="D298" s="661"/>
      <c r="E298" s="901"/>
      <c r="F298" s="663" t="s">
        <v>641</v>
      </c>
      <c r="G298" s="662">
        <v>50</v>
      </c>
      <c r="H298" s="671" t="s">
        <v>2935</v>
      </c>
      <c r="I298" s="664" t="s">
        <v>1436</v>
      </c>
      <c r="J298" s="894" t="s">
        <v>2931</v>
      </c>
      <c r="K298" s="327" t="s">
        <v>642</v>
      </c>
      <c r="L298" s="393" t="s">
        <v>2821</v>
      </c>
      <c r="M298" s="406">
        <v>46241</v>
      </c>
      <c r="N298" s="355"/>
      <c r="O298" s="327" t="s">
        <v>88</v>
      </c>
      <c r="P298" s="327" t="s">
        <v>44</v>
      </c>
      <c r="Q298" s="348"/>
      <c r="R298" s="395" t="s">
        <v>2385</v>
      </c>
      <c r="S298" s="327">
        <v>62</v>
      </c>
      <c r="T298" s="327">
        <v>40</v>
      </c>
      <c r="U298" s="948">
        <v>58</v>
      </c>
      <c r="V298" s="327">
        <v>25</v>
      </c>
      <c r="W298" s="388">
        <f t="shared" si="53"/>
        <v>2</v>
      </c>
      <c r="X298" s="327">
        <f>21*W298</f>
        <v>42</v>
      </c>
      <c r="Y298" s="791">
        <f t="shared" si="51"/>
        <v>0.28999999999999998</v>
      </c>
      <c r="Z298" s="327">
        <v>7.32</v>
      </c>
      <c r="AA298" s="815">
        <f t="shared" si="52"/>
        <v>366</v>
      </c>
      <c r="AB298" s="327" t="s">
        <v>46</v>
      </c>
      <c r="AC298" s="355"/>
      <c r="AD298" s="895"/>
      <c r="AE298" s="375"/>
      <c r="AF298" s="375"/>
      <c r="AG298" s="790"/>
      <c r="AH298" s="375"/>
      <c r="AI298" s="790"/>
      <c r="AJ298" s="375"/>
      <c r="AK298" s="375"/>
      <c r="AL298" s="375"/>
      <c r="AM298" s="375"/>
      <c r="AN298" s="790"/>
      <c r="AO298" s="896"/>
      <c r="AP298" s="896"/>
      <c r="AQ298" s="896"/>
      <c r="AR298" s="375"/>
    </row>
    <row r="299" spans="1:44" s="104" customFormat="1" ht="23.25" customHeight="1">
      <c r="A299" s="490">
        <v>45771</v>
      </c>
      <c r="B299" s="447"/>
      <c r="C299" s="437" t="s">
        <v>2966</v>
      </c>
      <c r="D299" s="438"/>
      <c r="E299" s="900" t="s">
        <v>3001</v>
      </c>
      <c r="F299" s="824" t="s">
        <v>641</v>
      </c>
      <c r="G299" s="363">
        <v>50</v>
      </c>
      <c r="H299" s="670" t="s">
        <v>2980</v>
      </c>
      <c r="I299" s="886" t="s">
        <v>2290</v>
      </c>
      <c r="J299" s="894" t="s">
        <v>2931</v>
      </c>
      <c r="K299" s="392" t="s">
        <v>642</v>
      </c>
      <c r="L299" s="393" t="s">
        <v>2504</v>
      </c>
      <c r="M299" s="406">
        <v>46241</v>
      </c>
      <c r="N299" s="355"/>
      <c r="O299" s="369" t="s">
        <v>2981</v>
      </c>
      <c r="P299" s="494"/>
      <c r="Q299" s="348"/>
      <c r="R299" s="395" t="s">
        <v>2385</v>
      </c>
      <c r="S299" s="543">
        <v>60</v>
      </c>
      <c r="T299" s="543">
        <v>40</v>
      </c>
      <c r="U299" s="543">
        <v>60</v>
      </c>
      <c r="V299" s="543">
        <v>15</v>
      </c>
      <c r="W299" s="413">
        <f>ROUND(G299/V299,2)</f>
        <v>3.33</v>
      </c>
      <c r="X299" s="698">
        <f>(0.8*V299+1.2)*W299</f>
        <v>43.955999999999996</v>
      </c>
      <c r="Y299" s="413">
        <f t="shared" si="51"/>
        <v>0.48</v>
      </c>
      <c r="Z299" s="897">
        <v>9.09</v>
      </c>
      <c r="AA299" s="815">
        <f t="shared" si="52"/>
        <v>454.5</v>
      </c>
      <c r="AB299" s="373" t="s">
        <v>46</v>
      </c>
      <c r="AC299" s="355"/>
      <c r="AD299" s="328"/>
      <c r="AE299" s="375"/>
      <c r="AF299" s="375"/>
      <c r="AG299" s="345"/>
      <c r="AH299" s="375"/>
      <c r="AI299" s="329"/>
      <c r="AJ299" s="375"/>
      <c r="AK299" s="375"/>
      <c r="AL299" s="375"/>
      <c r="AM299" s="375"/>
      <c r="AN299" s="329"/>
      <c r="AO299" s="329" t="s">
        <v>51</v>
      </c>
      <c r="AP299" s="329" t="s">
        <v>51</v>
      </c>
      <c r="AQ299" s="329" t="s">
        <v>51</v>
      </c>
      <c r="AR299" s="375"/>
    </row>
    <row r="300" spans="1:44" customFormat="1" ht="23.25" customHeight="1">
      <c r="A300" s="490">
        <v>45771</v>
      </c>
      <c r="B300" s="368"/>
      <c r="C300" s="437" t="s">
        <v>2967</v>
      </c>
      <c r="D300" s="354"/>
      <c r="E300" s="901"/>
      <c r="F300" s="824" t="s">
        <v>641</v>
      </c>
      <c r="G300" s="396">
        <v>250</v>
      </c>
      <c r="H300" s="730" t="s">
        <v>2936</v>
      </c>
      <c r="I300" s="886" t="s">
        <v>125</v>
      </c>
      <c r="J300" s="363" t="s">
        <v>2937</v>
      </c>
      <c r="K300" s="392" t="s">
        <v>642</v>
      </c>
      <c r="L300" s="767" t="s">
        <v>2821</v>
      </c>
      <c r="M300" s="406">
        <v>46241</v>
      </c>
      <c r="N300" s="355"/>
      <c r="O300" s="893" t="s">
        <v>88</v>
      </c>
      <c r="P300" s="395"/>
      <c r="Q300" s="348"/>
      <c r="R300" s="395" t="s">
        <v>2385</v>
      </c>
      <c r="S300" s="401">
        <v>83</v>
      </c>
      <c r="T300" s="401">
        <v>56</v>
      </c>
      <c r="U300" s="401">
        <v>45</v>
      </c>
      <c r="V300" s="401">
        <v>25</v>
      </c>
      <c r="W300" s="888">
        <f>G300/V300</f>
        <v>10</v>
      </c>
      <c r="X300" s="806">
        <f>(1*V300+1.5)*W300</f>
        <v>265</v>
      </c>
      <c r="Y300" s="408">
        <f t="shared" si="51"/>
        <v>2.09</v>
      </c>
      <c r="Z300" s="377">
        <v>9.07</v>
      </c>
      <c r="AA300" s="815">
        <f t="shared" si="52"/>
        <v>2267.5</v>
      </c>
      <c r="AB300" s="346" t="s">
        <v>46</v>
      </c>
      <c r="AC300" s="355"/>
      <c r="AD300" s="625"/>
      <c r="AE300" s="375"/>
      <c r="AF300" s="375"/>
      <c r="AG300" s="329"/>
      <c r="AH300" s="375"/>
      <c r="AI300" s="329"/>
      <c r="AJ300" s="375"/>
      <c r="AK300" s="375"/>
      <c r="AL300" s="375"/>
      <c r="AM300" s="375"/>
      <c r="AN300" s="329"/>
      <c r="AO300" s="370"/>
      <c r="AP300" s="370"/>
      <c r="AQ300" s="370"/>
      <c r="AR300" s="375"/>
    </row>
    <row r="301" spans="1:44" ht="21" customHeight="1">
      <c r="A301" s="490">
        <v>45771</v>
      </c>
      <c r="B301" s="447"/>
      <c r="C301" s="437" t="s">
        <v>2968</v>
      </c>
      <c r="D301" s="438"/>
      <c r="E301" s="901" t="s">
        <v>2938</v>
      </c>
      <c r="F301" s="824" t="s">
        <v>641</v>
      </c>
      <c r="G301" s="851">
        <v>800</v>
      </c>
      <c r="H301" s="670" t="s">
        <v>2939</v>
      </c>
      <c r="I301" s="886" t="s">
        <v>2916</v>
      </c>
      <c r="J301" s="363" t="s">
        <v>2937</v>
      </c>
      <c r="K301" s="392" t="s">
        <v>642</v>
      </c>
      <c r="L301" s="393" t="s">
        <v>2321</v>
      </c>
      <c r="M301" s="406">
        <v>46241</v>
      </c>
      <c r="N301" s="355"/>
      <c r="O301" s="887" t="s">
        <v>2917</v>
      </c>
      <c r="P301" s="369" t="s">
        <v>44</v>
      </c>
      <c r="Q301" s="348"/>
      <c r="R301" s="395" t="s">
        <v>2385</v>
      </c>
      <c r="S301" s="543">
        <v>35</v>
      </c>
      <c r="T301" s="543">
        <v>35</v>
      </c>
      <c r="U301" s="543">
        <v>15</v>
      </c>
      <c r="V301" s="543">
        <v>200</v>
      </c>
      <c r="W301" s="632">
        <f>ROUND(G301/V301,2)</f>
        <v>4</v>
      </c>
      <c r="X301" s="413">
        <f>11*W301</f>
        <v>44</v>
      </c>
      <c r="Y301" s="732">
        <f t="shared" si="51"/>
        <v>7.0000000000000007E-2</v>
      </c>
      <c r="Z301" s="898">
        <v>1.07</v>
      </c>
      <c r="AA301" s="815">
        <f t="shared" si="52"/>
        <v>856</v>
      </c>
      <c r="AB301" s="724" t="s">
        <v>46</v>
      </c>
      <c r="AC301" s="891"/>
      <c r="AD301" s="891"/>
      <c r="AE301" s="375"/>
      <c r="AF301" s="375"/>
      <c r="AG301" s="329"/>
      <c r="AH301" s="375"/>
      <c r="AI301" s="329"/>
      <c r="AJ301" s="375"/>
      <c r="AK301" s="375"/>
      <c r="AL301" s="375"/>
      <c r="AM301" s="375"/>
      <c r="AN301" s="370"/>
      <c r="AO301" s="370"/>
      <c r="AP301" s="370"/>
      <c r="AQ301" s="370"/>
      <c r="AR301" s="425" t="s">
        <v>2918</v>
      </c>
    </row>
    <row r="302" spans="1:44" s="115" customFormat="1" ht="27.75" customHeight="1">
      <c r="A302" s="416">
        <v>45489</v>
      </c>
      <c r="B302" s="483"/>
      <c r="C302" s="437" t="s">
        <v>2969</v>
      </c>
      <c r="D302" s="361"/>
      <c r="E302" s="900" t="s">
        <v>2979</v>
      </c>
      <c r="F302" s="824" t="s">
        <v>641</v>
      </c>
      <c r="G302" s="401">
        <v>500</v>
      </c>
      <c r="H302" s="670" t="s">
        <v>2982</v>
      </c>
      <c r="I302" s="886" t="s">
        <v>2290</v>
      </c>
      <c r="J302" s="363" t="s">
        <v>2937</v>
      </c>
      <c r="K302" s="392" t="s">
        <v>642</v>
      </c>
      <c r="L302" s="393" t="s">
        <v>2504</v>
      </c>
      <c r="M302" s="406">
        <v>46241</v>
      </c>
      <c r="N302" s="505"/>
      <c r="O302" s="369" t="s">
        <v>2981</v>
      </c>
      <c r="P302" s="494"/>
      <c r="Q302" s="348"/>
      <c r="R302" s="395" t="s">
        <v>2385</v>
      </c>
      <c r="S302" s="543">
        <v>60</v>
      </c>
      <c r="T302" s="543">
        <v>40</v>
      </c>
      <c r="U302" s="543">
        <v>60</v>
      </c>
      <c r="V302" s="543">
        <v>15</v>
      </c>
      <c r="W302" s="413">
        <f>ROUND(G302/V302,2)</f>
        <v>33.33</v>
      </c>
      <c r="X302" s="698">
        <f>(0.8*V302+1.2)*W302</f>
        <v>439.95599999999996</v>
      </c>
      <c r="Y302" s="413">
        <f t="shared" si="51"/>
        <v>4.8</v>
      </c>
      <c r="Z302" s="897">
        <v>9.09</v>
      </c>
      <c r="AA302" s="815">
        <f t="shared" si="52"/>
        <v>4545</v>
      </c>
      <c r="AB302" s="373" t="s">
        <v>46</v>
      </c>
      <c r="AC302" s="355"/>
      <c r="AD302" s="328"/>
      <c r="AE302" s="375"/>
      <c r="AF302" s="375"/>
      <c r="AG302" s="345"/>
      <c r="AH302" s="375"/>
      <c r="AI302" s="329"/>
      <c r="AJ302" s="375"/>
      <c r="AK302" s="375"/>
      <c r="AL302" s="375"/>
      <c r="AM302" s="375"/>
      <c r="AN302" s="329"/>
      <c r="AO302" s="329" t="s">
        <v>51</v>
      </c>
      <c r="AP302" s="329" t="s">
        <v>51</v>
      </c>
      <c r="AQ302" s="329" t="s">
        <v>51</v>
      </c>
      <c r="AR302" s="375"/>
    </row>
    <row r="303" spans="1:44" s="104" customFormat="1" ht="26.25" customHeight="1">
      <c r="A303" s="490">
        <v>45771</v>
      </c>
      <c r="B303" s="447"/>
      <c r="C303" s="437" t="s">
        <v>2970</v>
      </c>
      <c r="D303" s="438"/>
      <c r="E303" s="399" t="s">
        <v>3003</v>
      </c>
      <c r="F303" s="824" t="s">
        <v>641</v>
      </c>
      <c r="G303" s="399">
        <v>100</v>
      </c>
      <c r="H303" s="812" t="s">
        <v>2940</v>
      </c>
      <c r="I303" s="886" t="s">
        <v>2941</v>
      </c>
      <c r="J303" s="363" t="s">
        <v>2942</v>
      </c>
      <c r="K303" s="392" t="s">
        <v>642</v>
      </c>
      <c r="L303" s="399" t="s">
        <v>60</v>
      </c>
      <c r="M303" s="406">
        <v>46241</v>
      </c>
      <c r="N303" s="355"/>
      <c r="O303" s="893" t="s">
        <v>1832</v>
      </c>
      <c r="P303" s="369"/>
      <c r="Q303" s="348"/>
      <c r="R303" s="395" t="s">
        <v>2385</v>
      </c>
      <c r="S303" s="543">
        <v>44</v>
      </c>
      <c r="T303" s="543">
        <v>44</v>
      </c>
      <c r="U303" s="543">
        <v>60</v>
      </c>
      <c r="V303" s="407">
        <v>20</v>
      </c>
      <c r="W303" s="388">
        <f t="shared" ref="W303:W309" si="54">G303/V303</f>
        <v>5</v>
      </c>
      <c r="X303" s="386">
        <f>(1.4*V303+1.5)*W303</f>
        <v>147.5</v>
      </c>
      <c r="Y303" s="791">
        <f t="shared" si="51"/>
        <v>0.57999999999999996</v>
      </c>
      <c r="Z303" s="377">
        <v>8.99</v>
      </c>
      <c r="AA303" s="815">
        <f t="shared" si="52"/>
        <v>899</v>
      </c>
      <c r="AB303" s="724" t="s">
        <v>46</v>
      </c>
      <c r="AC303" s="628"/>
      <c r="AD303" s="891"/>
      <c r="AE303" s="375"/>
      <c r="AF303" s="375"/>
      <c r="AG303" s="329"/>
      <c r="AH303" s="375"/>
      <c r="AI303" s="329"/>
      <c r="AJ303" s="375"/>
      <c r="AK303" s="375"/>
      <c r="AL303" s="375"/>
      <c r="AM303" s="375"/>
      <c r="AN303" s="329"/>
      <c r="AO303" s="370"/>
      <c r="AP303" s="370"/>
      <c r="AQ303" s="370"/>
      <c r="AR303" s="375"/>
    </row>
    <row r="304" spans="1:44" s="115" customFormat="1" ht="27.75" customHeight="1">
      <c r="A304" s="490">
        <v>45405</v>
      </c>
      <c r="B304" s="447"/>
      <c r="C304" s="437" t="s">
        <v>2971</v>
      </c>
      <c r="D304" s="438"/>
      <c r="E304" s="899" t="s">
        <v>2943</v>
      </c>
      <c r="F304" s="824" t="s">
        <v>641</v>
      </c>
      <c r="G304" s="851">
        <v>150</v>
      </c>
      <c r="H304" s="631" t="s">
        <v>2944</v>
      </c>
      <c r="I304" s="886" t="s">
        <v>2922</v>
      </c>
      <c r="J304" s="363" t="s">
        <v>2945</v>
      </c>
      <c r="K304" s="365" t="s">
        <v>642</v>
      </c>
      <c r="L304" s="391" t="s">
        <v>2995</v>
      </c>
      <c r="M304" s="406">
        <v>46241</v>
      </c>
      <c r="N304" s="355"/>
      <c r="O304" s="887" t="s">
        <v>2352</v>
      </c>
      <c r="P304" s="369" t="s">
        <v>44</v>
      </c>
      <c r="Q304" s="425">
        <v>46126</v>
      </c>
      <c r="R304" s="395" t="s">
        <v>2385</v>
      </c>
      <c r="S304" s="407">
        <v>47</v>
      </c>
      <c r="T304" s="407">
        <v>43</v>
      </c>
      <c r="U304" s="407">
        <v>45</v>
      </c>
      <c r="V304" s="407">
        <v>25</v>
      </c>
      <c r="W304" s="388">
        <f t="shared" si="54"/>
        <v>6</v>
      </c>
      <c r="X304" s="386">
        <f>W304*17.5</f>
        <v>105</v>
      </c>
      <c r="Y304" s="791">
        <f t="shared" si="51"/>
        <v>0.55000000000000004</v>
      </c>
      <c r="Z304" s="377">
        <v>5.25</v>
      </c>
      <c r="AA304" s="815">
        <f t="shared" si="52"/>
        <v>787.5</v>
      </c>
      <c r="AB304" s="724" t="s">
        <v>46</v>
      </c>
      <c r="AC304" s="628"/>
      <c r="AD304" s="891"/>
      <c r="AE304" s="425">
        <v>46126</v>
      </c>
      <c r="AF304" s="446">
        <v>46157</v>
      </c>
      <c r="AG304" s="329"/>
      <c r="AH304" s="446">
        <v>46157</v>
      </c>
      <c r="AI304" s="329"/>
      <c r="AJ304" s="375"/>
      <c r="AK304" s="375"/>
      <c r="AL304" s="375"/>
      <c r="AM304" s="375"/>
      <c r="AN304" s="329"/>
      <c r="AO304" s="370"/>
      <c r="AP304" s="370"/>
      <c r="AQ304" s="370"/>
      <c r="AR304" s="375"/>
    </row>
    <row r="305" spans="1:44" s="115" customFormat="1" ht="27.75" customHeight="1">
      <c r="A305" s="490">
        <v>45405</v>
      </c>
      <c r="B305" s="447"/>
      <c r="C305" s="437" t="s">
        <v>2972</v>
      </c>
      <c r="D305" s="438"/>
      <c r="E305" s="363" t="s">
        <v>2946</v>
      </c>
      <c r="F305" s="824" t="s">
        <v>641</v>
      </c>
      <c r="G305" s="851">
        <v>75</v>
      </c>
      <c r="H305" s="631" t="s">
        <v>2947</v>
      </c>
      <c r="I305" s="886" t="s">
        <v>2925</v>
      </c>
      <c r="J305" s="363" t="s">
        <v>2945</v>
      </c>
      <c r="K305" s="365" t="s">
        <v>642</v>
      </c>
      <c r="L305" s="393" t="s">
        <v>2821</v>
      </c>
      <c r="M305" s="406">
        <v>46241</v>
      </c>
      <c r="N305" s="355"/>
      <c r="O305" s="887" t="s">
        <v>88</v>
      </c>
      <c r="P305" s="369" t="s">
        <v>44</v>
      </c>
      <c r="Q305" s="348"/>
      <c r="R305" s="395" t="s">
        <v>2385</v>
      </c>
      <c r="S305" s="407">
        <v>60</v>
      </c>
      <c r="T305" s="407">
        <v>44</v>
      </c>
      <c r="U305" s="407">
        <v>50</v>
      </c>
      <c r="V305" s="407">
        <v>25</v>
      </c>
      <c r="W305" s="388">
        <f t="shared" si="54"/>
        <v>3</v>
      </c>
      <c r="X305" s="386">
        <f>W305*22.5</f>
        <v>67.5</v>
      </c>
      <c r="Y305" s="791">
        <f t="shared" si="51"/>
        <v>0.4</v>
      </c>
      <c r="Z305" s="377">
        <v>6.83</v>
      </c>
      <c r="AA305" s="815">
        <f t="shared" si="52"/>
        <v>512.25</v>
      </c>
      <c r="AB305" s="724" t="s">
        <v>46</v>
      </c>
      <c r="AC305" s="628"/>
      <c r="AD305" s="891"/>
      <c r="AE305" s="375"/>
      <c r="AF305" s="375"/>
      <c r="AG305" s="329"/>
      <c r="AH305" s="375"/>
      <c r="AI305" s="329"/>
      <c r="AJ305" s="375"/>
      <c r="AK305" s="375"/>
      <c r="AL305" s="375"/>
      <c r="AM305" s="375"/>
      <c r="AN305" s="329"/>
      <c r="AO305" s="370"/>
      <c r="AP305" s="370"/>
      <c r="AQ305" s="370"/>
      <c r="AR305" s="375"/>
    </row>
    <row r="306" spans="1:44" s="115" customFormat="1" ht="27.75" customHeight="1">
      <c r="A306" s="490">
        <v>45405</v>
      </c>
      <c r="B306" s="447"/>
      <c r="C306" s="437" t="s">
        <v>2973</v>
      </c>
      <c r="D306" s="438"/>
      <c r="E306" s="363" t="s">
        <v>2946</v>
      </c>
      <c r="F306" s="824" t="s">
        <v>641</v>
      </c>
      <c r="G306" s="851">
        <v>75</v>
      </c>
      <c r="H306" s="631" t="s">
        <v>2948</v>
      </c>
      <c r="I306" s="886" t="s">
        <v>2292</v>
      </c>
      <c r="J306" s="363" t="s">
        <v>2945</v>
      </c>
      <c r="K306" s="365" t="s">
        <v>642</v>
      </c>
      <c r="L306" s="393" t="s">
        <v>2821</v>
      </c>
      <c r="M306" s="406">
        <v>46241</v>
      </c>
      <c r="N306" s="355"/>
      <c r="O306" s="887" t="s">
        <v>88</v>
      </c>
      <c r="P306" s="369" t="s">
        <v>44</v>
      </c>
      <c r="Q306" s="348"/>
      <c r="R306" s="395" t="s">
        <v>2385</v>
      </c>
      <c r="S306" s="407">
        <v>62</v>
      </c>
      <c r="T306" s="407">
        <v>40</v>
      </c>
      <c r="U306" s="407">
        <v>58</v>
      </c>
      <c r="V306" s="407">
        <v>25</v>
      </c>
      <c r="W306" s="388">
        <f t="shared" si="54"/>
        <v>3</v>
      </c>
      <c r="X306" s="386">
        <f>W306*20.85</f>
        <v>62.550000000000004</v>
      </c>
      <c r="Y306" s="791">
        <f t="shared" si="51"/>
        <v>0.43</v>
      </c>
      <c r="Z306" s="377">
        <v>7.17</v>
      </c>
      <c r="AA306" s="815">
        <f t="shared" si="52"/>
        <v>537.75</v>
      </c>
      <c r="AB306" s="724" t="s">
        <v>46</v>
      </c>
      <c r="AC306" s="628"/>
      <c r="AD306" s="891"/>
      <c r="AE306" s="375"/>
      <c r="AF306" s="375"/>
      <c r="AG306" s="329"/>
      <c r="AH306" s="375"/>
      <c r="AI306" s="329"/>
      <c r="AJ306" s="375"/>
      <c r="AK306" s="375"/>
      <c r="AL306" s="375"/>
      <c r="AM306" s="375"/>
      <c r="AN306" s="329"/>
      <c r="AO306" s="370"/>
      <c r="AP306" s="370"/>
      <c r="AQ306" s="370"/>
      <c r="AR306" s="375"/>
    </row>
    <row r="307" spans="1:44" customFormat="1" ht="25.5">
      <c r="A307" s="490">
        <v>45771</v>
      </c>
      <c r="B307" s="368"/>
      <c r="C307" s="437" t="s">
        <v>2974</v>
      </c>
      <c r="D307" s="354"/>
      <c r="E307" s="353"/>
      <c r="F307" s="824" t="s">
        <v>641</v>
      </c>
      <c r="G307" s="396">
        <v>50</v>
      </c>
      <c r="H307" s="730" t="s">
        <v>2949</v>
      </c>
      <c r="I307" s="886" t="s">
        <v>125</v>
      </c>
      <c r="J307" s="363" t="s">
        <v>2950</v>
      </c>
      <c r="K307" s="392" t="s">
        <v>642</v>
      </c>
      <c r="L307" s="767" t="s">
        <v>2821</v>
      </c>
      <c r="M307" s="406">
        <v>46241</v>
      </c>
      <c r="N307" s="355"/>
      <c r="O307" s="893" t="s">
        <v>88</v>
      </c>
      <c r="P307" s="395"/>
      <c r="Q307" s="348"/>
      <c r="R307" s="395" t="s">
        <v>2385</v>
      </c>
      <c r="S307" s="401">
        <v>83</v>
      </c>
      <c r="T307" s="401">
        <v>56</v>
      </c>
      <c r="U307" s="401">
        <v>45</v>
      </c>
      <c r="V307" s="401">
        <v>25</v>
      </c>
      <c r="W307" s="888">
        <f t="shared" si="54"/>
        <v>2</v>
      </c>
      <c r="X307" s="806">
        <f>(1*V307+1.5)*W307</f>
        <v>53</v>
      </c>
      <c r="Y307" s="408">
        <f t="shared" si="51"/>
        <v>0.42</v>
      </c>
      <c r="Z307" s="377">
        <v>9.07</v>
      </c>
      <c r="AA307" s="815">
        <f t="shared" si="52"/>
        <v>453.5</v>
      </c>
      <c r="AB307" s="346" t="s">
        <v>46</v>
      </c>
      <c r="AC307" s="355"/>
      <c r="AD307" s="625"/>
      <c r="AE307" s="375"/>
      <c r="AF307" s="375"/>
      <c r="AG307" s="329"/>
      <c r="AH307" s="375"/>
      <c r="AI307" s="329"/>
      <c r="AJ307" s="375"/>
      <c r="AK307" s="375"/>
      <c r="AL307" s="375"/>
      <c r="AM307" s="375"/>
      <c r="AN307" s="329"/>
      <c r="AO307" s="370"/>
      <c r="AP307" s="370"/>
      <c r="AQ307" s="370"/>
      <c r="AR307" s="375"/>
    </row>
    <row r="308" spans="1:44" ht="25.5" customHeight="1">
      <c r="A308" s="490">
        <v>45771</v>
      </c>
      <c r="B308" s="447"/>
      <c r="C308" s="437" t="s">
        <v>2975</v>
      </c>
      <c r="D308" s="438"/>
      <c r="E308" s="353"/>
      <c r="F308" s="824" t="s">
        <v>641</v>
      </c>
      <c r="G308" s="912">
        <v>50</v>
      </c>
      <c r="H308" s="812" t="s">
        <v>2951</v>
      </c>
      <c r="I308" s="886" t="s">
        <v>2952</v>
      </c>
      <c r="J308" s="363" t="s">
        <v>2950</v>
      </c>
      <c r="K308" s="392" t="s">
        <v>642</v>
      </c>
      <c r="L308" s="399" t="s">
        <v>60</v>
      </c>
      <c r="M308" s="406">
        <v>46241</v>
      </c>
      <c r="N308" s="355"/>
      <c r="O308" s="887" t="s">
        <v>88</v>
      </c>
      <c r="P308" s="369" t="s">
        <v>44</v>
      </c>
      <c r="Q308" s="348"/>
      <c r="R308" s="395" t="s">
        <v>2385</v>
      </c>
      <c r="S308" s="543">
        <v>50</v>
      </c>
      <c r="T308" s="543">
        <v>45</v>
      </c>
      <c r="U308" s="543">
        <v>45</v>
      </c>
      <c r="V308" s="543">
        <v>25</v>
      </c>
      <c r="W308" s="388">
        <f t="shared" si="54"/>
        <v>2</v>
      </c>
      <c r="X308" s="386">
        <f>(0.7*V308+1.5)*W308</f>
        <v>38</v>
      </c>
      <c r="Y308" s="791">
        <f t="shared" si="51"/>
        <v>0.2</v>
      </c>
      <c r="Z308" s="889">
        <v>6.06</v>
      </c>
      <c r="AA308" s="815">
        <f t="shared" si="52"/>
        <v>303</v>
      </c>
      <c r="AB308" s="724" t="s">
        <v>46</v>
      </c>
      <c r="AC308" s="362"/>
      <c r="AD308" s="891"/>
      <c r="AE308" s="375"/>
      <c r="AF308" s="375"/>
      <c r="AG308" s="329"/>
      <c r="AH308" s="375"/>
      <c r="AI308" s="329"/>
      <c r="AJ308" s="375"/>
      <c r="AK308" s="375"/>
      <c r="AL308" s="375"/>
      <c r="AM308" s="375"/>
      <c r="AN308" s="370"/>
      <c r="AO308" s="370"/>
      <c r="AP308" s="370"/>
      <c r="AQ308" s="370"/>
      <c r="AR308" s="375"/>
    </row>
    <row r="309" spans="1:44" s="115" customFormat="1" ht="21" customHeight="1">
      <c r="A309" s="490">
        <v>46125</v>
      </c>
      <c r="B309" s="447"/>
      <c r="C309" s="437" t="s">
        <v>3020</v>
      </c>
      <c r="D309" s="438"/>
      <c r="E309" s="353" t="s">
        <v>3018</v>
      </c>
      <c r="F309" s="824" t="s">
        <v>641</v>
      </c>
      <c r="G309" s="851">
        <v>120</v>
      </c>
      <c r="H309" s="387" t="s">
        <v>3017</v>
      </c>
      <c r="I309" s="886" t="s">
        <v>2290</v>
      </c>
      <c r="J309" s="363" t="s">
        <v>3016</v>
      </c>
      <c r="K309" s="392" t="s">
        <v>642</v>
      </c>
      <c r="L309" s="393" t="s">
        <v>2504</v>
      </c>
      <c r="M309" s="406">
        <v>46241</v>
      </c>
      <c r="N309" s="355"/>
      <c r="O309" s="887" t="s">
        <v>2981</v>
      </c>
      <c r="P309" s="369"/>
      <c r="Q309" s="348"/>
      <c r="R309" s="784" t="s">
        <v>2385</v>
      </c>
      <c r="S309" s="543">
        <v>60</v>
      </c>
      <c r="T309" s="543">
        <v>40</v>
      </c>
      <c r="U309" s="543">
        <v>60</v>
      </c>
      <c r="V309" s="543">
        <v>15</v>
      </c>
      <c r="W309" s="388">
        <f t="shared" si="54"/>
        <v>8</v>
      </c>
      <c r="X309" s="386">
        <f>(1.4*V309+1.5)*W309</f>
        <v>180</v>
      </c>
      <c r="Y309" s="791">
        <f t="shared" si="51"/>
        <v>1.1499999999999999</v>
      </c>
      <c r="Z309" s="698">
        <v>9.09</v>
      </c>
      <c r="AA309" s="815">
        <f t="shared" si="52"/>
        <v>1090.8</v>
      </c>
      <c r="AB309" s="724" t="s">
        <v>46</v>
      </c>
      <c r="AC309" s="628"/>
      <c r="AD309" s="891"/>
      <c r="AE309" s="375"/>
      <c r="AF309" s="375"/>
      <c r="AG309" s="329"/>
      <c r="AH309" s="375"/>
      <c r="AI309" s="329"/>
      <c r="AJ309" s="375"/>
      <c r="AK309" s="375"/>
      <c r="AL309" s="375"/>
      <c r="AM309" s="375"/>
      <c r="AN309" s="329"/>
      <c r="AO309" s="370"/>
      <c r="AP309" s="370"/>
      <c r="AQ309" s="370"/>
      <c r="AR309" s="375"/>
    </row>
    <row r="310" spans="1:44" s="115" customFormat="1" ht="21" customHeight="1">
      <c r="A310" s="490">
        <v>46161</v>
      </c>
      <c r="B310" s="447"/>
      <c r="C310" s="348" t="s">
        <v>3456</v>
      </c>
      <c r="D310" s="438"/>
      <c r="E310" s="353" t="s">
        <v>3453</v>
      </c>
      <c r="F310" s="824" t="s">
        <v>641</v>
      </c>
      <c r="G310" s="851">
        <v>350</v>
      </c>
      <c r="H310" s="387" t="s">
        <v>3454</v>
      </c>
      <c r="I310" s="886" t="s">
        <v>2922</v>
      </c>
      <c r="J310" s="1051"/>
      <c r="K310" s="392" t="s">
        <v>642</v>
      </c>
      <c r="L310" s="1052"/>
      <c r="M310" s="406">
        <v>46241</v>
      </c>
      <c r="N310" s="355"/>
      <c r="O310" s="887" t="s">
        <v>2352</v>
      </c>
      <c r="P310" s="369" t="s">
        <v>44</v>
      </c>
      <c r="Q310" s="348"/>
      <c r="R310" s="763" t="s">
        <v>2385</v>
      </c>
      <c r="S310" s="543">
        <v>47</v>
      </c>
      <c r="T310" s="543">
        <v>43</v>
      </c>
      <c r="U310" s="543">
        <v>45</v>
      </c>
      <c r="V310" s="543">
        <v>25</v>
      </c>
      <c r="W310" s="388">
        <f>G310/V310</f>
        <v>14</v>
      </c>
      <c r="X310" s="386">
        <f>W310*17.5</f>
        <v>245</v>
      </c>
      <c r="Y310" s="791">
        <f>ROUND((S310*T310*U310)*0.000001*W310,2)</f>
        <v>1.27</v>
      </c>
      <c r="Z310" s="377">
        <v>5.25</v>
      </c>
      <c r="AA310" s="815">
        <f>Z310*G310</f>
        <v>1837.5</v>
      </c>
      <c r="AB310" s="724" t="s">
        <v>46</v>
      </c>
      <c r="AC310" s="628"/>
      <c r="AD310" s="891"/>
      <c r="AE310" s="375"/>
      <c r="AF310" s="375"/>
      <c r="AG310" s="329"/>
      <c r="AH310" s="375"/>
      <c r="AI310" s="329"/>
      <c r="AJ310" s="375"/>
      <c r="AK310" s="375"/>
      <c r="AL310" s="375"/>
      <c r="AM310" s="375"/>
      <c r="AN310" s="329"/>
      <c r="AO310" s="370"/>
      <c r="AP310" s="370"/>
      <c r="AQ310" s="370"/>
      <c r="AR310" s="375"/>
    </row>
    <row r="311" spans="1:44" s="115" customFormat="1" ht="21" customHeight="1">
      <c r="A311" s="490">
        <v>46161</v>
      </c>
      <c r="B311" s="447"/>
      <c r="C311" s="348" t="s">
        <v>3457</v>
      </c>
      <c r="D311" s="438"/>
      <c r="E311" s="353" t="s">
        <v>3453</v>
      </c>
      <c r="F311" s="824" t="s">
        <v>641</v>
      </c>
      <c r="G311" s="851">
        <v>200</v>
      </c>
      <c r="H311" s="387" t="s">
        <v>3452</v>
      </c>
      <c r="I311" s="886" t="s">
        <v>2292</v>
      </c>
      <c r="J311" s="1051"/>
      <c r="K311" s="392" t="s">
        <v>642</v>
      </c>
      <c r="L311" s="551"/>
      <c r="M311" s="406">
        <v>46241</v>
      </c>
      <c r="N311" s="355"/>
      <c r="O311" s="887" t="s">
        <v>88</v>
      </c>
      <c r="P311" s="369" t="s">
        <v>44</v>
      </c>
      <c r="Q311" s="348"/>
      <c r="R311" s="763" t="s">
        <v>2385</v>
      </c>
      <c r="S311" s="407">
        <v>62</v>
      </c>
      <c r="T311" s="407">
        <v>40</v>
      </c>
      <c r="U311" s="407">
        <v>58</v>
      </c>
      <c r="V311" s="407">
        <v>25</v>
      </c>
      <c r="W311" s="388">
        <f>G311/V311</f>
        <v>8</v>
      </c>
      <c r="X311" s="386">
        <f>W311*20.85</f>
        <v>166.8</v>
      </c>
      <c r="Y311" s="791">
        <f>ROUND((S311*T311*U311)*0.000001*W311,2)</f>
        <v>1.1499999999999999</v>
      </c>
      <c r="Z311" s="377">
        <v>7.17</v>
      </c>
      <c r="AA311" s="815">
        <f>Z311*G311</f>
        <v>1434</v>
      </c>
      <c r="AB311" s="724" t="s">
        <v>46</v>
      </c>
      <c r="AC311" s="628"/>
      <c r="AD311" s="891"/>
      <c r="AE311" s="375"/>
      <c r="AF311" s="375"/>
      <c r="AG311" s="329"/>
      <c r="AH311" s="375"/>
      <c r="AI311" s="329"/>
      <c r="AJ311" s="375"/>
      <c r="AK311" s="375"/>
      <c r="AL311" s="375"/>
      <c r="AM311" s="375"/>
      <c r="AN311" s="329"/>
      <c r="AO311" s="370"/>
      <c r="AP311" s="370"/>
      <c r="AQ311" s="370"/>
      <c r="AR311" s="375"/>
    </row>
    <row r="312" spans="1:44" s="115" customFormat="1" ht="21" customHeight="1">
      <c r="A312" s="490">
        <v>46161</v>
      </c>
      <c r="B312" s="483"/>
      <c r="C312" s="348" t="s">
        <v>3458</v>
      </c>
      <c r="D312" s="361"/>
      <c r="E312" s="399" t="s">
        <v>3451</v>
      </c>
      <c r="F312" s="663" t="s">
        <v>641</v>
      </c>
      <c r="G312" s="401">
        <v>100</v>
      </c>
      <c r="H312" s="363" t="s">
        <v>3450</v>
      </c>
      <c r="I312" s="363" t="s">
        <v>3449</v>
      </c>
      <c r="J312" s="1051"/>
      <c r="K312" s="392" t="s">
        <v>642</v>
      </c>
      <c r="L312" s="1051"/>
      <c r="M312" s="406">
        <v>46241</v>
      </c>
      <c r="N312" s="505"/>
      <c r="O312" s="369" t="s">
        <v>602</v>
      </c>
      <c r="P312" s="494"/>
      <c r="Q312" s="348"/>
      <c r="R312" s="763" t="s">
        <v>2385</v>
      </c>
      <c r="S312" s="825">
        <v>60</v>
      </c>
      <c r="T312" s="825">
        <v>41</v>
      </c>
      <c r="U312" s="825">
        <v>70</v>
      </c>
      <c r="V312" s="1050">
        <v>10</v>
      </c>
      <c r="W312" s="413">
        <f>ROUND(G312/V312,2)</f>
        <v>10</v>
      </c>
      <c r="X312" s="698">
        <f>(0.8*V312+1.2)*W312</f>
        <v>92</v>
      </c>
      <c r="Y312" s="413">
        <f>ROUND((S312*T312*U312)*0.000001*W312,2)</f>
        <v>1.72</v>
      </c>
      <c r="Z312" s="376">
        <v>14.5</v>
      </c>
      <c r="AA312" s="410">
        <f>Z312*G312</f>
        <v>1450</v>
      </c>
      <c r="AB312" s="373" t="s">
        <v>46</v>
      </c>
      <c r="AC312" s="355"/>
      <c r="AD312" s="328"/>
      <c r="AE312" s="375"/>
      <c r="AF312" s="375"/>
      <c r="AG312" s="345"/>
      <c r="AH312" s="375"/>
      <c r="AI312" s="329"/>
      <c r="AJ312" s="375"/>
      <c r="AK312" s="375"/>
      <c r="AL312" s="375"/>
      <c r="AM312" s="375"/>
      <c r="AN312" s="329"/>
      <c r="AO312" s="329" t="s">
        <v>51</v>
      </c>
      <c r="AP312" s="329" t="s">
        <v>51</v>
      </c>
      <c r="AQ312" s="329" t="s">
        <v>51</v>
      </c>
      <c r="AR312" s="1049" t="s">
        <v>3448</v>
      </c>
    </row>
    <row r="313" spans="1:44" ht="21" customHeight="1">
      <c r="A313" s="490">
        <v>46161</v>
      </c>
      <c r="B313" s="447"/>
      <c r="C313" s="348" t="s">
        <v>3459</v>
      </c>
      <c r="D313" s="438"/>
      <c r="E313" s="363"/>
      <c r="F313" s="824" t="s">
        <v>641</v>
      </c>
      <c r="G313" s="851">
        <v>50</v>
      </c>
      <c r="H313" s="387" t="s">
        <v>3447</v>
      </c>
      <c r="I313" s="886" t="s">
        <v>2952</v>
      </c>
      <c r="J313" s="363" t="s">
        <v>2931</v>
      </c>
      <c r="K313" s="392" t="s">
        <v>642</v>
      </c>
      <c r="L313" s="551"/>
      <c r="M313" s="406">
        <v>46241</v>
      </c>
      <c r="N313" s="355"/>
      <c r="O313" s="887" t="s">
        <v>88</v>
      </c>
      <c r="P313" s="369" t="s">
        <v>44</v>
      </c>
      <c r="Q313" s="348"/>
      <c r="R313" s="763" t="s">
        <v>2385</v>
      </c>
      <c r="S313" s="543">
        <v>50</v>
      </c>
      <c r="T313" s="543">
        <v>45</v>
      </c>
      <c r="U313" s="543">
        <v>45</v>
      </c>
      <c r="V313" s="543">
        <v>25</v>
      </c>
      <c r="W313" s="388">
        <f>G313/V313</f>
        <v>2</v>
      </c>
      <c r="X313" s="386">
        <f>(0.7*V313+1.5)*W313</f>
        <v>38</v>
      </c>
      <c r="Y313" s="791">
        <f>ROUND((S313*T313*U313)*0.000001*W313,2)</f>
        <v>0.2</v>
      </c>
      <c r="Z313" s="889">
        <v>6.06</v>
      </c>
      <c r="AA313" s="815">
        <f>Z313*G313</f>
        <v>303</v>
      </c>
      <c r="AB313" s="724" t="s">
        <v>46</v>
      </c>
      <c r="AC313" s="362"/>
      <c r="AD313" s="891"/>
      <c r="AE313" s="375"/>
      <c r="AF313" s="375"/>
      <c r="AG313" s="329"/>
      <c r="AH313" s="375"/>
      <c r="AI313" s="329"/>
      <c r="AJ313" s="375"/>
      <c r="AK313" s="375"/>
      <c r="AL313" s="375"/>
      <c r="AM313" s="375"/>
      <c r="AN313" s="370"/>
      <c r="AO313" s="370"/>
      <c r="AP313" s="370"/>
      <c r="AQ313" s="370"/>
      <c r="AR313" s="375"/>
    </row>
    <row r="314" spans="1:44" ht="21" customHeight="1">
      <c r="A314" s="490">
        <v>46161</v>
      </c>
      <c r="B314" s="447"/>
      <c r="C314" s="348" t="s">
        <v>3460</v>
      </c>
      <c r="D314" s="438"/>
      <c r="E314" s="353" t="s">
        <v>3446</v>
      </c>
      <c r="F314" s="824" t="s">
        <v>641</v>
      </c>
      <c r="G314" s="851">
        <v>100</v>
      </c>
      <c r="H314" s="387" t="s">
        <v>3445</v>
      </c>
      <c r="I314" s="886" t="s">
        <v>2916</v>
      </c>
      <c r="J314" s="363" t="s">
        <v>2931</v>
      </c>
      <c r="K314" s="392" t="s">
        <v>642</v>
      </c>
      <c r="L314" s="551"/>
      <c r="M314" s="406">
        <v>46241</v>
      </c>
      <c r="N314" s="355"/>
      <c r="O314" s="887" t="s">
        <v>2917</v>
      </c>
      <c r="P314" s="369" t="s">
        <v>44</v>
      </c>
      <c r="Q314" s="348"/>
      <c r="R314" s="763" t="s">
        <v>2385</v>
      </c>
      <c r="S314" s="543">
        <v>35</v>
      </c>
      <c r="T314" s="543">
        <v>35</v>
      </c>
      <c r="U314" s="543">
        <v>15</v>
      </c>
      <c r="V314" s="543">
        <v>100</v>
      </c>
      <c r="W314" s="632">
        <f>ROUND(G314/V314,2)</f>
        <v>1</v>
      </c>
      <c r="X314" s="413">
        <f>11*W314</f>
        <v>11</v>
      </c>
      <c r="Y314" s="791">
        <f>ROUND((S314*T314*U314)*0.000001*W314,2)</f>
        <v>0.02</v>
      </c>
      <c r="Z314" s="889">
        <v>1.07</v>
      </c>
      <c r="AA314" s="815">
        <f>Z314*G314</f>
        <v>107</v>
      </c>
      <c r="AB314" s="724" t="s">
        <v>46</v>
      </c>
      <c r="AC314" s="891"/>
      <c r="AD314" s="891"/>
      <c r="AE314" s="375"/>
      <c r="AF314" s="375"/>
      <c r="AG314" s="329"/>
      <c r="AH314" s="375"/>
      <c r="AI314" s="329"/>
      <c r="AJ314" s="375"/>
      <c r="AK314" s="375"/>
      <c r="AL314" s="375"/>
      <c r="AM314" s="375"/>
      <c r="AN314" s="370"/>
      <c r="AO314" s="370"/>
      <c r="AP314" s="370"/>
      <c r="AQ314" s="370"/>
      <c r="AR314" s="425" t="s">
        <v>2918</v>
      </c>
    </row>
    <row r="315" spans="1:44" ht="27" customHeight="1">
      <c r="A315" s="330"/>
      <c r="B315" s="331"/>
      <c r="C315" s="332"/>
      <c r="D315" s="333"/>
      <c r="E315" s="334"/>
      <c r="F315" s="334"/>
      <c r="G315" s="335">
        <f>SUM(G285:G314)</f>
        <v>6195</v>
      </c>
      <c r="H315" s="334"/>
      <c r="I315" s="334"/>
      <c r="J315" s="334"/>
      <c r="K315" s="334"/>
      <c r="L315" s="336"/>
      <c r="M315" s="332"/>
      <c r="N315" s="332"/>
      <c r="O315" s="337"/>
      <c r="P315" s="338"/>
      <c r="Q315" s="337"/>
      <c r="R315" s="339"/>
      <c r="S315" s="340"/>
      <c r="T315" s="340"/>
      <c r="U315" s="340"/>
      <c r="V315" s="340"/>
      <c r="W315" s="341"/>
      <c r="X315" s="342"/>
      <c r="Y315" s="343">
        <f>SUM(Y285:Y314)</f>
        <v>33.46</v>
      </c>
      <c r="Z315" s="342"/>
      <c r="AA315" s="344"/>
      <c r="AB315" s="332"/>
      <c r="AC315" s="332"/>
      <c r="AD315" s="339"/>
      <c r="AE315" s="337"/>
      <c r="AF315" s="338"/>
      <c r="AG315" s="337"/>
      <c r="AH315" s="338"/>
      <c r="AI315" s="337"/>
      <c r="AJ315" s="338"/>
      <c r="AK315" s="338"/>
      <c r="AL315" s="338"/>
      <c r="AM315" s="338"/>
      <c r="AN315" s="338"/>
      <c r="AO315" s="338"/>
      <c r="AP315" s="338"/>
      <c r="AQ315" s="338"/>
      <c r="AR315" s="338"/>
    </row>
    <row r="316" spans="1:44" ht="27.75" customHeight="1">
      <c r="A316" s="351" t="s">
        <v>3413</v>
      </c>
      <c r="B316" s="331"/>
      <c r="C316" s="332"/>
      <c r="D316" s="333"/>
      <c r="E316" s="334"/>
      <c r="F316" s="334"/>
      <c r="G316" s="524"/>
      <c r="H316" s="341"/>
      <c r="I316" s="334"/>
      <c r="J316" s="334"/>
      <c r="K316" s="334"/>
      <c r="L316" s="336"/>
      <c r="M316" s="332"/>
      <c r="N316" s="332"/>
      <c r="O316" s="337"/>
      <c r="P316" s="338"/>
      <c r="Q316" s="337"/>
      <c r="R316" s="339"/>
      <c r="S316" s="340"/>
      <c r="T316" s="340"/>
      <c r="U316" s="340"/>
      <c r="V316" s="340"/>
      <c r="W316" s="341"/>
      <c r="X316" s="342"/>
      <c r="Y316" s="350"/>
      <c r="Z316" s="342"/>
      <c r="AA316" s="344"/>
      <c r="AB316" s="332"/>
      <c r="AC316" s="332"/>
      <c r="AD316" s="339"/>
      <c r="AE316" s="337"/>
      <c r="AF316" s="338"/>
      <c r="AG316" s="337"/>
      <c r="AH316" s="338"/>
      <c r="AI316" s="337"/>
      <c r="AJ316" s="338"/>
      <c r="AK316" s="338"/>
      <c r="AL316" s="338"/>
      <c r="AM316" s="338"/>
      <c r="AN316" s="338"/>
      <c r="AO316" s="338"/>
      <c r="AP316" s="338"/>
      <c r="AQ316" s="338"/>
      <c r="AR316" s="338"/>
    </row>
    <row r="317" spans="1:44" ht="30" customHeight="1">
      <c r="A317" s="487">
        <v>46136</v>
      </c>
      <c r="B317" s="445" t="s">
        <v>3110</v>
      </c>
      <c r="C317" s="437" t="s">
        <v>3111</v>
      </c>
      <c r="D317" s="361" t="s">
        <v>3333</v>
      </c>
      <c r="E317" s="736"/>
      <c r="F317" s="396" t="s">
        <v>52</v>
      </c>
      <c r="G317" s="392">
        <v>200</v>
      </c>
      <c r="H317" s="534" t="s">
        <v>2123</v>
      </c>
      <c r="I317" s="363" t="s">
        <v>2122</v>
      </c>
      <c r="J317" s="484" t="s">
        <v>59</v>
      </c>
      <c r="K317" s="363" t="s">
        <v>56</v>
      </c>
      <c r="L317" s="384" t="s">
        <v>68</v>
      </c>
      <c r="M317" s="383">
        <v>46244</v>
      </c>
      <c r="N317" s="665" t="s">
        <v>54</v>
      </c>
      <c r="O317" s="423" t="s">
        <v>85</v>
      </c>
      <c r="P317" s="633">
        <v>42300</v>
      </c>
      <c r="Q317" s="425">
        <v>46158</v>
      </c>
      <c r="R317" s="390" t="s">
        <v>59</v>
      </c>
      <c r="S317" s="368">
        <v>71</v>
      </c>
      <c r="T317" s="368">
        <v>43</v>
      </c>
      <c r="U317" s="368">
        <v>86</v>
      </c>
      <c r="V317" s="368">
        <v>2</v>
      </c>
      <c r="W317" s="364">
        <f>ROUND(G317/V317,2)</f>
        <v>100</v>
      </c>
      <c r="X317" s="347">
        <f>22*W317</f>
        <v>2200</v>
      </c>
      <c r="Y317" s="359">
        <f>ROUND((S317*T317*U317)*0.000001*W317,2)</f>
        <v>26.26</v>
      </c>
      <c r="Z317" s="629">
        <v>99.27</v>
      </c>
      <c r="AA317" s="360">
        <f t="shared" ref="AA317:AA324" si="55">Z317*G317</f>
        <v>19854</v>
      </c>
      <c r="AB317" s="355" t="s">
        <v>46</v>
      </c>
      <c r="AC317" s="355"/>
      <c r="AD317" s="327"/>
      <c r="AE317" s="425">
        <v>46158</v>
      </c>
      <c r="AF317" s="425">
        <v>46158</v>
      </c>
      <c r="AG317" s="345"/>
      <c r="AH317" s="345"/>
      <c r="AI317" s="345"/>
      <c r="AJ317" s="375"/>
      <c r="AK317" s="375"/>
      <c r="AL317" s="375"/>
      <c r="AM317" s="375"/>
      <c r="AN317" s="375"/>
      <c r="AO317" s="345"/>
      <c r="AP317" s="345"/>
      <c r="AQ317" s="345"/>
      <c r="AR317" s="345"/>
    </row>
    <row r="318" spans="1:44" ht="30" customHeight="1">
      <c r="A318" s="487">
        <v>46136</v>
      </c>
      <c r="B318" s="445" t="s">
        <v>3110</v>
      </c>
      <c r="C318" s="437" t="s">
        <v>3109</v>
      </c>
      <c r="D318" s="361" t="s">
        <v>3334</v>
      </c>
      <c r="E318" s="736"/>
      <c r="F318" s="396" t="s">
        <v>52</v>
      </c>
      <c r="G318" s="392">
        <v>200</v>
      </c>
      <c r="H318" s="534" t="s">
        <v>2123</v>
      </c>
      <c r="I318" s="363" t="s">
        <v>2122</v>
      </c>
      <c r="J318" s="484" t="s">
        <v>59</v>
      </c>
      <c r="K318" s="363" t="s">
        <v>56</v>
      </c>
      <c r="L318" s="384" t="s">
        <v>68</v>
      </c>
      <c r="M318" s="383">
        <v>46244</v>
      </c>
      <c r="N318" s="505"/>
      <c r="O318" s="423" t="s">
        <v>85</v>
      </c>
      <c r="P318" s="633">
        <v>42300</v>
      </c>
      <c r="Q318" s="425">
        <v>46158</v>
      </c>
      <c r="R318" s="390" t="s">
        <v>59</v>
      </c>
      <c r="S318" s="368">
        <v>71</v>
      </c>
      <c r="T318" s="368">
        <v>43</v>
      </c>
      <c r="U318" s="368">
        <v>86</v>
      </c>
      <c r="V318" s="368">
        <v>2</v>
      </c>
      <c r="W318" s="364">
        <f>ROUND(G318/V318,2)</f>
        <v>100</v>
      </c>
      <c r="X318" s="347">
        <f>22*W318</f>
        <v>2200</v>
      </c>
      <c r="Y318" s="359">
        <f>ROUND((S318*T318*U318)*0.000001*W318,2)</f>
        <v>26.26</v>
      </c>
      <c r="Z318" s="629">
        <v>99.27</v>
      </c>
      <c r="AA318" s="360">
        <f t="shared" si="55"/>
        <v>19854</v>
      </c>
      <c r="AB318" s="355" t="s">
        <v>46</v>
      </c>
      <c r="AC318" s="355"/>
      <c r="AD318" s="327"/>
      <c r="AE318" s="425">
        <v>46158</v>
      </c>
      <c r="AF318" s="425">
        <v>46158</v>
      </c>
      <c r="AG318" s="345"/>
      <c r="AH318" s="345"/>
      <c r="AI318" s="345"/>
      <c r="AJ318" s="375"/>
      <c r="AK318" s="375"/>
      <c r="AL318" s="375"/>
      <c r="AM318" s="375"/>
      <c r="AN318" s="375"/>
      <c r="AO318" s="345"/>
      <c r="AP318" s="345"/>
      <c r="AQ318" s="345"/>
      <c r="AR318" s="345"/>
    </row>
    <row r="319" spans="1:44" ht="26.25" customHeight="1">
      <c r="A319" s="487">
        <v>46136</v>
      </c>
      <c r="B319" s="445" t="s">
        <v>3121</v>
      </c>
      <c r="C319" s="437" t="s">
        <v>3120</v>
      </c>
      <c r="D319" s="361"/>
      <c r="E319" s="736" t="s">
        <v>3238</v>
      </c>
      <c r="F319" s="396" t="s">
        <v>52</v>
      </c>
      <c r="G319" s="392">
        <v>400</v>
      </c>
      <c r="H319" s="486" t="s">
        <v>3119</v>
      </c>
      <c r="I319" s="363" t="s">
        <v>3118</v>
      </c>
      <c r="J319" s="363" t="s">
        <v>3117</v>
      </c>
      <c r="K319" s="363" t="s">
        <v>56</v>
      </c>
      <c r="L319" s="384" t="s">
        <v>3231</v>
      </c>
      <c r="M319" s="383">
        <v>46244</v>
      </c>
      <c r="N319" s="505"/>
      <c r="O319" s="382" t="s">
        <v>3116</v>
      </c>
      <c r="P319" s="374" t="s">
        <v>44</v>
      </c>
      <c r="Q319" s="446">
        <v>46157</v>
      </c>
      <c r="R319" s="366" t="s">
        <v>2457</v>
      </c>
      <c r="S319" s="368">
        <v>63</v>
      </c>
      <c r="T319" s="368">
        <v>44</v>
      </c>
      <c r="U319" s="368">
        <v>54</v>
      </c>
      <c r="V319" s="368">
        <v>10</v>
      </c>
      <c r="W319" s="386">
        <f>ROUND(G319/V319,2)</f>
        <v>40</v>
      </c>
      <c r="X319" s="385">
        <f>20*W319</f>
        <v>800</v>
      </c>
      <c r="Y319" s="347">
        <f>ROUND((S319*T319*U319)*0.000001*W319,2)</f>
        <v>5.99</v>
      </c>
      <c r="Z319" s="772">
        <v>17.3</v>
      </c>
      <c r="AA319" s="360">
        <f t="shared" si="55"/>
        <v>6920</v>
      </c>
      <c r="AB319" s="346" t="s">
        <v>46</v>
      </c>
      <c r="AC319" s="355"/>
      <c r="AD319" s="327"/>
      <c r="AE319" s="446">
        <v>46157</v>
      </c>
      <c r="AF319" s="446">
        <v>46157</v>
      </c>
      <c r="AG319" s="345"/>
      <c r="AH319" s="375"/>
      <c r="AI319" s="345"/>
      <c r="AJ319" s="375"/>
      <c r="AK319" s="375"/>
      <c r="AL319" s="375"/>
      <c r="AM319" s="375"/>
      <c r="AN319" s="345"/>
      <c r="AO319" s="345"/>
      <c r="AP319" s="345"/>
      <c r="AQ319" s="345"/>
      <c r="AR319" s="375"/>
    </row>
    <row r="320" spans="1:44" ht="26.25" customHeight="1">
      <c r="A320" s="487">
        <v>46136</v>
      </c>
      <c r="B320" s="445" t="s">
        <v>3133</v>
      </c>
      <c r="C320" s="437" t="s">
        <v>3135</v>
      </c>
      <c r="D320" s="361" t="s">
        <v>3310</v>
      </c>
      <c r="E320" s="736"/>
      <c r="F320" s="396" t="s">
        <v>52</v>
      </c>
      <c r="G320" s="392">
        <v>500</v>
      </c>
      <c r="H320" s="631" t="s">
        <v>3131</v>
      </c>
      <c r="I320" s="392" t="s">
        <v>1187</v>
      </c>
      <c r="J320" s="392" t="s">
        <v>3130</v>
      </c>
      <c r="K320" s="392" t="s">
        <v>56</v>
      </c>
      <c r="L320" s="384" t="s">
        <v>72</v>
      </c>
      <c r="M320" s="383">
        <v>46244</v>
      </c>
      <c r="N320" s="505"/>
      <c r="O320" s="382" t="s">
        <v>55</v>
      </c>
      <c r="P320" s="715" t="s">
        <v>44</v>
      </c>
      <c r="Q320" s="425">
        <v>46148</v>
      </c>
      <c r="R320" s="390" t="s">
        <v>57</v>
      </c>
      <c r="S320" s="389">
        <v>36</v>
      </c>
      <c r="T320" s="389">
        <v>36</v>
      </c>
      <c r="U320" s="389">
        <v>57</v>
      </c>
      <c r="V320" s="389">
        <v>5</v>
      </c>
      <c r="W320" s="388">
        <f>ROUND(G320/V320,2)</f>
        <v>100</v>
      </c>
      <c r="X320" s="385">
        <f>9*W320</f>
        <v>900</v>
      </c>
      <c r="Y320" s="930">
        <f>ROUND((S320*T320*U320)*0.000001*W320,2)</f>
        <v>7.39</v>
      </c>
      <c r="Z320" s="772">
        <v>14.57</v>
      </c>
      <c r="AA320" s="778">
        <f t="shared" si="55"/>
        <v>7285</v>
      </c>
      <c r="AB320" s="716" t="s">
        <v>46</v>
      </c>
      <c r="AC320" s="355"/>
      <c r="AD320" s="327"/>
      <c r="AE320" s="425">
        <v>46148</v>
      </c>
      <c r="AF320" s="425">
        <v>46148</v>
      </c>
      <c r="AG320" s="345"/>
      <c r="AH320" s="375"/>
      <c r="AI320" s="345"/>
      <c r="AJ320" s="375"/>
      <c r="AK320" s="375"/>
      <c r="AL320" s="375"/>
      <c r="AM320" s="375"/>
      <c r="AN320" s="345"/>
      <c r="AO320" s="345"/>
      <c r="AP320" s="375"/>
      <c r="AQ320" s="375"/>
      <c r="AR320" s="375"/>
    </row>
    <row r="321" spans="1:44" ht="26.25" customHeight="1">
      <c r="A321" s="487">
        <v>46155</v>
      </c>
      <c r="B321" s="445" t="s">
        <v>3419</v>
      </c>
      <c r="C321" s="437" t="s">
        <v>3420</v>
      </c>
      <c r="D321" s="361"/>
      <c r="E321" s="957"/>
      <c r="F321" s="396" t="s">
        <v>52</v>
      </c>
      <c r="G321" s="396">
        <v>500</v>
      </c>
      <c r="H321" s="701" t="s">
        <v>2801</v>
      </c>
      <c r="I321" s="391" t="s">
        <v>58</v>
      </c>
      <c r="J321" s="404" t="s">
        <v>49</v>
      </c>
      <c r="K321" s="391" t="s">
        <v>63</v>
      </c>
      <c r="L321" s="384" t="s">
        <v>2589</v>
      </c>
      <c r="M321" s="383">
        <v>46244</v>
      </c>
      <c r="N321" s="505"/>
      <c r="O321" s="382" t="s">
        <v>55</v>
      </c>
      <c r="P321" s="394">
        <v>42919</v>
      </c>
      <c r="Q321" s="348"/>
      <c r="R321" s="390" t="s">
        <v>59</v>
      </c>
      <c r="S321" s="380">
        <v>66</v>
      </c>
      <c r="T321" s="380">
        <v>40</v>
      </c>
      <c r="U321" s="380">
        <v>23</v>
      </c>
      <c r="V321" s="379">
        <v>2</v>
      </c>
      <c r="W321" s="378">
        <f>ROUND(G321/V321,2)</f>
        <v>250</v>
      </c>
      <c r="X321" s="377">
        <f>32*W321</f>
        <v>8000</v>
      </c>
      <c r="Y321" s="768">
        <f>ROUND((S321*T321*U321)*0.000001*W321,2)</f>
        <v>15.18</v>
      </c>
      <c r="Z321" s="528">
        <v>51.84</v>
      </c>
      <c r="AA321" s="360">
        <f>Z321*G321</f>
        <v>25920</v>
      </c>
      <c r="AB321" s="749" t="s">
        <v>46</v>
      </c>
      <c r="AC321" s="355"/>
      <c r="AD321" s="327"/>
      <c r="AE321" s="375"/>
      <c r="AF321" s="375"/>
      <c r="AG321" s="345"/>
      <c r="AH321" s="345"/>
      <c r="AI321" s="345"/>
      <c r="AJ321" s="375"/>
      <c r="AK321" s="375"/>
      <c r="AL321" s="375"/>
      <c r="AM321" s="375"/>
      <c r="AN321" s="375"/>
      <c r="AO321" s="345"/>
      <c r="AP321" s="375"/>
      <c r="AQ321" s="375"/>
      <c r="AR321" s="375"/>
    </row>
    <row r="322" spans="1:44" ht="30" customHeight="1">
      <c r="A322" s="487">
        <v>46156</v>
      </c>
      <c r="B322" s="445" t="s">
        <v>3397</v>
      </c>
      <c r="C322" s="437" t="s">
        <v>3396</v>
      </c>
      <c r="D322" s="361"/>
      <c r="E322" s="488"/>
      <c r="F322" s="396" t="s">
        <v>52</v>
      </c>
      <c r="G322" s="396">
        <v>100</v>
      </c>
      <c r="H322" s="968" t="s">
        <v>3395</v>
      </c>
      <c r="I322" s="366" t="s">
        <v>3394</v>
      </c>
      <c r="J322" s="349" t="s">
        <v>49</v>
      </c>
      <c r="K322" s="366" t="s">
        <v>948</v>
      </c>
      <c r="L322" s="816" t="s">
        <v>60</v>
      </c>
      <c r="M322" s="383">
        <v>46244</v>
      </c>
      <c r="N322" s="505"/>
      <c r="O322" s="856"/>
      <c r="P322" s="374"/>
      <c r="Q322" s="374" t="s">
        <v>48</v>
      </c>
      <c r="R322" s="395" t="s">
        <v>49</v>
      </c>
      <c r="S322" s="345"/>
      <c r="T322" s="345"/>
      <c r="U322" s="345"/>
      <c r="V322" s="345"/>
      <c r="W322" s="345"/>
      <c r="X322" s="345"/>
      <c r="Y322" s="345"/>
      <c r="Z322" s="743">
        <v>14.43</v>
      </c>
      <c r="AA322" s="411">
        <f t="shared" si="55"/>
        <v>1443</v>
      </c>
      <c r="AB322" s="346" t="s">
        <v>46</v>
      </c>
      <c r="AC322" s="355"/>
      <c r="AD322" s="327"/>
      <c r="AE322" s="345"/>
      <c r="AF322" s="345"/>
      <c r="AG322" s="345"/>
      <c r="AH322" s="345"/>
      <c r="AI322" s="345"/>
      <c r="AJ322" s="345"/>
      <c r="AK322" s="345"/>
      <c r="AL322" s="345"/>
      <c r="AM322" s="375"/>
      <c r="AN322" s="345"/>
      <c r="AO322" s="375"/>
      <c r="AP322" s="375"/>
      <c r="AQ322" s="345"/>
      <c r="AR322" s="425" t="s">
        <v>2350</v>
      </c>
    </row>
    <row r="323" spans="1:44" ht="30" customHeight="1">
      <c r="A323" s="487">
        <v>46155</v>
      </c>
      <c r="B323" s="445" t="s">
        <v>3370</v>
      </c>
      <c r="C323" s="437" t="s">
        <v>3369</v>
      </c>
      <c r="D323" s="361"/>
      <c r="E323" s="488" t="s">
        <v>3368</v>
      </c>
      <c r="F323" s="396" t="s">
        <v>52</v>
      </c>
      <c r="G323" s="396">
        <v>50</v>
      </c>
      <c r="H323" s="794" t="s">
        <v>3367</v>
      </c>
      <c r="I323" s="393" t="s">
        <v>95</v>
      </c>
      <c r="J323" s="393" t="s">
        <v>3366</v>
      </c>
      <c r="K323" s="935" t="s">
        <v>712</v>
      </c>
      <c r="L323" s="488" t="s">
        <v>60</v>
      </c>
      <c r="M323" s="383">
        <v>46244</v>
      </c>
      <c r="N323" s="505"/>
      <c r="O323" s="358" t="s">
        <v>3363</v>
      </c>
      <c r="P323" s="966">
        <v>42522</v>
      </c>
      <c r="Q323" s="965"/>
      <c r="R323" s="406" t="s">
        <v>2385</v>
      </c>
      <c r="S323" s="964">
        <v>40</v>
      </c>
      <c r="T323" s="683">
        <v>40</v>
      </c>
      <c r="U323" s="696">
        <v>84</v>
      </c>
      <c r="V323" s="964">
        <v>5</v>
      </c>
      <c r="W323" s="963">
        <f>ROUND(G323/V323,2)</f>
        <v>10</v>
      </c>
      <c r="X323" s="364">
        <f>( 2.5*V323+1.5)*W323</f>
        <v>140</v>
      </c>
      <c r="Y323" s="962">
        <f>ROUND((S323*T323*U323)*0.000001*W323,2)</f>
        <v>1.34</v>
      </c>
      <c r="Z323" s="376">
        <v>31.03</v>
      </c>
      <c r="AA323" s="961">
        <f>Z323*G323</f>
        <v>1551.5</v>
      </c>
      <c r="AB323" s="960" t="s">
        <v>46</v>
      </c>
      <c r="AC323" s="355"/>
      <c r="AD323" s="327"/>
      <c r="AE323" s="375"/>
      <c r="AF323" s="375"/>
      <c r="AG323" s="345"/>
      <c r="AH323" s="375"/>
      <c r="AI323" s="345"/>
      <c r="AJ323" s="375"/>
      <c r="AK323" s="375"/>
      <c r="AL323" s="375"/>
      <c r="AM323" s="375"/>
      <c r="AN323" s="375"/>
      <c r="AO323" s="345"/>
      <c r="AP323" s="375"/>
      <c r="AQ323" s="375"/>
      <c r="AR323" s="375"/>
    </row>
    <row r="324" spans="1:44" ht="30" customHeight="1">
      <c r="A324" s="487">
        <v>46155</v>
      </c>
      <c r="B324" s="445" t="s">
        <v>3365</v>
      </c>
      <c r="C324" s="437" t="s">
        <v>3364</v>
      </c>
      <c r="D324" s="361"/>
      <c r="E324" s="488"/>
      <c r="F324" s="396" t="s">
        <v>52</v>
      </c>
      <c r="G324" s="396">
        <v>50</v>
      </c>
      <c r="H324" s="399" t="s">
        <v>1894</v>
      </c>
      <c r="I324" s="393" t="s">
        <v>95</v>
      </c>
      <c r="J324" s="393" t="s">
        <v>59</v>
      </c>
      <c r="K324" s="935" t="s">
        <v>712</v>
      </c>
      <c r="L324" s="488" t="s">
        <v>60</v>
      </c>
      <c r="M324" s="383">
        <v>46244</v>
      </c>
      <c r="N324" s="505"/>
      <c r="O324" s="358" t="s">
        <v>3363</v>
      </c>
      <c r="P324" s="966">
        <v>42522</v>
      </c>
      <c r="Q324" s="965"/>
      <c r="R324" s="406" t="s">
        <v>2385</v>
      </c>
      <c r="S324" s="964">
        <v>40</v>
      </c>
      <c r="T324" s="683">
        <v>40</v>
      </c>
      <c r="U324" s="696">
        <v>84</v>
      </c>
      <c r="V324" s="964">
        <v>5</v>
      </c>
      <c r="W324" s="963">
        <f>ROUND(G324/V324,2)</f>
        <v>10</v>
      </c>
      <c r="X324" s="364">
        <f>( 2.5*V324+1.5)*W324</f>
        <v>140</v>
      </c>
      <c r="Y324" s="962">
        <f>ROUND((S324*T324*U324)*0.000001*W324,2)</f>
        <v>1.34</v>
      </c>
      <c r="Z324" s="376">
        <v>30.79</v>
      </c>
      <c r="AA324" s="961">
        <f t="shared" si="55"/>
        <v>1539.5</v>
      </c>
      <c r="AB324" s="960" t="s">
        <v>46</v>
      </c>
      <c r="AC324" s="355"/>
      <c r="AD324" s="327"/>
      <c r="AE324" s="375"/>
      <c r="AF324" s="375"/>
      <c r="AG324" s="345"/>
      <c r="AH324" s="345"/>
      <c r="AI324" s="345"/>
      <c r="AJ324" s="375"/>
      <c r="AK324" s="375"/>
      <c r="AL324" s="375"/>
      <c r="AM324" s="375"/>
      <c r="AN324" s="375"/>
      <c r="AO324" s="345"/>
      <c r="AP324" s="375"/>
      <c r="AQ324" s="375"/>
      <c r="AR324" s="375"/>
    </row>
    <row r="325" spans="1:44" ht="27" customHeight="1">
      <c r="A325" s="330"/>
      <c r="B325" s="331"/>
      <c r="C325" s="332"/>
      <c r="D325" s="333"/>
      <c r="E325" s="334"/>
      <c r="F325" s="334"/>
      <c r="G325" s="335">
        <f>SUM(G317:G324)</f>
        <v>2000</v>
      </c>
      <c r="H325" s="334"/>
      <c r="I325" s="334"/>
      <c r="J325" s="334"/>
      <c r="K325" s="334"/>
      <c r="L325" s="336"/>
      <c r="M325" s="332"/>
      <c r="N325" s="332"/>
      <c r="O325" s="337"/>
      <c r="P325" s="338"/>
      <c r="Q325" s="337"/>
      <c r="R325" s="339"/>
      <c r="S325" s="340"/>
      <c r="T325" s="340"/>
      <c r="U325" s="340"/>
      <c r="V325" s="340"/>
      <c r="W325" s="341"/>
      <c r="X325" s="342"/>
      <c r="Y325" s="343">
        <f>SUM(Y317:Y324)</f>
        <v>83.760000000000019</v>
      </c>
      <c r="Z325" s="342"/>
      <c r="AA325" s="344"/>
      <c r="AB325" s="332"/>
      <c r="AC325" s="332"/>
      <c r="AD325" s="339"/>
      <c r="AE325" s="337"/>
      <c r="AF325" s="338"/>
      <c r="AG325" s="337"/>
      <c r="AH325" s="338"/>
      <c r="AI325" s="337"/>
      <c r="AJ325" s="338"/>
      <c r="AK325" s="338"/>
      <c r="AL325" s="338"/>
      <c r="AM325" s="338"/>
      <c r="AN325" s="338"/>
      <c r="AO325" s="338"/>
      <c r="AP325" s="338"/>
      <c r="AQ325" s="338"/>
      <c r="AR325" s="338"/>
    </row>
    <row r="326" spans="1:44" ht="27.75" customHeight="1">
      <c r="A326" s="351" t="s">
        <v>3414</v>
      </c>
      <c r="B326" s="331"/>
      <c r="C326" s="332"/>
      <c r="D326" s="333"/>
      <c r="E326" s="334"/>
      <c r="F326" s="334"/>
      <c r="G326" s="524"/>
      <c r="H326" s="341"/>
      <c r="I326" s="334"/>
      <c r="J326" s="334"/>
      <c r="K326" s="334"/>
      <c r="L326" s="336"/>
      <c r="M326" s="332"/>
      <c r="N326" s="332"/>
      <c r="O326" s="337"/>
      <c r="P326" s="338"/>
      <c r="Q326" s="337"/>
      <c r="R326" s="339"/>
      <c r="S326" s="340"/>
      <c r="T326" s="340"/>
      <c r="U326" s="340"/>
      <c r="V326" s="340"/>
      <c r="W326" s="341"/>
      <c r="X326" s="342"/>
      <c r="Y326" s="350"/>
      <c r="Z326" s="342"/>
      <c r="AA326" s="344"/>
      <c r="AB326" s="332"/>
      <c r="AC326" s="332"/>
      <c r="AD326" s="339"/>
      <c r="AE326" s="337"/>
      <c r="AF326" s="338"/>
      <c r="AG326" s="337"/>
      <c r="AH326" s="338"/>
      <c r="AI326" s="337"/>
      <c r="AJ326" s="338"/>
      <c r="AK326" s="338"/>
      <c r="AL326" s="338"/>
      <c r="AM326" s="338"/>
      <c r="AN326" s="338"/>
      <c r="AO326" s="338"/>
      <c r="AP326" s="338"/>
      <c r="AQ326" s="338"/>
      <c r="AR326" s="338"/>
    </row>
    <row r="327" spans="1:44" ht="30" customHeight="1">
      <c r="A327" s="487">
        <v>46100</v>
      </c>
      <c r="B327" s="445" t="s">
        <v>2585</v>
      </c>
      <c r="C327" s="326" t="s">
        <v>2546</v>
      </c>
      <c r="D327" s="361"/>
      <c r="E327" s="525" t="s">
        <v>2526</v>
      </c>
      <c r="F327" s="396" t="s">
        <v>52</v>
      </c>
      <c r="G327" s="396">
        <v>100</v>
      </c>
      <c r="H327" s="393" t="s">
        <v>1270</v>
      </c>
      <c r="I327" s="404" t="s">
        <v>2233</v>
      </c>
      <c r="J327" s="484" t="s">
        <v>59</v>
      </c>
      <c r="K327" s="404" t="s">
        <v>63</v>
      </c>
      <c r="L327" s="392" t="s">
        <v>64</v>
      </c>
      <c r="M327" s="383">
        <v>46248</v>
      </c>
      <c r="N327" s="665" t="s">
        <v>54</v>
      </c>
      <c r="O327" s="369" t="s">
        <v>1386</v>
      </c>
      <c r="P327" s="395">
        <v>45320</v>
      </c>
      <c r="Q327" s="348"/>
      <c r="R327" s="390" t="s">
        <v>59</v>
      </c>
      <c r="S327" s="683">
        <v>134</v>
      </c>
      <c r="T327" s="683">
        <v>102</v>
      </c>
      <c r="U327" s="683">
        <v>20</v>
      </c>
      <c r="V327" s="389">
        <v>1</v>
      </c>
      <c r="W327" s="347">
        <f>ROUND(G327/V327,2)</f>
        <v>100</v>
      </c>
      <c r="X327" s="682">
        <f>50*W327</f>
        <v>5000</v>
      </c>
      <c r="Y327" s="414">
        <f>ROUND((S327*T327*U327)*0.000001*W327,2)</f>
        <v>27.34</v>
      </c>
      <c r="Z327" s="761">
        <v>305.75</v>
      </c>
      <c r="AA327" s="360">
        <f>Z327*G327</f>
        <v>30575</v>
      </c>
      <c r="AB327" s="355" t="s">
        <v>46</v>
      </c>
      <c r="AC327" s="355"/>
      <c r="AD327" s="327"/>
      <c r="AE327" s="375"/>
      <c r="AF327" s="375"/>
      <c r="AG327" s="345"/>
      <c r="AH327" s="345"/>
      <c r="AI327" s="345"/>
      <c r="AJ327" s="375"/>
      <c r="AK327" s="375"/>
      <c r="AL327" s="375"/>
      <c r="AM327" s="375"/>
      <c r="AN327" s="375"/>
      <c r="AO327" s="345"/>
      <c r="AP327" s="375"/>
      <c r="AQ327" s="375"/>
      <c r="AR327" s="375"/>
    </row>
    <row r="328" spans="1:44" ht="30" customHeight="1">
      <c r="A328" s="487">
        <v>46155</v>
      </c>
      <c r="B328" s="445" t="s">
        <v>3340</v>
      </c>
      <c r="C328" s="437" t="s">
        <v>3339</v>
      </c>
      <c r="D328" s="361"/>
      <c r="E328" s="957"/>
      <c r="F328" s="396" t="s">
        <v>52</v>
      </c>
      <c r="G328" s="396">
        <v>100</v>
      </c>
      <c r="H328" s="631" t="s">
        <v>2796</v>
      </c>
      <c r="I328" s="363" t="s">
        <v>2569</v>
      </c>
      <c r="J328" s="363" t="s">
        <v>49</v>
      </c>
      <c r="K328" s="392" t="s">
        <v>63</v>
      </c>
      <c r="L328" s="384" t="s">
        <v>68</v>
      </c>
      <c r="M328" s="383">
        <v>46248</v>
      </c>
      <c r="N328" s="505"/>
      <c r="O328" s="398" t="s">
        <v>55</v>
      </c>
      <c r="P328" s="369" t="s">
        <v>44</v>
      </c>
      <c r="Q328" s="752"/>
      <c r="R328" s="365" t="s">
        <v>49</v>
      </c>
      <c r="S328" s="368">
        <v>87</v>
      </c>
      <c r="T328" s="355">
        <v>36</v>
      </c>
      <c r="U328" s="368">
        <v>64</v>
      </c>
      <c r="V328" s="355">
        <v>6</v>
      </c>
      <c r="W328" s="386">
        <f t="shared" ref="W328:W339" si="56">ROUND(G328/V328,2)</f>
        <v>16.670000000000002</v>
      </c>
      <c r="X328" s="365">
        <f>22*W328</f>
        <v>366.74</v>
      </c>
      <c r="Y328" s="355">
        <f t="shared" ref="Y328:Y337" si="57">ROUND((S328*T328*U328)*0.000001*W328,2)</f>
        <v>3.34</v>
      </c>
      <c r="Z328" s="396">
        <v>34.020000000000003</v>
      </c>
      <c r="AA328" s="410">
        <f>Z328*G328</f>
        <v>3402.0000000000005</v>
      </c>
      <c r="AB328" s="346" t="s">
        <v>46</v>
      </c>
      <c r="AC328" s="355"/>
      <c r="AD328" s="327"/>
      <c r="AE328" s="375"/>
      <c r="AF328" s="375"/>
      <c r="AG328" s="345"/>
      <c r="AH328" s="345"/>
      <c r="AI328" s="345"/>
      <c r="AJ328" s="375"/>
      <c r="AK328" s="375"/>
      <c r="AL328" s="375"/>
      <c r="AM328" s="375"/>
      <c r="AN328" s="375"/>
      <c r="AO328" s="345"/>
      <c r="AP328" s="345"/>
      <c r="AQ328" s="345"/>
      <c r="AR328" s="375"/>
    </row>
    <row r="329" spans="1:44" ht="30" customHeight="1">
      <c r="A329" s="487">
        <v>46155</v>
      </c>
      <c r="B329" s="445" t="s">
        <v>3348</v>
      </c>
      <c r="C329" s="437" t="s">
        <v>3347</v>
      </c>
      <c r="D329" s="361"/>
      <c r="E329" s="957"/>
      <c r="F329" s="396" t="s">
        <v>52</v>
      </c>
      <c r="G329" s="396">
        <v>500</v>
      </c>
      <c r="H329" s="497" t="s">
        <v>2391</v>
      </c>
      <c r="I329" s="387" t="s">
        <v>58</v>
      </c>
      <c r="J329" s="404" t="s">
        <v>49</v>
      </c>
      <c r="K329" s="384" t="s">
        <v>56</v>
      </c>
      <c r="L329" s="384" t="s">
        <v>64</v>
      </c>
      <c r="M329" s="383">
        <v>46248</v>
      </c>
      <c r="N329" s="505"/>
      <c r="O329" s="369" t="s">
        <v>1386</v>
      </c>
      <c r="P329" s="356">
        <v>42011</v>
      </c>
      <c r="Q329" s="348"/>
      <c r="R329" s="349" t="s">
        <v>49</v>
      </c>
      <c r="S329" s="368">
        <v>120</v>
      </c>
      <c r="T329" s="368">
        <v>100</v>
      </c>
      <c r="U329" s="368">
        <v>120</v>
      </c>
      <c r="V329" s="368">
        <v>25</v>
      </c>
      <c r="W329" s="364">
        <f t="shared" si="56"/>
        <v>20</v>
      </c>
      <c r="X329" s="377">
        <f>211*W329</f>
        <v>4220</v>
      </c>
      <c r="Y329" s="376">
        <f t="shared" si="57"/>
        <v>28.8</v>
      </c>
      <c r="Z329" s="376">
        <v>72.92</v>
      </c>
      <c r="AA329" s="360">
        <v>43980</v>
      </c>
      <c r="AB329" s="346" t="s">
        <v>46</v>
      </c>
      <c r="AC329" s="355"/>
      <c r="AD329" s="327"/>
      <c r="AE329" s="375"/>
      <c r="AF329" s="375"/>
      <c r="AG329" s="345"/>
      <c r="AH329" s="345"/>
      <c r="AI329" s="345"/>
      <c r="AJ329" s="375"/>
      <c r="AK329" s="375"/>
      <c r="AL329" s="375"/>
      <c r="AM329" s="375"/>
      <c r="AN329" s="375"/>
      <c r="AO329" s="345"/>
      <c r="AP329" s="375"/>
      <c r="AQ329" s="375"/>
      <c r="AR329" s="375"/>
    </row>
    <row r="330" spans="1:44" ht="30" customHeight="1">
      <c r="A330" s="487">
        <v>46155</v>
      </c>
      <c r="B330" s="445" t="s">
        <v>3351</v>
      </c>
      <c r="C330" s="437" t="s">
        <v>3350</v>
      </c>
      <c r="D330" s="361"/>
      <c r="E330" s="488" t="s">
        <v>3410</v>
      </c>
      <c r="F330" s="396" t="s">
        <v>52</v>
      </c>
      <c r="G330" s="396">
        <v>500</v>
      </c>
      <c r="H330" s="631" t="s">
        <v>3349</v>
      </c>
      <c r="I330" s="393" t="s">
        <v>2031</v>
      </c>
      <c r="J330" s="363" t="s">
        <v>49</v>
      </c>
      <c r="K330" s="384" t="s">
        <v>53</v>
      </c>
      <c r="L330" s="384" t="s">
        <v>68</v>
      </c>
      <c r="M330" s="383">
        <v>46248</v>
      </c>
      <c r="N330" s="505"/>
      <c r="O330" s="382" t="s">
        <v>55</v>
      </c>
      <c r="P330" s="628">
        <v>42508</v>
      </c>
      <c r="Q330" s="348"/>
      <c r="R330" s="395" t="s">
        <v>49</v>
      </c>
      <c r="S330" s="407">
        <v>40</v>
      </c>
      <c r="T330" s="407">
        <v>40</v>
      </c>
      <c r="U330" s="407">
        <v>65</v>
      </c>
      <c r="V330" s="368">
        <v>5</v>
      </c>
      <c r="W330" s="386">
        <f t="shared" si="56"/>
        <v>100</v>
      </c>
      <c r="X330" s="365">
        <f>14*W330</f>
        <v>1400</v>
      </c>
      <c r="Y330" s="347">
        <f t="shared" si="57"/>
        <v>10.4</v>
      </c>
      <c r="Z330" s="396">
        <v>41.95</v>
      </c>
      <c r="AA330" s="411">
        <f t="shared" ref="AA330:AA339" si="58">Z330*G330</f>
        <v>20975</v>
      </c>
      <c r="AB330" s="346" t="s">
        <v>46</v>
      </c>
      <c r="AC330" s="355"/>
      <c r="AD330" s="327"/>
      <c r="AE330" s="375"/>
      <c r="AF330" s="375"/>
      <c r="AG330" s="345"/>
      <c r="AH330" s="345"/>
      <c r="AI330" s="345"/>
      <c r="AJ330" s="375"/>
      <c r="AK330" s="375"/>
      <c r="AL330" s="375"/>
      <c r="AM330" s="375"/>
      <c r="AN330" s="345"/>
      <c r="AO330" s="345"/>
      <c r="AP330" s="375"/>
      <c r="AQ330" s="375"/>
      <c r="AR330" s="375"/>
    </row>
    <row r="331" spans="1:44" ht="30" customHeight="1">
      <c r="A331" s="487">
        <v>46155</v>
      </c>
      <c r="B331" s="445" t="s">
        <v>3355</v>
      </c>
      <c r="C331" s="437" t="s">
        <v>3354</v>
      </c>
      <c r="D331" s="361"/>
      <c r="E331" s="957"/>
      <c r="F331" s="396" t="s">
        <v>52</v>
      </c>
      <c r="G331" s="396">
        <v>100</v>
      </c>
      <c r="H331" s="702" t="s">
        <v>3353</v>
      </c>
      <c r="I331" s="384" t="s">
        <v>3352</v>
      </c>
      <c r="J331" s="363" t="s">
        <v>49</v>
      </c>
      <c r="K331" s="384" t="s">
        <v>53</v>
      </c>
      <c r="L331" s="384" t="s">
        <v>692</v>
      </c>
      <c r="M331" s="383">
        <v>46248</v>
      </c>
      <c r="N331" s="505"/>
      <c r="O331" s="382" t="s">
        <v>55</v>
      </c>
      <c r="P331" s="763">
        <v>42073</v>
      </c>
      <c r="Q331" s="959"/>
      <c r="R331" s="763" t="s">
        <v>49</v>
      </c>
      <c r="S331" s="368">
        <v>44</v>
      </c>
      <c r="T331" s="368">
        <v>44</v>
      </c>
      <c r="U331" s="368">
        <v>30</v>
      </c>
      <c r="V331" s="368">
        <v>5</v>
      </c>
      <c r="W331" s="792">
        <f t="shared" si="56"/>
        <v>20</v>
      </c>
      <c r="X331" s="756">
        <f>(2.5*V331+1.5)*W331</f>
        <v>280</v>
      </c>
      <c r="Y331" s="792">
        <f t="shared" si="57"/>
        <v>1.1599999999999999</v>
      </c>
      <c r="Z331" s="376">
        <v>19.29</v>
      </c>
      <c r="AA331" s="804">
        <f t="shared" si="58"/>
        <v>1929</v>
      </c>
      <c r="AB331" s="716" t="s">
        <v>46</v>
      </c>
      <c r="AC331" s="355"/>
      <c r="AD331" s="327"/>
      <c r="AE331" s="375"/>
      <c r="AF331" s="375"/>
      <c r="AG331" s="345"/>
      <c r="AH331" s="345"/>
      <c r="AI331" s="345"/>
      <c r="AJ331" s="375"/>
      <c r="AK331" s="375"/>
      <c r="AL331" s="375"/>
      <c r="AM331" s="375"/>
      <c r="AN331" s="375"/>
      <c r="AO331" s="345"/>
      <c r="AP331" s="345"/>
      <c r="AQ331" s="345"/>
      <c r="AR331" s="375"/>
    </row>
    <row r="332" spans="1:44" ht="30" customHeight="1">
      <c r="A332" s="487">
        <v>46155</v>
      </c>
      <c r="B332" s="445" t="s">
        <v>3358</v>
      </c>
      <c r="C332" s="437" t="s">
        <v>3357</v>
      </c>
      <c r="D332" s="361"/>
      <c r="E332" s="957"/>
      <c r="F332" s="396" t="s">
        <v>52</v>
      </c>
      <c r="G332" s="396">
        <v>300</v>
      </c>
      <c r="H332" s="498" t="s">
        <v>3356</v>
      </c>
      <c r="I332" s="393" t="s">
        <v>1206</v>
      </c>
      <c r="J332" s="363" t="s">
        <v>49</v>
      </c>
      <c r="K332" s="392" t="s">
        <v>56</v>
      </c>
      <c r="L332" s="384" t="s">
        <v>2321</v>
      </c>
      <c r="M332" s="383">
        <v>46248</v>
      </c>
      <c r="N332" s="505"/>
      <c r="O332" s="395" t="s">
        <v>2352</v>
      </c>
      <c r="P332" s="417">
        <v>41821</v>
      </c>
      <c r="Q332" s="348"/>
      <c r="R332" s="390" t="s">
        <v>59</v>
      </c>
      <c r="S332" s="368">
        <v>55</v>
      </c>
      <c r="T332" s="368">
        <v>46</v>
      </c>
      <c r="U332" s="407">
        <v>42</v>
      </c>
      <c r="V332" s="368" t="s">
        <v>2471</v>
      </c>
      <c r="W332" s="386">
        <f t="shared" si="56"/>
        <v>6</v>
      </c>
      <c r="X332" s="694">
        <f>21.4*W332</f>
        <v>128.39999999999998</v>
      </c>
      <c r="Y332" s="408">
        <f t="shared" si="57"/>
        <v>0.64</v>
      </c>
      <c r="Z332" s="396">
        <v>3.6</v>
      </c>
      <c r="AA332" s="411">
        <f t="shared" si="58"/>
        <v>1080</v>
      </c>
      <c r="AB332" s="346" t="s">
        <v>46</v>
      </c>
      <c r="AC332" s="355"/>
      <c r="AD332" s="327"/>
      <c r="AE332" s="375"/>
      <c r="AF332" s="375"/>
      <c r="AG332" s="345"/>
      <c r="AH332" s="345"/>
      <c r="AI332" s="345"/>
      <c r="AJ332" s="375"/>
      <c r="AK332" s="375"/>
      <c r="AL332" s="375"/>
      <c r="AM332" s="375"/>
      <c r="AN332" s="375"/>
      <c r="AO332" s="345"/>
      <c r="AP332" s="345"/>
      <c r="AQ332" s="345"/>
      <c r="AR332" s="446" t="s">
        <v>2326</v>
      </c>
    </row>
    <row r="333" spans="1:44" ht="27" customHeight="1">
      <c r="A333" s="330"/>
      <c r="B333" s="331"/>
      <c r="C333" s="332"/>
      <c r="D333" s="333"/>
      <c r="E333" s="334"/>
      <c r="F333" s="334"/>
      <c r="G333" s="335">
        <f>SUM(G325:G332)</f>
        <v>3600</v>
      </c>
      <c r="H333" s="334"/>
      <c r="I333" s="334"/>
      <c r="J333" s="334"/>
      <c r="K333" s="334"/>
      <c r="L333" s="336"/>
      <c r="M333" s="332"/>
      <c r="N333" s="332"/>
      <c r="O333" s="337"/>
      <c r="P333" s="338"/>
      <c r="Q333" s="337"/>
      <c r="R333" s="339"/>
      <c r="S333" s="340"/>
      <c r="T333" s="340"/>
      <c r="U333" s="340"/>
      <c r="V333" s="340"/>
      <c r="W333" s="341"/>
      <c r="X333" s="342"/>
      <c r="Y333" s="343">
        <f>SUM(Y327:Y332)</f>
        <v>71.680000000000007</v>
      </c>
      <c r="Z333" s="342"/>
      <c r="AA333" s="344"/>
      <c r="AB333" s="332"/>
      <c r="AC333" s="332"/>
      <c r="AD333" s="339"/>
      <c r="AE333" s="337"/>
      <c r="AF333" s="338"/>
      <c r="AG333" s="337"/>
      <c r="AH333" s="338"/>
      <c r="AI333" s="337"/>
      <c r="AJ333" s="338"/>
      <c r="AK333" s="338"/>
      <c r="AL333" s="338"/>
      <c r="AM333" s="338"/>
      <c r="AN333" s="338"/>
      <c r="AO333" s="338"/>
      <c r="AP333" s="338"/>
      <c r="AQ333" s="338"/>
      <c r="AR333" s="338"/>
    </row>
    <row r="334" spans="1:44" ht="27.75" customHeight="1">
      <c r="A334" s="351" t="s">
        <v>2528</v>
      </c>
      <c r="B334" s="331"/>
      <c r="C334" s="332"/>
      <c r="D334" s="333"/>
      <c r="E334" s="334"/>
      <c r="F334" s="334"/>
      <c r="G334" s="524"/>
      <c r="H334" s="341"/>
      <c r="I334" s="334"/>
      <c r="J334" s="334"/>
      <c r="K334" s="334"/>
      <c r="L334" s="336"/>
      <c r="M334" s="332"/>
      <c r="N334" s="332"/>
      <c r="O334" s="337"/>
      <c r="P334" s="338"/>
      <c r="Q334" s="337"/>
      <c r="R334" s="339"/>
      <c r="S334" s="340"/>
      <c r="T334" s="340"/>
      <c r="U334" s="340"/>
      <c r="V334" s="340"/>
      <c r="W334" s="341"/>
      <c r="X334" s="342"/>
      <c r="Y334" s="350"/>
      <c r="Z334" s="342"/>
      <c r="AA334" s="344"/>
      <c r="AB334" s="332"/>
      <c r="AC334" s="332"/>
      <c r="AD334" s="339"/>
      <c r="AE334" s="337"/>
      <c r="AF334" s="338"/>
      <c r="AG334" s="337"/>
      <c r="AH334" s="338"/>
      <c r="AI334" s="337"/>
      <c r="AJ334" s="338"/>
      <c r="AK334" s="338"/>
      <c r="AL334" s="338"/>
      <c r="AM334" s="338"/>
      <c r="AN334" s="338"/>
      <c r="AO334" s="338"/>
      <c r="AP334" s="338"/>
      <c r="AQ334" s="338"/>
      <c r="AR334" s="338"/>
    </row>
    <row r="335" spans="1:44" ht="30" customHeight="1">
      <c r="A335" s="487">
        <v>46155</v>
      </c>
      <c r="B335" s="445" t="s">
        <v>3372</v>
      </c>
      <c r="C335" s="437" t="s">
        <v>3373</v>
      </c>
      <c r="D335" s="361"/>
      <c r="E335" s="957"/>
      <c r="F335" s="396" t="s">
        <v>52</v>
      </c>
      <c r="G335" s="396">
        <v>500</v>
      </c>
      <c r="H335" s="393" t="s">
        <v>2492</v>
      </c>
      <c r="I335" s="363" t="s">
        <v>58</v>
      </c>
      <c r="J335" s="363" t="s">
        <v>49</v>
      </c>
      <c r="K335" s="485" t="s">
        <v>56</v>
      </c>
      <c r="L335" s="384" t="s">
        <v>68</v>
      </c>
      <c r="M335" s="383">
        <v>46253</v>
      </c>
      <c r="N335" s="665" t="s">
        <v>54</v>
      </c>
      <c r="O335" s="382" t="s">
        <v>55</v>
      </c>
      <c r="P335" s="374">
        <v>42568</v>
      </c>
      <c r="Q335" s="348"/>
      <c r="R335" s="390" t="s">
        <v>59</v>
      </c>
      <c r="S335" s="380">
        <v>80</v>
      </c>
      <c r="T335" s="380">
        <v>53</v>
      </c>
      <c r="U335" s="380">
        <v>25</v>
      </c>
      <c r="V335" s="368">
        <v>2</v>
      </c>
      <c r="W335" s="386">
        <f t="shared" si="56"/>
        <v>250</v>
      </c>
      <c r="X335" s="385">
        <f>29*W335</f>
        <v>7250</v>
      </c>
      <c r="Y335" s="347">
        <f t="shared" si="57"/>
        <v>26.5</v>
      </c>
      <c r="Z335" s="376">
        <v>71.03</v>
      </c>
      <c r="AA335" s="360">
        <f t="shared" si="58"/>
        <v>35515</v>
      </c>
      <c r="AB335" s="346" t="s">
        <v>46</v>
      </c>
      <c r="AC335" s="355"/>
      <c r="AD335" s="327"/>
      <c r="AE335" s="375"/>
      <c r="AF335" s="375"/>
      <c r="AG335" s="345"/>
      <c r="AH335" s="345"/>
      <c r="AI335" s="345"/>
      <c r="AJ335" s="375"/>
      <c r="AK335" s="375"/>
      <c r="AL335" s="375"/>
      <c r="AM335" s="375"/>
      <c r="AN335" s="375"/>
      <c r="AO335" s="375"/>
      <c r="AP335" s="375"/>
      <c r="AQ335" s="375"/>
      <c r="AR335" s="375"/>
    </row>
    <row r="336" spans="1:44" ht="30" customHeight="1">
      <c r="A336" s="487">
        <v>46155</v>
      </c>
      <c r="B336" s="445" t="s">
        <v>3372</v>
      </c>
      <c r="C336" s="437" t="s">
        <v>3371</v>
      </c>
      <c r="D336" s="361"/>
      <c r="E336" s="957"/>
      <c r="F336" s="396" t="s">
        <v>52</v>
      </c>
      <c r="G336" s="396">
        <v>500</v>
      </c>
      <c r="H336" s="497" t="s">
        <v>2492</v>
      </c>
      <c r="I336" s="363" t="s">
        <v>58</v>
      </c>
      <c r="J336" s="363" t="s">
        <v>49</v>
      </c>
      <c r="K336" s="485" t="s">
        <v>56</v>
      </c>
      <c r="L336" s="384" t="s">
        <v>692</v>
      </c>
      <c r="M336" s="383">
        <v>46253</v>
      </c>
      <c r="N336" s="505"/>
      <c r="O336" s="382" t="s">
        <v>55</v>
      </c>
      <c r="P336" s="374">
        <v>42568</v>
      </c>
      <c r="Q336" s="348"/>
      <c r="R336" s="390" t="s">
        <v>59</v>
      </c>
      <c r="S336" s="380">
        <v>80</v>
      </c>
      <c r="T336" s="380">
        <v>53</v>
      </c>
      <c r="U336" s="380">
        <v>25</v>
      </c>
      <c r="V336" s="368">
        <v>2</v>
      </c>
      <c r="W336" s="386">
        <f t="shared" si="56"/>
        <v>250</v>
      </c>
      <c r="X336" s="385">
        <f>29*W336</f>
        <v>7250</v>
      </c>
      <c r="Y336" s="347">
        <f t="shared" si="57"/>
        <v>26.5</v>
      </c>
      <c r="Z336" s="376">
        <v>71.03</v>
      </c>
      <c r="AA336" s="360">
        <f t="shared" si="58"/>
        <v>35515</v>
      </c>
      <c r="AB336" s="346" t="s">
        <v>46</v>
      </c>
      <c r="AC336" s="355"/>
      <c r="AD336" s="327"/>
      <c r="AE336" s="375"/>
      <c r="AF336" s="375"/>
      <c r="AG336" s="345"/>
      <c r="AH336" s="345"/>
      <c r="AI336" s="345"/>
      <c r="AJ336" s="375"/>
      <c r="AK336" s="375"/>
      <c r="AL336" s="375"/>
      <c r="AM336" s="375"/>
      <c r="AN336" s="375"/>
      <c r="AO336" s="375"/>
      <c r="AP336" s="375"/>
      <c r="AQ336" s="375"/>
      <c r="AR336" s="375"/>
    </row>
    <row r="337" spans="1:44" ht="30" customHeight="1">
      <c r="A337" s="487">
        <v>46155</v>
      </c>
      <c r="B337" s="445" t="s">
        <v>3374</v>
      </c>
      <c r="C337" s="437" t="s">
        <v>3375</v>
      </c>
      <c r="D337" s="361"/>
      <c r="E337" s="488" t="s">
        <v>3412</v>
      </c>
      <c r="F337" s="396" t="s">
        <v>52</v>
      </c>
      <c r="G337" s="396">
        <v>500</v>
      </c>
      <c r="H337" s="498" t="s">
        <v>1231</v>
      </c>
      <c r="I337" s="363" t="s">
        <v>1187</v>
      </c>
      <c r="J337" s="363" t="s">
        <v>49</v>
      </c>
      <c r="K337" s="363" t="s">
        <v>56</v>
      </c>
      <c r="L337" s="427" t="s">
        <v>72</v>
      </c>
      <c r="M337" s="383">
        <v>46253</v>
      </c>
      <c r="N337" s="505"/>
      <c r="O337" s="398" t="s">
        <v>55</v>
      </c>
      <c r="P337" s="715" t="s">
        <v>44</v>
      </c>
      <c r="Q337" s="535"/>
      <c r="R337" s="390" t="s">
        <v>59</v>
      </c>
      <c r="S337" s="368">
        <v>36</v>
      </c>
      <c r="T337" s="355">
        <v>36</v>
      </c>
      <c r="U337" s="368">
        <v>57</v>
      </c>
      <c r="V337" s="355">
        <v>5</v>
      </c>
      <c r="W337" s="355">
        <f t="shared" si="56"/>
        <v>100</v>
      </c>
      <c r="X337" s="355">
        <f>9*W337</f>
        <v>900</v>
      </c>
      <c r="Y337" s="355">
        <f t="shared" si="57"/>
        <v>7.39</v>
      </c>
      <c r="Z337" s="396">
        <v>12.81</v>
      </c>
      <c r="AA337" s="360">
        <f t="shared" si="58"/>
        <v>6405</v>
      </c>
      <c r="AB337" s="716" t="s">
        <v>46</v>
      </c>
      <c r="AC337" s="355"/>
      <c r="AD337" s="327"/>
      <c r="AE337" s="375"/>
      <c r="AF337" s="375"/>
      <c r="AG337" s="345"/>
      <c r="AH337" s="345"/>
      <c r="AI337" s="345"/>
      <c r="AJ337" s="375"/>
      <c r="AK337" s="375"/>
      <c r="AL337" s="375"/>
      <c r="AM337" s="375"/>
      <c r="AN337" s="345"/>
      <c r="AO337" s="345"/>
      <c r="AP337" s="375"/>
      <c r="AQ337" s="375"/>
      <c r="AR337" s="375"/>
    </row>
    <row r="338" spans="1:44" ht="30" customHeight="1">
      <c r="A338" s="487">
        <v>46155</v>
      </c>
      <c r="B338" s="445" t="s">
        <v>3377</v>
      </c>
      <c r="C338" s="437" t="s">
        <v>3378</v>
      </c>
      <c r="D338" s="361"/>
      <c r="E338" s="488" t="s">
        <v>3409</v>
      </c>
      <c r="F338" s="396" t="s">
        <v>52</v>
      </c>
      <c r="G338" s="396">
        <v>500</v>
      </c>
      <c r="H338" s="484" t="s">
        <v>2312</v>
      </c>
      <c r="I338" s="363" t="s">
        <v>95</v>
      </c>
      <c r="J338" s="363" t="s">
        <v>49</v>
      </c>
      <c r="K338" s="485" t="s">
        <v>56</v>
      </c>
      <c r="L338" s="384" t="s">
        <v>2496</v>
      </c>
      <c r="M338" s="383">
        <v>46253</v>
      </c>
      <c r="N338" s="505"/>
      <c r="O338" s="356" t="s">
        <v>2311</v>
      </c>
      <c r="P338" s="374">
        <v>42223</v>
      </c>
      <c r="Q338" s="535"/>
      <c r="R338" s="390" t="s">
        <v>59</v>
      </c>
      <c r="S338" s="380">
        <v>50</v>
      </c>
      <c r="T338" s="380">
        <v>42</v>
      </c>
      <c r="U338" s="380">
        <v>60</v>
      </c>
      <c r="V338" s="368">
        <v>10</v>
      </c>
      <c r="W338" s="378">
        <f t="shared" si="56"/>
        <v>50</v>
      </c>
      <c r="X338" s="377">
        <f>21.5*W338</f>
        <v>1075</v>
      </c>
      <c r="Y338" s="359">
        <f>ROUND((S338*T338*U338)*0.000001*W338,2)</f>
        <v>6.3</v>
      </c>
      <c r="Z338" s="376">
        <v>22.58</v>
      </c>
      <c r="AA338" s="360">
        <f t="shared" si="58"/>
        <v>11290</v>
      </c>
      <c r="AB338" s="346" t="s">
        <v>46</v>
      </c>
      <c r="AC338" s="355"/>
      <c r="AD338" s="327"/>
      <c r="AE338" s="375"/>
      <c r="AF338" s="375"/>
      <c r="AG338" s="345"/>
      <c r="AH338" s="345"/>
      <c r="AI338" s="345"/>
      <c r="AJ338" s="375"/>
      <c r="AK338" s="375"/>
      <c r="AL338" s="375"/>
      <c r="AM338" s="375"/>
      <c r="AN338" s="375"/>
      <c r="AO338" s="345"/>
      <c r="AP338" s="345"/>
      <c r="AQ338" s="345"/>
      <c r="AR338" s="375"/>
    </row>
    <row r="339" spans="1:44" ht="30" customHeight="1">
      <c r="A339" s="487">
        <v>46155</v>
      </c>
      <c r="B339" s="445" t="s">
        <v>3377</v>
      </c>
      <c r="C339" s="437" t="s">
        <v>3376</v>
      </c>
      <c r="D339" s="361"/>
      <c r="E339" s="488" t="s">
        <v>3409</v>
      </c>
      <c r="F339" s="396" t="s">
        <v>52</v>
      </c>
      <c r="G339" s="396">
        <v>500</v>
      </c>
      <c r="H339" s="631" t="s">
        <v>2312</v>
      </c>
      <c r="I339" s="363" t="s">
        <v>95</v>
      </c>
      <c r="J339" s="363" t="s">
        <v>49</v>
      </c>
      <c r="K339" s="485" t="s">
        <v>56</v>
      </c>
      <c r="L339" s="384" t="s">
        <v>3386</v>
      </c>
      <c r="M339" s="383">
        <v>46253</v>
      </c>
      <c r="N339" s="505"/>
      <c r="O339" s="356" t="s">
        <v>2311</v>
      </c>
      <c r="P339" s="374">
        <v>42223</v>
      </c>
      <c r="Q339" s="535"/>
      <c r="R339" s="390" t="s">
        <v>59</v>
      </c>
      <c r="S339" s="380">
        <v>50</v>
      </c>
      <c r="T339" s="380">
        <v>42</v>
      </c>
      <c r="U339" s="380">
        <v>60</v>
      </c>
      <c r="V339" s="368">
        <v>10</v>
      </c>
      <c r="W339" s="378">
        <f t="shared" si="56"/>
        <v>50</v>
      </c>
      <c r="X339" s="377">
        <f>21.5*W339</f>
        <v>1075</v>
      </c>
      <c r="Y339" s="359">
        <f>ROUND((S339*T339*U339)*0.000001*W339,2)</f>
        <v>6.3</v>
      </c>
      <c r="Z339" s="376">
        <v>22.58</v>
      </c>
      <c r="AA339" s="360">
        <f t="shared" si="58"/>
        <v>11290</v>
      </c>
      <c r="AB339" s="346" t="s">
        <v>46</v>
      </c>
      <c r="AC339" s="355"/>
      <c r="AD339" s="327"/>
      <c r="AE339" s="375"/>
      <c r="AF339" s="375"/>
      <c r="AG339" s="345"/>
      <c r="AH339" s="345"/>
      <c r="AI339" s="345"/>
      <c r="AJ339" s="375"/>
      <c r="AK339" s="375"/>
      <c r="AL339" s="375"/>
      <c r="AM339" s="375"/>
      <c r="AN339" s="375"/>
      <c r="AO339" s="345"/>
      <c r="AP339" s="345"/>
      <c r="AQ339" s="345"/>
      <c r="AR339" s="375"/>
    </row>
    <row r="340" spans="1:44" ht="27" customHeight="1">
      <c r="A340" s="330"/>
      <c r="B340" s="331"/>
      <c r="C340" s="332"/>
      <c r="D340" s="333"/>
      <c r="E340" s="334"/>
      <c r="F340" s="334"/>
      <c r="G340" s="335">
        <f>SUM(G335:G339)</f>
        <v>2500</v>
      </c>
      <c r="H340" s="334"/>
      <c r="I340" s="334"/>
      <c r="J340" s="334"/>
      <c r="K340" s="334"/>
      <c r="L340" s="336"/>
      <c r="M340" s="332"/>
      <c r="N340" s="332"/>
      <c r="O340" s="337"/>
      <c r="P340" s="338"/>
      <c r="Q340" s="337"/>
      <c r="R340" s="339"/>
      <c r="S340" s="340"/>
      <c r="T340" s="340"/>
      <c r="U340" s="340"/>
      <c r="V340" s="340"/>
      <c r="W340" s="341"/>
      <c r="X340" s="342"/>
      <c r="Y340" s="343">
        <f>SUM(Y335:Y339)</f>
        <v>72.989999999999995</v>
      </c>
      <c r="Z340" s="342"/>
      <c r="AA340" s="344"/>
      <c r="AB340" s="332"/>
      <c r="AC340" s="332"/>
      <c r="AD340" s="339"/>
      <c r="AE340" s="337"/>
      <c r="AF340" s="338"/>
      <c r="AG340" s="337"/>
      <c r="AH340" s="338"/>
      <c r="AI340" s="337"/>
      <c r="AJ340" s="338"/>
      <c r="AK340" s="338"/>
      <c r="AL340" s="338"/>
      <c r="AM340" s="338"/>
      <c r="AN340" s="338"/>
      <c r="AO340" s="338"/>
      <c r="AP340" s="338"/>
      <c r="AQ340" s="338"/>
      <c r="AR340" s="338"/>
    </row>
    <row r="341" spans="1:44" ht="27.75" customHeight="1">
      <c r="A341" s="351" t="s">
        <v>3415</v>
      </c>
      <c r="B341" s="331"/>
      <c r="C341" s="332"/>
      <c r="D341" s="333"/>
      <c r="E341" s="334"/>
      <c r="F341" s="334"/>
      <c r="G341" s="524"/>
      <c r="H341" s="341"/>
      <c r="I341" s="334"/>
      <c r="J341" s="334"/>
      <c r="K341" s="334"/>
      <c r="L341" s="336"/>
      <c r="M341" s="332"/>
      <c r="N341" s="332"/>
      <c r="O341" s="337"/>
      <c r="P341" s="338"/>
      <c r="Q341" s="337"/>
      <c r="R341" s="339"/>
      <c r="S341" s="340"/>
      <c r="T341" s="340"/>
      <c r="U341" s="340"/>
      <c r="V341" s="340"/>
      <c r="W341" s="341"/>
      <c r="X341" s="342"/>
      <c r="Y341" s="350"/>
      <c r="Z341" s="342"/>
      <c r="AA341" s="344"/>
      <c r="AB341" s="332"/>
      <c r="AC341" s="332"/>
      <c r="AD341" s="339"/>
      <c r="AE341" s="337"/>
      <c r="AF341" s="338"/>
      <c r="AG341" s="337"/>
      <c r="AH341" s="338"/>
      <c r="AI341" s="337"/>
      <c r="AJ341" s="338"/>
      <c r="AK341" s="338"/>
      <c r="AL341" s="338"/>
      <c r="AM341" s="338"/>
      <c r="AN341" s="338"/>
      <c r="AO341" s="338"/>
      <c r="AP341" s="338"/>
      <c r="AQ341" s="338"/>
      <c r="AR341" s="338"/>
    </row>
    <row r="342" spans="1:44" ht="30" customHeight="1">
      <c r="A342" s="487">
        <v>46100</v>
      </c>
      <c r="B342" s="445" t="s">
        <v>2585</v>
      </c>
      <c r="C342" s="326" t="s">
        <v>2547</v>
      </c>
      <c r="D342" s="361"/>
      <c r="E342" s="525" t="s">
        <v>2526</v>
      </c>
      <c r="F342" s="396" t="s">
        <v>52</v>
      </c>
      <c r="G342" s="396">
        <v>100</v>
      </c>
      <c r="H342" s="393" t="s">
        <v>1270</v>
      </c>
      <c r="I342" s="404" t="s">
        <v>2233</v>
      </c>
      <c r="J342" s="484" t="s">
        <v>59</v>
      </c>
      <c r="K342" s="404" t="s">
        <v>63</v>
      </c>
      <c r="L342" s="392" t="s">
        <v>64</v>
      </c>
      <c r="M342" s="383">
        <v>46259</v>
      </c>
      <c r="N342" s="665" t="s">
        <v>54</v>
      </c>
      <c r="O342" s="369" t="s">
        <v>1386</v>
      </c>
      <c r="P342" s="395">
        <v>45320</v>
      </c>
      <c r="Q342" s="348"/>
      <c r="R342" s="390" t="s">
        <v>59</v>
      </c>
      <c r="S342" s="683">
        <v>134</v>
      </c>
      <c r="T342" s="683">
        <v>102</v>
      </c>
      <c r="U342" s="683">
        <v>20</v>
      </c>
      <c r="V342" s="389">
        <v>1</v>
      </c>
      <c r="W342" s="347">
        <f>ROUND(G342/V342,2)</f>
        <v>100</v>
      </c>
      <c r="X342" s="682">
        <f>50*W342</f>
        <v>5000</v>
      </c>
      <c r="Y342" s="414">
        <f>ROUND((S342*T342*U342)*0.000001*W342,2)</f>
        <v>27.34</v>
      </c>
      <c r="Z342" s="761">
        <v>305.75</v>
      </c>
      <c r="AA342" s="360">
        <f>Z342*G342</f>
        <v>30575</v>
      </c>
      <c r="AB342" s="355" t="s">
        <v>46</v>
      </c>
      <c r="AC342" s="355"/>
      <c r="AD342" s="327"/>
      <c r="AE342" s="375"/>
      <c r="AF342" s="375"/>
      <c r="AG342" s="345"/>
      <c r="AH342" s="345"/>
      <c r="AI342" s="345"/>
      <c r="AJ342" s="375"/>
      <c r="AK342" s="375"/>
      <c r="AL342" s="375"/>
      <c r="AM342" s="375"/>
      <c r="AN342" s="375"/>
      <c r="AO342" s="345"/>
      <c r="AP342" s="375"/>
      <c r="AQ342" s="375"/>
      <c r="AR342" s="375"/>
    </row>
    <row r="343" spans="1:44" ht="30" customHeight="1">
      <c r="A343" s="487">
        <v>46100</v>
      </c>
      <c r="B343" s="445" t="s">
        <v>2585</v>
      </c>
      <c r="C343" s="326" t="s">
        <v>2548</v>
      </c>
      <c r="D343" s="361"/>
      <c r="E343" s="525" t="s">
        <v>2526</v>
      </c>
      <c r="F343" s="396" t="s">
        <v>52</v>
      </c>
      <c r="G343" s="396">
        <v>100</v>
      </c>
      <c r="H343" s="393" t="s">
        <v>1270</v>
      </c>
      <c r="I343" s="404" t="s">
        <v>2233</v>
      </c>
      <c r="J343" s="484" t="s">
        <v>59</v>
      </c>
      <c r="K343" s="404" t="s">
        <v>63</v>
      </c>
      <c r="L343" s="392" t="s">
        <v>64</v>
      </c>
      <c r="M343" s="383">
        <v>46259</v>
      </c>
      <c r="N343" s="328"/>
      <c r="O343" s="369" t="s">
        <v>1386</v>
      </c>
      <c r="P343" s="395">
        <v>45320</v>
      </c>
      <c r="Q343" s="348"/>
      <c r="R343" s="390" t="s">
        <v>59</v>
      </c>
      <c r="S343" s="683">
        <v>134</v>
      </c>
      <c r="T343" s="683">
        <v>102</v>
      </c>
      <c r="U343" s="683">
        <v>20</v>
      </c>
      <c r="V343" s="389">
        <v>1</v>
      </c>
      <c r="W343" s="347">
        <f>ROUND(G343/V343,2)</f>
        <v>100</v>
      </c>
      <c r="X343" s="682">
        <f>50*W343</f>
        <v>5000</v>
      </c>
      <c r="Y343" s="414">
        <f>ROUND((S343*T343*U343)*0.000001*W343,2)</f>
        <v>27.34</v>
      </c>
      <c r="Z343" s="761">
        <v>305.75</v>
      </c>
      <c r="AA343" s="360">
        <f>Z343*G343</f>
        <v>30575</v>
      </c>
      <c r="AB343" s="355" t="s">
        <v>46</v>
      </c>
      <c r="AC343" s="355"/>
      <c r="AD343" s="327"/>
      <c r="AE343" s="375"/>
      <c r="AF343" s="375"/>
      <c r="AG343" s="345"/>
      <c r="AH343" s="345"/>
      <c r="AI343" s="345"/>
      <c r="AJ343" s="375"/>
      <c r="AK343" s="375"/>
      <c r="AL343" s="375"/>
      <c r="AM343" s="375"/>
      <c r="AN343" s="375"/>
      <c r="AO343" s="345"/>
      <c r="AP343" s="375"/>
      <c r="AQ343" s="375"/>
      <c r="AR343" s="375"/>
    </row>
    <row r="344" spans="1:44" ht="27" customHeight="1">
      <c r="A344" s="330"/>
      <c r="B344" s="331"/>
      <c r="C344" s="332"/>
      <c r="D344" s="333"/>
      <c r="E344" s="334"/>
      <c r="F344" s="334"/>
      <c r="G344" s="335">
        <f>SUM(G342:G343)</f>
        <v>200</v>
      </c>
      <c r="H344" s="334"/>
      <c r="I344" s="334"/>
      <c r="J344" s="334"/>
      <c r="K344" s="334"/>
      <c r="L344" s="336"/>
      <c r="M344" s="332"/>
      <c r="N344" s="332"/>
      <c r="O344" s="337"/>
      <c r="P344" s="338"/>
      <c r="Q344" s="337"/>
      <c r="R344" s="339"/>
      <c r="S344" s="340"/>
      <c r="T344" s="340"/>
      <c r="U344" s="340"/>
      <c r="V344" s="340"/>
      <c r="W344" s="341"/>
      <c r="X344" s="342"/>
      <c r="Y344" s="343">
        <f>SUM(Y342:Y343)</f>
        <v>54.68</v>
      </c>
      <c r="Z344" s="342"/>
      <c r="AA344" s="344"/>
      <c r="AB344" s="332"/>
      <c r="AC344" s="332"/>
      <c r="AD344" s="339"/>
      <c r="AE344" s="337"/>
      <c r="AF344" s="338"/>
      <c r="AG344" s="337"/>
      <c r="AH344" s="338"/>
      <c r="AI344" s="337"/>
      <c r="AJ344" s="338"/>
      <c r="AK344" s="338"/>
      <c r="AL344" s="338"/>
      <c r="AM344" s="338"/>
      <c r="AN344" s="338"/>
      <c r="AO344" s="338"/>
      <c r="AP344" s="338"/>
      <c r="AQ344" s="338"/>
      <c r="AR344" s="338"/>
    </row>
    <row r="345" spans="1:44" ht="27.75" customHeight="1">
      <c r="A345" s="351" t="s">
        <v>2529</v>
      </c>
      <c r="B345" s="331"/>
      <c r="C345" s="332"/>
      <c r="D345" s="333"/>
      <c r="E345" s="334"/>
      <c r="F345" s="334"/>
      <c r="G345" s="524"/>
      <c r="H345" s="341"/>
      <c r="I345" s="334"/>
      <c r="J345" s="334"/>
      <c r="K345" s="334"/>
      <c r="L345" s="336"/>
      <c r="M345" s="332"/>
      <c r="N345" s="332"/>
      <c r="O345" s="337"/>
      <c r="P345" s="338"/>
      <c r="Q345" s="337"/>
      <c r="R345" s="339"/>
      <c r="S345" s="340"/>
      <c r="T345" s="340"/>
      <c r="U345" s="340"/>
      <c r="V345" s="340"/>
      <c r="W345" s="341"/>
      <c r="X345" s="342"/>
      <c r="Y345" s="350"/>
      <c r="Z345" s="342"/>
      <c r="AA345" s="344"/>
      <c r="AB345" s="332"/>
      <c r="AC345" s="332"/>
      <c r="AD345" s="339"/>
      <c r="AE345" s="337"/>
      <c r="AF345" s="338"/>
      <c r="AG345" s="337"/>
      <c r="AH345" s="338"/>
      <c r="AI345" s="337"/>
      <c r="AJ345" s="338"/>
      <c r="AK345" s="338"/>
      <c r="AL345" s="338"/>
      <c r="AM345" s="338"/>
      <c r="AN345" s="338"/>
      <c r="AO345" s="338"/>
      <c r="AP345" s="338"/>
      <c r="AQ345" s="338"/>
      <c r="AR345" s="338"/>
    </row>
    <row r="346" spans="1:44" ht="30" customHeight="1">
      <c r="A346" s="487">
        <v>46100</v>
      </c>
      <c r="B346" s="445" t="s">
        <v>2585</v>
      </c>
      <c r="C346" s="326" t="s">
        <v>2544</v>
      </c>
      <c r="D346" s="361"/>
      <c r="E346" s="525" t="s">
        <v>2526</v>
      </c>
      <c r="F346" s="396" t="s">
        <v>52</v>
      </c>
      <c r="G346" s="396">
        <v>100</v>
      </c>
      <c r="H346" s="393" t="s">
        <v>1270</v>
      </c>
      <c r="I346" s="404" t="s">
        <v>2233</v>
      </c>
      <c r="J346" s="484" t="s">
        <v>59</v>
      </c>
      <c r="K346" s="404" t="s">
        <v>63</v>
      </c>
      <c r="L346" s="392" t="s">
        <v>64</v>
      </c>
      <c r="M346" s="383">
        <v>46286</v>
      </c>
      <c r="N346" s="665" t="s">
        <v>54</v>
      </c>
      <c r="O346" s="369" t="s">
        <v>1386</v>
      </c>
      <c r="P346" s="395">
        <v>45320</v>
      </c>
      <c r="Q346" s="348"/>
      <c r="R346" s="390" t="s">
        <v>59</v>
      </c>
      <c r="S346" s="683">
        <v>134</v>
      </c>
      <c r="T346" s="683">
        <v>102</v>
      </c>
      <c r="U346" s="683">
        <v>20</v>
      </c>
      <c r="V346" s="389">
        <v>1</v>
      </c>
      <c r="W346" s="347">
        <f>ROUND(G346/V346,2)</f>
        <v>100</v>
      </c>
      <c r="X346" s="682">
        <f>50*W346</f>
        <v>5000</v>
      </c>
      <c r="Y346" s="414">
        <f>ROUND((S346*T346*U346)*0.000001*W346,2)</f>
        <v>27.34</v>
      </c>
      <c r="Z346" s="761">
        <v>305.75</v>
      </c>
      <c r="AA346" s="360">
        <f>Z346*G346</f>
        <v>30575</v>
      </c>
      <c r="AB346" s="355" t="s">
        <v>46</v>
      </c>
      <c r="AC346" s="355"/>
      <c r="AD346" s="327"/>
      <c r="AE346" s="375"/>
      <c r="AF346" s="375"/>
      <c r="AG346" s="345"/>
      <c r="AH346" s="345"/>
      <c r="AI346" s="345"/>
      <c r="AJ346" s="375"/>
      <c r="AK346" s="375"/>
      <c r="AL346" s="375"/>
      <c r="AM346" s="375"/>
      <c r="AN346" s="375"/>
      <c r="AO346" s="345"/>
      <c r="AP346" s="375"/>
      <c r="AQ346" s="375"/>
      <c r="AR346" s="375"/>
    </row>
    <row r="347" spans="1:44" ht="30" customHeight="1">
      <c r="A347" s="487">
        <v>46100</v>
      </c>
      <c r="B347" s="445" t="s">
        <v>2585</v>
      </c>
      <c r="C347" s="326" t="s">
        <v>2549</v>
      </c>
      <c r="D347" s="361"/>
      <c r="E347" s="525" t="s">
        <v>2526</v>
      </c>
      <c r="F347" s="396" t="s">
        <v>52</v>
      </c>
      <c r="G347" s="396">
        <v>100</v>
      </c>
      <c r="H347" s="393" t="s">
        <v>1270</v>
      </c>
      <c r="I347" s="404" t="s">
        <v>2233</v>
      </c>
      <c r="J347" s="484" t="s">
        <v>59</v>
      </c>
      <c r="K347" s="404" t="s">
        <v>63</v>
      </c>
      <c r="L347" s="392" t="s">
        <v>64</v>
      </c>
      <c r="M347" s="383">
        <v>46286</v>
      </c>
      <c r="N347" s="328"/>
      <c r="O347" s="369" t="s">
        <v>1386</v>
      </c>
      <c r="P347" s="395">
        <v>45320</v>
      </c>
      <c r="Q347" s="348"/>
      <c r="R347" s="390" t="s">
        <v>59</v>
      </c>
      <c r="S347" s="683">
        <v>134</v>
      </c>
      <c r="T347" s="683">
        <v>102</v>
      </c>
      <c r="U347" s="683">
        <v>20</v>
      </c>
      <c r="V347" s="389">
        <v>1</v>
      </c>
      <c r="W347" s="347">
        <f>ROUND(G347/V347,2)</f>
        <v>100</v>
      </c>
      <c r="X347" s="682">
        <f>50*W347</f>
        <v>5000</v>
      </c>
      <c r="Y347" s="414">
        <f>ROUND((S347*T347*U347)*0.000001*W347,2)</f>
        <v>27.34</v>
      </c>
      <c r="Z347" s="761">
        <v>305.75</v>
      </c>
      <c r="AA347" s="360">
        <f>Z347*G347</f>
        <v>30575</v>
      </c>
      <c r="AB347" s="355" t="s">
        <v>46</v>
      </c>
      <c r="AC347" s="355"/>
      <c r="AD347" s="327"/>
      <c r="AE347" s="375"/>
      <c r="AF347" s="375"/>
      <c r="AG347" s="345"/>
      <c r="AH347" s="345"/>
      <c r="AI347" s="345"/>
      <c r="AJ347" s="375"/>
      <c r="AK347" s="375"/>
      <c r="AL347" s="375"/>
      <c r="AM347" s="375"/>
      <c r="AN347" s="375"/>
      <c r="AO347" s="345"/>
      <c r="AP347" s="375"/>
      <c r="AQ347" s="375"/>
      <c r="AR347" s="375"/>
    </row>
    <row r="348" spans="1:44" ht="30" customHeight="1">
      <c r="A348" s="487">
        <v>46100</v>
      </c>
      <c r="B348" s="445" t="s">
        <v>2585</v>
      </c>
      <c r="C348" s="326" t="s">
        <v>2550</v>
      </c>
      <c r="D348" s="361"/>
      <c r="E348" s="525" t="s">
        <v>2526</v>
      </c>
      <c r="F348" s="396" t="s">
        <v>52</v>
      </c>
      <c r="G348" s="396">
        <v>100</v>
      </c>
      <c r="H348" s="393" t="s">
        <v>1270</v>
      </c>
      <c r="I348" s="404" t="s">
        <v>2233</v>
      </c>
      <c r="J348" s="484" t="s">
        <v>59</v>
      </c>
      <c r="K348" s="404" t="s">
        <v>63</v>
      </c>
      <c r="L348" s="392" t="s">
        <v>64</v>
      </c>
      <c r="M348" s="383">
        <v>46286</v>
      </c>
      <c r="N348" s="328"/>
      <c r="O348" s="369" t="s">
        <v>1386</v>
      </c>
      <c r="P348" s="395">
        <v>45320</v>
      </c>
      <c r="Q348" s="348"/>
      <c r="R348" s="390" t="s">
        <v>59</v>
      </c>
      <c r="S348" s="683">
        <v>134</v>
      </c>
      <c r="T348" s="683">
        <v>102</v>
      </c>
      <c r="U348" s="683">
        <v>20</v>
      </c>
      <c r="V348" s="389">
        <v>1</v>
      </c>
      <c r="W348" s="347">
        <f>ROUND(G348/V348,2)</f>
        <v>100</v>
      </c>
      <c r="X348" s="682">
        <f>50*W348</f>
        <v>5000</v>
      </c>
      <c r="Y348" s="414">
        <f>ROUND((S348*T348*U348)*0.000001*W348,2)</f>
        <v>27.34</v>
      </c>
      <c r="Z348" s="761">
        <v>305.75</v>
      </c>
      <c r="AA348" s="360">
        <f>Z348*G348</f>
        <v>30575</v>
      </c>
      <c r="AB348" s="355" t="s">
        <v>46</v>
      </c>
      <c r="AC348" s="355"/>
      <c r="AD348" s="327"/>
      <c r="AE348" s="375"/>
      <c r="AF348" s="375"/>
      <c r="AG348" s="345"/>
      <c r="AH348" s="345"/>
      <c r="AI348" s="345"/>
      <c r="AJ348" s="375"/>
      <c r="AK348" s="375"/>
      <c r="AL348" s="375"/>
      <c r="AM348" s="375"/>
      <c r="AN348" s="375"/>
      <c r="AO348" s="345"/>
      <c r="AP348" s="375"/>
      <c r="AQ348" s="375"/>
      <c r="AR348" s="375"/>
    </row>
    <row r="349" spans="1:44" ht="27" customHeight="1">
      <c r="A349" s="330"/>
      <c r="B349" s="331"/>
      <c r="C349" s="332"/>
      <c r="D349" s="333"/>
      <c r="E349" s="334"/>
      <c r="F349" s="334"/>
      <c r="G349" s="335">
        <f>SUM(G346:G348)</f>
        <v>300</v>
      </c>
      <c r="H349" s="334"/>
      <c r="I349" s="334"/>
      <c r="J349" s="334"/>
      <c r="K349" s="334"/>
      <c r="L349" s="336"/>
      <c r="M349" s="332"/>
      <c r="N349" s="332"/>
      <c r="O349" s="337"/>
      <c r="P349" s="338"/>
      <c r="Q349" s="337"/>
      <c r="R349" s="339"/>
      <c r="S349" s="340"/>
      <c r="T349" s="340"/>
      <c r="U349" s="340"/>
      <c r="V349" s="340"/>
      <c r="W349" s="341"/>
      <c r="X349" s="342"/>
      <c r="Y349" s="343">
        <f>SUM(Y346:Y348)</f>
        <v>82.02</v>
      </c>
      <c r="Z349" s="342"/>
      <c r="AA349" s="344"/>
      <c r="AB349" s="332"/>
      <c r="AC349" s="332"/>
      <c r="AD349" s="339"/>
      <c r="AE349" s="337"/>
      <c r="AF349" s="338"/>
      <c r="AG349" s="337"/>
      <c r="AH349" s="338"/>
      <c r="AI349" s="337"/>
      <c r="AJ349" s="338"/>
      <c r="AK349" s="338"/>
      <c r="AL349" s="338"/>
      <c r="AM349" s="338"/>
      <c r="AN349" s="338"/>
      <c r="AO349" s="338"/>
      <c r="AP349" s="338"/>
      <c r="AQ349" s="338"/>
      <c r="AR349" s="338"/>
    </row>
    <row r="350" spans="1:44" ht="27.75" customHeight="1">
      <c r="A350" s="351" t="s">
        <v>2530</v>
      </c>
      <c r="B350" s="331"/>
      <c r="C350" s="332"/>
      <c r="D350" s="333"/>
      <c r="E350" s="334"/>
      <c r="F350" s="334"/>
      <c r="G350" s="524"/>
      <c r="H350" s="341"/>
      <c r="I350" s="334"/>
      <c r="J350" s="334"/>
      <c r="K350" s="334"/>
      <c r="L350" s="336"/>
      <c r="M350" s="332"/>
      <c r="N350" s="332"/>
      <c r="O350" s="337"/>
      <c r="P350" s="338"/>
      <c r="Q350" s="337"/>
      <c r="R350" s="339"/>
      <c r="S350" s="340"/>
      <c r="T350" s="340"/>
      <c r="U350" s="340"/>
      <c r="V350" s="340"/>
      <c r="W350" s="341"/>
      <c r="X350" s="342"/>
      <c r="Y350" s="350"/>
      <c r="Z350" s="342"/>
      <c r="AA350" s="344"/>
      <c r="AB350" s="332"/>
      <c r="AC350" s="332"/>
      <c r="AD350" s="339"/>
      <c r="AE350" s="337"/>
      <c r="AF350" s="338"/>
      <c r="AG350" s="337"/>
      <c r="AH350" s="338"/>
      <c r="AI350" s="337"/>
      <c r="AJ350" s="338"/>
      <c r="AK350" s="338"/>
      <c r="AL350" s="338"/>
      <c r="AM350" s="338"/>
      <c r="AN350" s="338"/>
      <c r="AO350" s="338"/>
      <c r="AP350" s="338"/>
      <c r="AQ350" s="338"/>
      <c r="AR350" s="338"/>
    </row>
    <row r="351" spans="1:44" ht="30" customHeight="1">
      <c r="A351" s="487">
        <v>46100</v>
      </c>
      <c r="B351" s="445" t="s">
        <v>2585</v>
      </c>
      <c r="C351" s="326" t="s">
        <v>2551</v>
      </c>
      <c r="D351" s="361"/>
      <c r="E351" s="525" t="s">
        <v>2526</v>
      </c>
      <c r="F351" s="396" t="s">
        <v>52</v>
      </c>
      <c r="G351" s="396">
        <v>100</v>
      </c>
      <c r="H351" s="393" t="s">
        <v>1270</v>
      </c>
      <c r="I351" s="404" t="s">
        <v>2233</v>
      </c>
      <c r="J351" s="484" t="s">
        <v>59</v>
      </c>
      <c r="K351" s="404" t="s">
        <v>63</v>
      </c>
      <c r="L351" s="392" t="s">
        <v>64</v>
      </c>
      <c r="M351" s="383">
        <v>46315</v>
      </c>
      <c r="N351" s="665" t="s">
        <v>54</v>
      </c>
      <c r="O351" s="369" t="s">
        <v>1386</v>
      </c>
      <c r="P351" s="395">
        <v>45320</v>
      </c>
      <c r="Q351" s="348"/>
      <c r="R351" s="390" t="s">
        <v>59</v>
      </c>
      <c r="S351" s="683">
        <v>134</v>
      </c>
      <c r="T351" s="683">
        <v>102</v>
      </c>
      <c r="U351" s="683">
        <v>20</v>
      </c>
      <c r="V351" s="389">
        <v>1</v>
      </c>
      <c r="W351" s="347">
        <f>ROUND(G351/V351,2)</f>
        <v>100</v>
      </c>
      <c r="X351" s="682">
        <f>50*W351</f>
        <v>5000</v>
      </c>
      <c r="Y351" s="414">
        <f>ROUND((S351*T351*U351)*0.000001*W351,2)</f>
        <v>27.34</v>
      </c>
      <c r="Z351" s="761">
        <v>305.75</v>
      </c>
      <c r="AA351" s="360">
        <f>Z351*G351</f>
        <v>30575</v>
      </c>
      <c r="AB351" s="355" t="s">
        <v>46</v>
      </c>
      <c r="AC351" s="355"/>
      <c r="AD351" s="327"/>
      <c r="AE351" s="375"/>
      <c r="AF351" s="375"/>
      <c r="AG351" s="345"/>
      <c r="AH351" s="345"/>
      <c r="AI351" s="345"/>
      <c r="AJ351" s="375"/>
      <c r="AK351" s="375"/>
      <c r="AL351" s="375"/>
      <c r="AM351" s="375"/>
      <c r="AN351" s="375"/>
      <c r="AO351" s="345"/>
      <c r="AP351" s="375"/>
      <c r="AQ351" s="375"/>
      <c r="AR351" s="375"/>
    </row>
    <row r="352" spans="1:44" ht="30" customHeight="1">
      <c r="A352" s="487">
        <v>46100</v>
      </c>
      <c r="B352" s="445" t="s">
        <v>2585</v>
      </c>
      <c r="C352" s="326" t="s">
        <v>2545</v>
      </c>
      <c r="D352" s="361"/>
      <c r="E352" s="525" t="s">
        <v>2526</v>
      </c>
      <c r="F352" s="396" t="s">
        <v>52</v>
      </c>
      <c r="G352" s="396">
        <v>100</v>
      </c>
      <c r="H352" s="393" t="s">
        <v>1270</v>
      </c>
      <c r="I352" s="404" t="s">
        <v>2233</v>
      </c>
      <c r="J352" s="484" t="s">
        <v>59</v>
      </c>
      <c r="K352" s="404" t="s">
        <v>63</v>
      </c>
      <c r="L352" s="392" t="s">
        <v>64</v>
      </c>
      <c r="M352" s="383">
        <v>46315</v>
      </c>
      <c r="N352" s="328"/>
      <c r="O352" s="369" t="s">
        <v>1386</v>
      </c>
      <c r="P352" s="395">
        <v>45320</v>
      </c>
      <c r="Q352" s="348"/>
      <c r="R352" s="390" t="s">
        <v>59</v>
      </c>
      <c r="S352" s="683">
        <v>134</v>
      </c>
      <c r="T352" s="683">
        <v>102</v>
      </c>
      <c r="U352" s="683">
        <v>20</v>
      </c>
      <c r="V352" s="389">
        <v>1</v>
      </c>
      <c r="W352" s="347">
        <f>ROUND(G352/V352,2)</f>
        <v>100</v>
      </c>
      <c r="X352" s="682">
        <f>50*W352</f>
        <v>5000</v>
      </c>
      <c r="Y352" s="414">
        <f>ROUND((S352*T352*U352)*0.000001*W352,2)</f>
        <v>27.34</v>
      </c>
      <c r="Z352" s="761">
        <v>305.75</v>
      </c>
      <c r="AA352" s="360">
        <f>Z352*G352</f>
        <v>30575</v>
      </c>
      <c r="AB352" s="355" t="s">
        <v>46</v>
      </c>
      <c r="AC352" s="355"/>
      <c r="AD352" s="327"/>
      <c r="AE352" s="375"/>
      <c r="AF352" s="375"/>
      <c r="AG352" s="345"/>
      <c r="AH352" s="345"/>
      <c r="AI352" s="345"/>
      <c r="AJ352" s="375"/>
      <c r="AK352" s="375"/>
      <c r="AL352" s="375"/>
      <c r="AM352" s="375"/>
      <c r="AN352" s="375"/>
      <c r="AO352" s="345"/>
      <c r="AP352" s="375"/>
      <c r="AQ352" s="375"/>
      <c r="AR352" s="375"/>
    </row>
    <row r="353" spans="1:316" ht="30" customHeight="1">
      <c r="A353" s="487">
        <v>46100</v>
      </c>
      <c r="B353" s="445" t="s">
        <v>2585</v>
      </c>
      <c r="C353" s="326" t="s">
        <v>2552</v>
      </c>
      <c r="D353" s="361"/>
      <c r="E353" s="525" t="s">
        <v>2526</v>
      </c>
      <c r="F353" s="396" t="s">
        <v>52</v>
      </c>
      <c r="G353" s="396">
        <v>100</v>
      </c>
      <c r="H353" s="393" t="s">
        <v>1270</v>
      </c>
      <c r="I353" s="404" t="s">
        <v>2233</v>
      </c>
      <c r="J353" s="484" t="s">
        <v>59</v>
      </c>
      <c r="K353" s="404" t="s">
        <v>63</v>
      </c>
      <c r="L353" s="392" t="s">
        <v>64</v>
      </c>
      <c r="M353" s="383">
        <v>46315</v>
      </c>
      <c r="N353" s="328"/>
      <c r="O353" s="369" t="s">
        <v>1386</v>
      </c>
      <c r="P353" s="395">
        <v>45320</v>
      </c>
      <c r="Q353" s="348"/>
      <c r="R353" s="390" t="s">
        <v>59</v>
      </c>
      <c r="S353" s="683">
        <v>134</v>
      </c>
      <c r="T353" s="683">
        <v>102</v>
      </c>
      <c r="U353" s="683">
        <v>20</v>
      </c>
      <c r="V353" s="389">
        <v>1</v>
      </c>
      <c r="W353" s="347">
        <f>ROUND(G353/V353,2)</f>
        <v>100</v>
      </c>
      <c r="X353" s="682">
        <f>50*W353</f>
        <v>5000</v>
      </c>
      <c r="Y353" s="414">
        <f>ROUND((S353*T353*U353)*0.000001*W353,2)</f>
        <v>27.34</v>
      </c>
      <c r="Z353" s="761">
        <v>305.75</v>
      </c>
      <c r="AA353" s="360">
        <f>Z353*G353</f>
        <v>30575</v>
      </c>
      <c r="AB353" s="355" t="s">
        <v>46</v>
      </c>
      <c r="AC353" s="355"/>
      <c r="AD353" s="327"/>
      <c r="AE353" s="375"/>
      <c r="AF353" s="375"/>
      <c r="AG353" s="345"/>
      <c r="AH353" s="345"/>
      <c r="AI353" s="345"/>
      <c r="AJ353" s="375"/>
      <c r="AK353" s="375"/>
      <c r="AL353" s="375"/>
      <c r="AM353" s="375"/>
      <c r="AN353" s="375"/>
      <c r="AO353" s="345"/>
      <c r="AP353" s="375"/>
      <c r="AQ353" s="375"/>
      <c r="AR353" s="375"/>
    </row>
    <row r="354" spans="1:316" ht="27" customHeight="1">
      <c r="A354" s="330"/>
      <c r="B354" s="331"/>
      <c r="C354" s="332"/>
      <c r="D354" s="333"/>
      <c r="E354" s="334"/>
      <c r="F354" s="334"/>
      <c r="G354" s="335">
        <f>SUM(G351:G353)</f>
        <v>300</v>
      </c>
      <c r="H354" s="334"/>
      <c r="I354" s="334"/>
      <c r="J354" s="334"/>
      <c r="K354" s="334"/>
      <c r="L354" s="336"/>
      <c r="M354" s="332"/>
      <c r="N354" s="332"/>
      <c r="O354" s="337"/>
      <c r="P354" s="338"/>
      <c r="Q354" s="337"/>
      <c r="R354" s="339"/>
      <c r="S354" s="340"/>
      <c r="T354" s="340"/>
      <c r="U354" s="340"/>
      <c r="V354" s="340"/>
      <c r="W354" s="341"/>
      <c r="X354" s="342"/>
      <c r="Y354" s="343">
        <f>SUM(Y351:Y353)</f>
        <v>82.02</v>
      </c>
      <c r="Z354" s="342"/>
      <c r="AA354" s="344"/>
      <c r="AB354" s="332"/>
      <c r="AC354" s="332"/>
      <c r="AD354" s="339"/>
      <c r="AE354" s="337"/>
      <c r="AF354" s="338"/>
      <c r="AG354" s="337"/>
      <c r="AH354" s="338"/>
      <c r="AI354" s="337"/>
      <c r="AJ354" s="338"/>
      <c r="AK354" s="338"/>
      <c r="AL354" s="338"/>
      <c r="AM354" s="338"/>
      <c r="AN354" s="338"/>
      <c r="AO354" s="338"/>
      <c r="AP354" s="338"/>
      <c r="AQ354" s="338"/>
      <c r="AR354" s="338"/>
    </row>
    <row r="355" spans="1:316" ht="27.75" customHeight="1">
      <c r="A355" s="351" t="s">
        <v>2531</v>
      </c>
      <c r="B355" s="331"/>
      <c r="C355" s="332"/>
      <c r="D355" s="333"/>
      <c r="E355" s="334"/>
      <c r="F355" s="334"/>
      <c r="G355" s="524"/>
      <c r="H355" s="341"/>
      <c r="I355" s="334"/>
      <c r="J355" s="334"/>
      <c r="K355" s="334"/>
      <c r="L355" s="336"/>
      <c r="M355" s="332"/>
      <c r="N355" s="332"/>
      <c r="O355" s="337"/>
      <c r="P355" s="338"/>
      <c r="Q355" s="337"/>
      <c r="R355" s="339"/>
      <c r="S355" s="340"/>
      <c r="T355" s="340"/>
      <c r="U355" s="340"/>
      <c r="V355" s="340"/>
      <c r="W355" s="341"/>
      <c r="X355" s="342"/>
      <c r="Y355" s="350"/>
      <c r="Z355" s="342"/>
      <c r="AA355" s="344"/>
      <c r="AB355" s="332"/>
      <c r="AC355" s="332"/>
      <c r="AD355" s="339"/>
      <c r="AE355" s="337"/>
      <c r="AF355" s="338"/>
      <c r="AG355" s="337"/>
      <c r="AH355" s="338"/>
      <c r="AI355" s="337"/>
      <c r="AJ355" s="338"/>
      <c r="AK355" s="338"/>
      <c r="AL355" s="338"/>
      <c r="AM355" s="338"/>
      <c r="AN355" s="338"/>
      <c r="AO355" s="338"/>
      <c r="AP355" s="338"/>
      <c r="AQ355" s="338"/>
      <c r="AR355" s="338"/>
    </row>
    <row r="356" spans="1:316" ht="30" customHeight="1">
      <c r="A356" s="796">
        <v>46093</v>
      </c>
      <c r="B356" s="797" t="s">
        <v>2353</v>
      </c>
      <c r="C356" s="326" t="s">
        <v>2553</v>
      </c>
      <c r="D356" s="361"/>
      <c r="E356" s="525" t="s">
        <v>2526</v>
      </c>
      <c r="F356" s="396" t="s">
        <v>52</v>
      </c>
      <c r="G356" s="396">
        <v>100</v>
      </c>
      <c r="H356" s="393" t="s">
        <v>1270</v>
      </c>
      <c r="I356" s="404" t="s">
        <v>2233</v>
      </c>
      <c r="J356" s="484" t="s">
        <v>59</v>
      </c>
      <c r="K356" s="404" t="s">
        <v>63</v>
      </c>
      <c r="L356" s="392" t="s">
        <v>64</v>
      </c>
      <c r="M356" s="383">
        <v>46346</v>
      </c>
      <c r="N356" s="328"/>
      <c r="O356" s="369" t="s">
        <v>1386</v>
      </c>
      <c r="P356" s="395">
        <v>45320</v>
      </c>
      <c r="Q356" s="348"/>
      <c r="R356" s="390" t="s">
        <v>59</v>
      </c>
      <c r="S356" s="683">
        <v>134</v>
      </c>
      <c r="T356" s="683">
        <v>102</v>
      </c>
      <c r="U356" s="683">
        <v>20</v>
      </c>
      <c r="V356" s="389">
        <v>1</v>
      </c>
      <c r="W356" s="347">
        <f>ROUND(G356/V356,2)</f>
        <v>100</v>
      </c>
      <c r="X356" s="682">
        <f>50*W356</f>
        <v>5000</v>
      </c>
      <c r="Y356" s="414">
        <f>ROUND((S356*T356*U356)*0.000001*W356,2)</f>
        <v>27.34</v>
      </c>
      <c r="Z356" s="376">
        <v>319.85000000000002</v>
      </c>
      <c r="AA356" s="360">
        <f>Z356*G356</f>
        <v>31985.000000000004</v>
      </c>
      <c r="AB356" s="355" t="s">
        <v>46</v>
      </c>
      <c r="AC356" s="355"/>
      <c r="AD356" s="327"/>
      <c r="AE356" s="375"/>
      <c r="AF356" s="375"/>
      <c r="AG356" s="345"/>
      <c r="AH356" s="345"/>
      <c r="AI356" s="345"/>
      <c r="AJ356" s="375"/>
      <c r="AK356" s="375"/>
      <c r="AL356" s="375"/>
      <c r="AM356" s="375"/>
      <c r="AN356" s="375"/>
      <c r="AO356" s="345"/>
      <c r="AP356" s="375"/>
      <c r="AQ356" s="375"/>
      <c r="AR356" s="375"/>
    </row>
    <row r="357" spans="1:316" ht="30" customHeight="1">
      <c r="A357" s="796">
        <v>46093</v>
      </c>
      <c r="B357" s="797" t="s">
        <v>2353</v>
      </c>
      <c r="C357" s="326" t="s">
        <v>2554</v>
      </c>
      <c r="D357" s="361"/>
      <c r="E357" s="525" t="s">
        <v>2526</v>
      </c>
      <c r="F357" s="396" t="s">
        <v>52</v>
      </c>
      <c r="G357" s="396">
        <v>100</v>
      </c>
      <c r="H357" s="393" t="s">
        <v>1270</v>
      </c>
      <c r="I357" s="404" t="s">
        <v>2233</v>
      </c>
      <c r="J357" s="484" t="s">
        <v>59</v>
      </c>
      <c r="K357" s="404" t="s">
        <v>63</v>
      </c>
      <c r="L357" s="392" t="s">
        <v>64</v>
      </c>
      <c r="M357" s="383">
        <v>46346</v>
      </c>
      <c r="N357" s="328"/>
      <c r="O357" s="369" t="s">
        <v>1386</v>
      </c>
      <c r="P357" s="395">
        <v>45320</v>
      </c>
      <c r="Q357" s="348"/>
      <c r="R357" s="390" t="s">
        <v>59</v>
      </c>
      <c r="S357" s="683">
        <v>134</v>
      </c>
      <c r="T357" s="683">
        <v>102</v>
      </c>
      <c r="U357" s="683">
        <v>20</v>
      </c>
      <c r="V357" s="389">
        <v>1</v>
      </c>
      <c r="W357" s="347">
        <f>ROUND(G357/V357,2)</f>
        <v>100</v>
      </c>
      <c r="X357" s="682">
        <f>50*W357</f>
        <v>5000</v>
      </c>
      <c r="Y357" s="414">
        <f>ROUND((S357*T357*U357)*0.000001*W357,2)</f>
        <v>27.34</v>
      </c>
      <c r="Z357" s="376">
        <v>319.85000000000002</v>
      </c>
      <c r="AA357" s="360">
        <f>Z357*G357</f>
        <v>31985.000000000004</v>
      </c>
      <c r="AB357" s="355" t="s">
        <v>46</v>
      </c>
      <c r="AC357" s="355"/>
      <c r="AD357" s="327"/>
      <c r="AE357" s="375"/>
      <c r="AF357" s="375"/>
      <c r="AG357" s="345"/>
      <c r="AH357" s="345"/>
      <c r="AI357" s="345"/>
      <c r="AJ357" s="375"/>
      <c r="AK357" s="375"/>
      <c r="AL357" s="375"/>
      <c r="AM357" s="375"/>
      <c r="AN357" s="375"/>
      <c r="AO357" s="345"/>
      <c r="AP357" s="375"/>
      <c r="AQ357" s="375"/>
      <c r="AR357" s="375"/>
    </row>
    <row r="358" spans="1:316" ht="27" customHeight="1">
      <c r="A358" s="330"/>
      <c r="B358" s="331"/>
      <c r="C358" s="332"/>
      <c r="D358" s="333"/>
      <c r="E358" s="334"/>
      <c r="F358" s="334"/>
      <c r="G358" s="335">
        <f>SUM(G356:G357)</f>
        <v>200</v>
      </c>
      <c r="H358" s="334"/>
      <c r="I358" s="334"/>
      <c r="J358" s="334"/>
      <c r="K358" s="334"/>
      <c r="L358" s="336"/>
      <c r="M358" s="332"/>
      <c r="N358" s="332"/>
      <c r="O358" s="337"/>
      <c r="P358" s="338"/>
      <c r="Q358" s="337"/>
      <c r="R358" s="339"/>
      <c r="S358" s="340"/>
      <c r="T358" s="340"/>
      <c r="U358" s="340"/>
      <c r="V358" s="340"/>
      <c r="W358" s="341"/>
      <c r="X358" s="342"/>
      <c r="Y358" s="343">
        <f>SUM(Y356:Y357)</f>
        <v>54.68</v>
      </c>
      <c r="Z358" s="342"/>
      <c r="AA358" s="344"/>
      <c r="AB358" s="332"/>
      <c r="AC358" s="332"/>
      <c r="AD358" s="339"/>
      <c r="AE358" s="337"/>
      <c r="AF358" s="338"/>
      <c r="AG358" s="337"/>
      <c r="AH358" s="338"/>
      <c r="AI358" s="337"/>
      <c r="AJ358" s="338"/>
      <c r="AK358" s="338"/>
      <c r="AL358" s="338"/>
      <c r="AM358" s="338"/>
      <c r="AN358" s="338"/>
      <c r="AO358" s="338"/>
      <c r="AP358" s="338"/>
      <c r="AQ358" s="338"/>
      <c r="AR358" s="338"/>
    </row>
    <row r="359" spans="1:316" ht="30" customHeight="1">
      <c r="A359" s="672" t="s">
        <v>2182</v>
      </c>
      <c r="B359" s="673"/>
      <c r="C359" s="674"/>
      <c r="D359" s="675"/>
      <c r="E359" s="666"/>
      <c r="F359" s="666"/>
      <c r="G359" s="666"/>
      <c r="H359" s="666"/>
      <c r="I359" s="666"/>
      <c r="J359" s="666"/>
      <c r="K359" s="666"/>
      <c r="L359" s="668"/>
      <c r="M359" s="667"/>
      <c r="N359" s="667"/>
      <c r="O359" s="666"/>
      <c r="P359" s="667"/>
      <c r="Q359" s="666"/>
      <c r="R359" s="667"/>
      <c r="S359" s="667"/>
      <c r="T359" s="667"/>
      <c r="U359" s="667"/>
      <c r="V359" s="667"/>
      <c r="W359" s="666"/>
      <c r="X359" s="667"/>
      <c r="Y359" s="667"/>
      <c r="Z359" s="667"/>
      <c r="AA359" s="669"/>
      <c r="AB359" s="667"/>
      <c r="AC359" s="667"/>
      <c r="AD359" s="667"/>
      <c r="AE359" s="666"/>
      <c r="AF359" s="667"/>
      <c r="AG359" s="666"/>
      <c r="AH359" s="667"/>
      <c r="AI359" s="666"/>
      <c r="AJ359" s="667"/>
      <c r="AK359" s="667"/>
      <c r="AL359" s="667"/>
      <c r="AM359" s="667"/>
      <c r="AN359" s="667"/>
      <c r="AO359" s="667"/>
      <c r="AP359" s="667"/>
      <c r="AQ359" s="667"/>
      <c r="AR359" s="667"/>
    </row>
    <row r="360" spans="1:316" s="104" customFormat="1" ht="23.25" customHeight="1">
      <c r="A360" s="692">
        <v>45756</v>
      </c>
      <c r="B360" s="445" t="s">
        <v>2143</v>
      </c>
      <c r="C360" s="326" t="s">
        <v>2144</v>
      </c>
      <c r="D360" s="361"/>
      <c r="E360" s="647" t="s">
        <v>2396</v>
      </c>
      <c r="F360" s="393" t="s">
        <v>52</v>
      </c>
      <c r="G360" s="630">
        <v>20</v>
      </c>
      <c r="H360" s="497" t="s">
        <v>2388</v>
      </c>
      <c r="I360" s="392" t="s">
        <v>2141</v>
      </c>
      <c r="J360" s="484" t="s">
        <v>59</v>
      </c>
      <c r="K360" s="512" t="s">
        <v>56</v>
      </c>
      <c r="L360" s="392" t="s">
        <v>64</v>
      </c>
      <c r="M360" s="406"/>
      <c r="N360" s="665" t="s">
        <v>54</v>
      </c>
      <c r="O360" s="382" t="s">
        <v>65</v>
      </c>
      <c r="P360" s="374">
        <v>45755</v>
      </c>
      <c r="Q360" s="348"/>
      <c r="R360" s="390" t="s">
        <v>59</v>
      </c>
      <c r="S360" s="368">
        <v>220</v>
      </c>
      <c r="T360" s="368">
        <v>36</v>
      </c>
      <c r="U360" s="368">
        <v>40</v>
      </c>
      <c r="V360" s="368">
        <v>4</v>
      </c>
      <c r="W360" s="347">
        <f>G360/V360</f>
        <v>5</v>
      </c>
      <c r="X360" s="386">
        <f>60*W360</f>
        <v>300</v>
      </c>
      <c r="Y360" s="408">
        <f>ROUND((S360*T360*U360)*0.000001*W360,2)</f>
        <v>1.58</v>
      </c>
      <c r="Z360" s="606">
        <v>148.05000000000001</v>
      </c>
      <c r="AA360" s="360">
        <f>Z360*G360</f>
        <v>2961</v>
      </c>
      <c r="AB360" s="371" t="s">
        <v>46</v>
      </c>
      <c r="AC360" s="362" t="s">
        <v>48</v>
      </c>
      <c r="AD360" s="327"/>
      <c r="AE360" s="375"/>
      <c r="AF360" s="375"/>
      <c r="AG360" s="405"/>
      <c r="AH360" s="405"/>
      <c r="AI360" s="375"/>
      <c r="AJ360" s="375"/>
      <c r="AK360" s="375"/>
      <c r="AL360" s="375"/>
      <c r="AM360" s="375"/>
      <c r="AN360" s="375"/>
      <c r="AO360" s="405"/>
      <c r="AP360" s="375"/>
      <c r="AQ360" s="375"/>
      <c r="AR360" s="375"/>
    </row>
    <row r="361" spans="1:316" s="104" customFormat="1" ht="25.5" customHeight="1">
      <c r="A361" s="692">
        <v>45756</v>
      </c>
      <c r="B361" s="445" t="s">
        <v>2143</v>
      </c>
      <c r="C361" s="326" t="s">
        <v>2142</v>
      </c>
      <c r="D361" s="361"/>
      <c r="E361" s="647" t="s">
        <v>2396</v>
      </c>
      <c r="F361" s="393" t="s">
        <v>52</v>
      </c>
      <c r="G361" s="630">
        <v>20</v>
      </c>
      <c r="H361" s="497" t="s">
        <v>2388</v>
      </c>
      <c r="I361" s="392" t="s">
        <v>2141</v>
      </c>
      <c r="J361" s="484" t="s">
        <v>59</v>
      </c>
      <c r="K361" s="512" t="s">
        <v>56</v>
      </c>
      <c r="L361" s="392" t="s">
        <v>64</v>
      </c>
      <c r="M361" s="406"/>
      <c r="N361" s="505"/>
      <c r="O361" s="382" t="s">
        <v>65</v>
      </c>
      <c r="P361" s="374">
        <v>45755</v>
      </c>
      <c r="Q361" s="348"/>
      <c r="R361" s="390" t="s">
        <v>59</v>
      </c>
      <c r="S361" s="368">
        <v>220</v>
      </c>
      <c r="T361" s="368">
        <v>36</v>
      </c>
      <c r="U361" s="368">
        <v>40</v>
      </c>
      <c r="V361" s="368">
        <v>4</v>
      </c>
      <c r="W361" s="347">
        <f>G361/V361</f>
        <v>5</v>
      </c>
      <c r="X361" s="386">
        <f>60*W361</f>
        <v>300</v>
      </c>
      <c r="Y361" s="408">
        <f>ROUND((S361*T361*U361)*0.000001*W361,2)</f>
        <v>1.58</v>
      </c>
      <c r="Z361" s="606">
        <v>148.05000000000001</v>
      </c>
      <c r="AA361" s="360">
        <f>Z361*G361</f>
        <v>2961</v>
      </c>
      <c r="AB361" s="371" t="s">
        <v>46</v>
      </c>
      <c r="AC361" s="362" t="s">
        <v>48</v>
      </c>
      <c r="AD361" s="327"/>
      <c r="AE361" s="375"/>
      <c r="AF361" s="375"/>
      <c r="AG361" s="405"/>
      <c r="AH361" s="405"/>
      <c r="AI361" s="375"/>
      <c r="AJ361" s="375"/>
      <c r="AK361" s="375"/>
      <c r="AL361" s="375"/>
      <c r="AM361" s="375"/>
      <c r="AN361" s="375"/>
      <c r="AO361" s="405"/>
      <c r="AP361" s="375"/>
      <c r="AQ361" s="375"/>
      <c r="AR361" s="375"/>
    </row>
    <row r="362" spans="1:316" s="104" customFormat="1" ht="29.25" customHeight="1">
      <c r="A362" s="692">
        <v>45756</v>
      </c>
      <c r="B362" s="445" t="s">
        <v>2143</v>
      </c>
      <c r="C362" s="326" t="s">
        <v>2156</v>
      </c>
      <c r="D362" s="361"/>
      <c r="E362" s="647" t="s">
        <v>2396</v>
      </c>
      <c r="F362" s="393" t="s">
        <v>52</v>
      </c>
      <c r="G362" s="630">
        <v>15</v>
      </c>
      <c r="H362" s="497" t="s">
        <v>2388</v>
      </c>
      <c r="I362" s="392" t="s">
        <v>2141</v>
      </c>
      <c r="J362" s="484" t="s">
        <v>59</v>
      </c>
      <c r="K362" s="512" t="s">
        <v>56</v>
      </c>
      <c r="L362" s="392" t="s">
        <v>64</v>
      </c>
      <c r="M362" s="406"/>
      <c r="N362" s="505"/>
      <c r="O362" s="382" t="s">
        <v>65</v>
      </c>
      <c r="P362" s="374">
        <v>45755</v>
      </c>
      <c r="Q362" s="348"/>
      <c r="R362" s="390" t="s">
        <v>59</v>
      </c>
      <c r="S362" s="368">
        <v>220</v>
      </c>
      <c r="T362" s="368">
        <v>36</v>
      </c>
      <c r="U362" s="368">
        <v>40</v>
      </c>
      <c r="V362" s="368">
        <v>4</v>
      </c>
      <c r="W362" s="347">
        <f>G362/V362</f>
        <v>3.75</v>
      </c>
      <c r="X362" s="386">
        <f>60*W362</f>
        <v>225</v>
      </c>
      <c r="Y362" s="408">
        <f>ROUND((S362*T362*U362)*0.000001*W362,2)</f>
        <v>1.19</v>
      </c>
      <c r="Z362" s="606">
        <v>148.05000000000001</v>
      </c>
      <c r="AA362" s="360">
        <f>Z362*G362</f>
        <v>2220.75</v>
      </c>
      <c r="AB362" s="371" t="s">
        <v>46</v>
      </c>
      <c r="AC362" s="362" t="s">
        <v>48</v>
      </c>
      <c r="AD362" s="327"/>
      <c r="AE362" s="375"/>
      <c r="AF362" s="375"/>
      <c r="AG362" s="405"/>
      <c r="AH362" s="405"/>
      <c r="AI362" s="375"/>
      <c r="AJ362" s="375"/>
      <c r="AK362" s="375"/>
      <c r="AL362" s="375"/>
      <c r="AM362" s="375"/>
      <c r="AN362" s="375"/>
      <c r="AO362" s="405"/>
      <c r="AP362" s="375"/>
      <c r="AQ362" s="375"/>
      <c r="AR362" s="375"/>
    </row>
    <row r="363" spans="1:316" ht="30" customHeight="1">
      <c r="A363" s="487">
        <v>45961</v>
      </c>
      <c r="B363" s="445" t="s">
        <v>2314</v>
      </c>
      <c r="C363" s="326" t="s">
        <v>2313</v>
      </c>
      <c r="D363" s="361"/>
      <c r="E363" s="647" t="s">
        <v>2396</v>
      </c>
      <c r="F363" s="396" t="s">
        <v>52</v>
      </c>
      <c r="G363" s="630">
        <v>10</v>
      </c>
      <c r="H363" s="497" t="s">
        <v>2388</v>
      </c>
      <c r="I363" s="392" t="s">
        <v>2141</v>
      </c>
      <c r="J363" s="484" t="s">
        <v>59</v>
      </c>
      <c r="K363" s="653" t="s">
        <v>56</v>
      </c>
      <c r="L363" s="392" t="s">
        <v>64</v>
      </c>
      <c r="M363" s="383"/>
      <c r="N363" s="505"/>
      <c r="O363" s="382" t="s">
        <v>65</v>
      </c>
      <c r="P363" s="374">
        <v>45755</v>
      </c>
      <c r="Q363" s="348"/>
      <c r="R363" s="390" t="s">
        <v>59</v>
      </c>
      <c r="S363" s="368">
        <v>220</v>
      </c>
      <c r="T363" s="368">
        <v>36</v>
      </c>
      <c r="U363" s="368">
        <v>40</v>
      </c>
      <c r="V363" s="368">
        <v>5</v>
      </c>
      <c r="W363" s="347">
        <f>G363/V363</f>
        <v>2</v>
      </c>
      <c r="X363" s="386">
        <f>60*W363</f>
        <v>120</v>
      </c>
      <c r="Y363" s="408">
        <f>ROUND((S363*T363*U363)*0.000001*W363,2)</f>
        <v>0.63</v>
      </c>
      <c r="Z363" s="606">
        <v>148.05000000000001</v>
      </c>
      <c r="AA363" s="360">
        <f>Z363*G363</f>
        <v>1480.5</v>
      </c>
      <c r="AB363" s="371" t="s">
        <v>46</v>
      </c>
      <c r="AC363" s="355"/>
      <c r="AD363" s="327"/>
      <c r="AE363" s="375"/>
      <c r="AF363" s="375"/>
      <c r="AG363" s="345"/>
      <c r="AH363" s="345"/>
      <c r="AI363" s="345"/>
      <c r="AJ363" s="375"/>
      <c r="AK363" s="375"/>
      <c r="AL363" s="375"/>
      <c r="AM363" s="375"/>
      <c r="AN363" s="375"/>
      <c r="AO363" s="405"/>
      <c r="AP363" s="375"/>
      <c r="AQ363" s="375"/>
      <c r="AR363" s="375"/>
    </row>
    <row r="364" spans="1:316" ht="30" customHeight="1">
      <c r="A364" s="351" t="s">
        <v>2351</v>
      </c>
      <c r="B364" s="331"/>
      <c r="C364" s="332"/>
      <c r="D364" s="333"/>
      <c r="E364" s="334"/>
      <c r="F364" s="334"/>
      <c r="G364" s="334"/>
      <c r="H364" s="341"/>
      <c r="I364" s="334"/>
      <c r="J364" s="334"/>
      <c r="K364" s="334"/>
      <c r="L364" s="336"/>
      <c r="M364" s="332"/>
      <c r="N364" s="332"/>
      <c r="O364" s="337"/>
      <c r="P364" s="338"/>
      <c r="Q364" s="337"/>
      <c r="R364" s="339"/>
      <c r="S364" s="340"/>
      <c r="T364" s="340"/>
      <c r="U364" s="340"/>
      <c r="V364" s="340"/>
      <c r="W364" s="341"/>
      <c r="X364" s="342"/>
      <c r="Y364" s="350"/>
      <c r="Z364" s="342"/>
      <c r="AA364" s="344"/>
      <c r="AB364" s="332"/>
      <c r="AC364" s="332"/>
      <c r="AD364" s="339"/>
      <c r="AE364" s="337"/>
      <c r="AF364" s="338"/>
      <c r="AG364" s="337"/>
      <c r="AH364" s="338"/>
      <c r="AI364" s="337"/>
      <c r="AJ364" s="338"/>
      <c r="AK364" s="338"/>
      <c r="AL364" s="338"/>
      <c r="AM364" s="338"/>
      <c r="AN364" s="338"/>
      <c r="AO364" s="338"/>
      <c r="AP364" s="338"/>
      <c r="AQ364" s="338"/>
      <c r="AR364" s="338"/>
    </row>
    <row r="365" spans="1:316" s="104" customFormat="1" ht="24.75" customHeight="1">
      <c r="A365" s="731">
        <v>46027</v>
      </c>
      <c r="B365" s="664" t="s">
        <v>2353</v>
      </c>
      <c r="C365" s="437" t="s">
        <v>2368</v>
      </c>
      <c r="D365" s="349" t="s">
        <v>2397</v>
      </c>
      <c r="E365" s="540" t="s">
        <v>1849</v>
      </c>
      <c r="F365" s="387" t="s">
        <v>679</v>
      </c>
      <c r="G365" s="396">
        <v>320</v>
      </c>
      <c r="H365" s="631" t="s">
        <v>710</v>
      </c>
      <c r="I365" s="402" t="s">
        <v>119</v>
      </c>
      <c r="J365" s="363" t="s">
        <v>101</v>
      </c>
      <c r="K365" s="363" t="s">
        <v>53</v>
      </c>
      <c r="L365" s="391" t="s">
        <v>72</v>
      </c>
      <c r="M365" s="328"/>
      <c r="N365" s="394"/>
      <c r="O365" s="363" t="s">
        <v>1677</v>
      </c>
      <c r="P365" s="494">
        <v>42319</v>
      </c>
      <c r="Q365" s="425">
        <v>46031</v>
      </c>
      <c r="R365" s="365" t="s">
        <v>57</v>
      </c>
      <c r="S365" s="363">
        <f>ROUND(16.535*2.54,2)</f>
        <v>42</v>
      </c>
      <c r="T365" s="363">
        <f>ROUND(9.057*2.54,2)</f>
        <v>23</v>
      </c>
      <c r="U365" s="363">
        <f>ROUND(1.574*2.54,2)</f>
        <v>4</v>
      </c>
      <c r="V365" s="363">
        <v>1</v>
      </c>
      <c r="W365" s="363">
        <f>ROUND(G365/V365,2)</f>
        <v>320</v>
      </c>
      <c r="X365" s="402">
        <f>0.8*W365</f>
        <v>256</v>
      </c>
      <c r="Y365" s="363">
        <f>ROUND((S365*T365*U365)*0.000001*W365,2)</f>
        <v>1.24</v>
      </c>
      <c r="Z365" s="396">
        <v>8.09</v>
      </c>
      <c r="AA365" s="727">
        <f>Z365*G365</f>
        <v>2588.8000000000002</v>
      </c>
      <c r="AB365" s="419" t="s">
        <v>46</v>
      </c>
      <c r="AC365" s="361"/>
      <c r="AD365" s="355" t="s">
        <v>104</v>
      </c>
      <c r="AE365" s="425">
        <v>46031</v>
      </c>
      <c r="AF365" s="446">
        <v>46051</v>
      </c>
      <c r="AG365" s="375"/>
      <c r="AH365" s="375"/>
      <c r="AI365" s="329" t="s">
        <v>51</v>
      </c>
      <c r="AJ365" s="446">
        <v>46097</v>
      </c>
      <c r="AK365" s="446">
        <v>46097</v>
      </c>
      <c r="AL365" s="375"/>
      <c r="AM365" s="375"/>
      <c r="AN365" s="375"/>
      <c r="AO365" s="329"/>
      <c r="AP365" s="329"/>
      <c r="AQ365" s="329"/>
      <c r="AR365" s="375" t="s">
        <v>3382</v>
      </c>
      <c r="LD365" s="104" t="s">
        <v>51</v>
      </c>
    </row>
    <row r="366" spans="1:316" s="104" customFormat="1" ht="37.5" customHeight="1">
      <c r="A366" s="731">
        <v>46027</v>
      </c>
      <c r="B366" s="664" t="s">
        <v>2375</v>
      </c>
      <c r="C366" s="437" t="s">
        <v>2370</v>
      </c>
      <c r="D366" s="349" t="s">
        <v>2399</v>
      </c>
      <c r="E366" s="366"/>
      <c r="F366" s="391" t="s">
        <v>52</v>
      </c>
      <c r="G366" s="396">
        <v>300</v>
      </c>
      <c r="H366" s="498" t="s">
        <v>2354</v>
      </c>
      <c r="I366" s="393" t="s">
        <v>2355</v>
      </c>
      <c r="J366" s="484" t="s">
        <v>59</v>
      </c>
      <c r="K366" s="392" t="s">
        <v>53</v>
      </c>
      <c r="L366" s="486" t="s">
        <v>92</v>
      </c>
      <c r="M366" s="328"/>
      <c r="N366" s="733"/>
      <c r="O366" s="398" t="s">
        <v>55</v>
      </c>
      <c r="P366" s="409" t="s">
        <v>44</v>
      </c>
      <c r="Q366" s="425">
        <v>46041</v>
      </c>
      <c r="R366" s="327" t="s">
        <v>49</v>
      </c>
      <c r="S366" s="368">
        <v>55</v>
      </c>
      <c r="T366" s="355">
        <v>46</v>
      </c>
      <c r="U366" s="368">
        <v>35</v>
      </c>
      <c r="V366" s="355">
        <v>20</v>
      </c>
      <c r="W366" s="355">
        <f>ROUND(G366/V366,2)</f>
        <v>15</v>
      </c>
      <c r="X366" s="355">
        <f>(0.9*V366+1.5)*W366</f>
        <v>292.5</v>
      </c>
      <c r="Y366" s="355">
        <f>ROUND((S366*T366*U366)*0.000001*W366,2)</f>
        <v>1.33</v>
      </c>
      <c r="Z366" s="396">
        <v>9.6</v>
      </c>
      <c r="AA366" s="410">
        <f>Z366*G366</f>
        <v>2880</v>
      </c>
      <c r="AB366" s="346" t="s">
        <v>46</v>
      </c>
      <c r="AC366" s="362" t="s">
        <v>48</v>
      </c>
      <c r="AD366" s="327"/>
      <c r="AE366" s="425">
        <v>46041</v>
      </c>
      <c r="AF366" s="446">
        <v>46058</v>
      </c>
      <c r="AG366" s="345"/>
      <c r="AH366" s="345"/>
      <c r="AI366" s="345"/>
      <c r="AJ366" s="446">
        <v>46150</v>
      </c>
      <c r="AK366" s="446">
        <v>46150</v>
      </c>
      <c r="AL366" s="446">
        <v>46157</v>
      </c>
      <c r="AM366" s="375"/>
      <c r="AN366" s="345"/>
      <c r="AO366" s="345"/>
      <c r="AP366" s="531"/>
      <c r="AQ366" s="531"/>
      <c r="AR366" s="375" t="s">
        <v>3382</v>
      </c>
    </row>
    <row r="367" spans="1:316" s="115" customFormat="1" ht="26.25" customHeight="1">
      <c r="A367" s="731">
        <v>46027</v>
      </c>
      <c r="B367" s="664" t="s">
        <v>2375</v>
      </c>
      <c r="C367" s="437" t="s">
        <v>2373</v>
      </c>
      <c r="D367" s="361" t="s">
        <v>2401</v>
      </c>
      <c r="E367" s="735"/>
      <c r="F367" s="396" t="s">
        <v>52</v>
      </c>
      <c r="G367" s="396">
        <v>300</v>
      </c>
      <c r="H367" s="710" t="s">
        <v>2361</v>
      </c>
      <c r="I367" s="363" t="s">
        <v>58</v>
      </c>
      <c r="J367" s="363" t="s">
        <v>2362</v>
      </c>
      <c r="K367" s="485" t="s">
        <v>56</v>
      </c>
      <c r="L367" s="446" t="s">
        <v>3023</v>
      </c>
      <c r="M367" s="406"/>
      <c r="N367" s="355"/>
      <c r="O367" s="382" t="s">
        <v>55</v>
      </c>
      <c r="P367" s="328" t="s">
        <v>48</v>
      </c>
      <c r="Q367" s="425">
        <v>46048</v>
      </c>
      <c r="R367" s="381" t="s">
        <v>57</v>
      </c>
      <c r="S367" s="549">
        <v>120</v>
      </c>
      <c r="T367" s="549">
        <v>100</v>
      </c>
      <c r="U367" s="549">
        <v>120</v>
      </c>
      <c r="V367" s="549">
        <v>50</v>
      </c>
      <c r="W367" s="420">
        <f>ROUND(G367/V367,2)</f>
        <v>6</v>
      </c>
      <c r="X367" s="347">
        <f>W367*246</f>
        <v>1476</v>
      </c>
      <c r="Y367" s="359">
        <f>ROUND((S367*T367*U367)*0.000001*W367,2)</f>
        <v>8.64</v>
      </c>
      <c r="Z367" s="347">
        <v>30.1</v>
      </c>
      <c r="AA367" s="360">
        <f>Z367*G367</f>
        <v>9030</v>
      </c>
      <c r="AB367" s="373" t="s">
        <v>46</v>
      </c>
      <c r="AC367" s="361"/>
      <c r="AD367" s="362"/>
      <c r="AE367" s="425">
        <v>46048</v>
      </c>
      <c r="AF367" s="446">
        <v>46058</v>
      </c>
      <c r="AG367" s="329"/>
      <c r="AH367" s="375"/>
      <c r="AI367" s="329" t="s">
        <v>51</v>
      </c>
      <c r="AJ367" s="375"/>
      <c r="AK367" s="375"/>
      <c r="AL367" s="375"/>
      <c r="AM367" s="375"/>
      <c r="AN367" s="375"/>
      <c r="AO367" s="405"/>
      <c r="AP367" s="375"/>
      <c r="AQ367" s="446" t="s">
        <v>2075</v>
      </c>
      <c r="AR367" s="375"/>
    </row>
    <row r="368" spans="1:316" ht="26.25" customHeight="1">
      <c r="A368" s="731">
        <v>46027</v>
      </c>
      <c r="B368" s="675" t="s">
        <v>3101</v>
      </c>
      <c r="C368" s="437" t="s">
        <v>2374</v>
      </c>
      <c r="D368" s="361" t="s">
        <v>2900</v>
      </c>
      <c r="E368" s="736"/>
      <c r="F368" s="396" t="s">
        <v>52</v>
      </c>
      <c r="G368" s="421">
        <v>200</v>
      </c>
      <c r="H368" s="497" t="s">
        <v>2317</v>
      </c>
      <c r="I368" s="387" t="s">
        <v>58</v>
      </c>
      <c r="J368" s="363" t="s">
        <v>2316</v>
      </c>
      <c r="K368" s="486" t="s">
        <v>56</v>
      </c>
      <c r="L368" s="603" t="s">
        <v>64</v>
      </c>
      <c r="M368" s="487"/>
      <c r="N368" s="505"/>
      <c r="O368" s="327" t="s">
        <v>65</v>
      </c>
      <c r="P368" s="356">
        <v>42011</v>
      </c>
      <c r="Q368" s="425">
        <v>46086</v>
      </c>
      <c r="R368" s="366" t="s">
        <v>2147</v>
      </c>
      <c r="S368" s="368">
        <v>120</v>
      </c>
      <c r="T368" s="355">
        <v>100</v>
      </c>
      <c r="U368" s="368">
        <v>120</v>
      </c>
      <c r="V368" s="355">
        <v>25</v>
      </c>
      <c r="W368" s="347">
        <f>G368/V368</f>
        <v>8</v>
      </c>
      <c r="X368" s="385">
        <f>211*W368</f>
        <v>1688</v>
      </c>
      <c r="Y368" s="347">
        <f>ROUND((S368*T368*U368)*0.000001*W368,2)</f>
        <v>11.52</v>
      </c>
      <c r="Z368" s="396">
        <v>88.29</v>
      </c>
      <c r="AA368" s="410">
        <v>16986</v>
      </c>
      <c r="AB368" s="346" t="s">
        <v>46</v>
      </c>
      <c r="AC368" s="362"/>
      <c r="AD368" s="327"/>
      <c r="AE368" s="425">
        <v>46086</v>
      </c>
      <c r="AF368" s="425">
        <v>46088</v>
      </c>
      <c r="AG368" s="345"/>
      <c r="AH368" s="375"/>
      <c r="AI368" s="345"/>
      <c r="AJ368" s="375"/>
      <c r="AK368" s="375"/>
      <c r="AL368" s="375"/>
      <c r="AM368" s="375"/>
      <c r="AN368" s="375"/>
      <c r="AO368" s="405"/>
      <c r="AP368" s="375"/>
      <c r="AQ368" s="446" t="s">
        <v>2075</v>
      </c>
      <c r="AR368" s="375"/>
    </row>
    <row r="369" spans="1:44" ht="30" customHeight="1">
      <c r="A369" s="351" t="s">
        <v>2875</v>
      </c>
      <c r="B369" s="331"/>
      <c r="C369" s="332"/>
      <c r="D369" s="333"/>
      <c r="E369" s="334"/>
      <c r="F369" s="334"/>
      <c r="G369" s="334"/>
      <c r="H369" s="341"/>
      <c r="I369" s="334"/>
      <c r="J369" s="334"/>
      <c r="K369" s="334"/>
      <c r="L369" s="336"/>
      <c r="M369" s="332"/>
      <c r="N369" s="332"/>
      <c r="O369" s="337"/>
      <c r="P369" s="338"/>
      <c r="Q369" s="337"/>
      <c r="R369" s="339"/>
      <c r="S369" s="340"/>
      <c r="T369" s="340"/>
      <c r="U369" s="340"/>
      <c r="V369" s="340"/>
      <c r="W369" s="341"/>
      <c r="X369" s="342"/>
      <c r="Y369" s="350"/>
      <c r="Z369" s="342"/>
      <c r="AA369" s="344"/>
      <c r="AB369" s="332"/>
      <c r="AC369" s="332"/>
      <c r="AD369" s="339"/>
      <c r="AE369" s="337"/>
      <c r="AF369" s="338"/>
      <c r="AG369" s="337"/>
      <c r="AH369" s="338"/>
      <c r="AI369" s="337"/>
      <c r="AJ369" s="338"/>
      <c r="AK369" s="338"/>
      <c r="AL369" s="338"/>
      <c r="AM369" s="338"/>
      <c r="AN369" s="338"/>
      <c r="AO369" s="338"/>
      <c r="AP369" s="338"/>
      <c r="AQ369" s="338"/>
      <c r="AR369" s="338"/>
    </row>
    <row r="370" spans="1:44" ht="30" customHeight="1">
      <c r="A370" s="487">
        <v>46160</v>
      </c>
      <c r="B370" s="445" t="s">
        <v>3435</v>
      </c>
      <c r="C370" s="326" t="s">
        <v>3434</v>
      </c>
      <c r="D370" s="361"/>
      <c r="E370" s="488" t="s">
        <v>3433</v>
      </c>
      <c r="F370" s="396" t="s">
        <v>52</v>
      </c>
      <c r="G370" s="396">
        <v>50</v>
      </c>
      <c r="H370" s="387" t="s">
        <v>3432</v>
      </c>
      <c r="I370" s="393" t="s">
        <v>3431</v>
      </c>
      <c r="J370" s="363" t="s">
        <v>49</v>
      </c>
      <c r="K370" s="384" t="s">
        <v>56</v>
      </c>
      <c r="L370" s="545" t="s">
        <v>3430</v>
      </c>
      <c r="M370" s="383">
        <v>46244</v>
      </c>
      <c r="N370" s="403" t="s">
        <v>54</v>
      </c>
      <c r="O370" s="382" t="s">
        <v>3429</v>
      </c>
      <c r="P370" s="374">
        <v>45577</v>
      </c>
      <c r="Q370" s="348"/>
      <c r="R370" s="395" t="s">
        <v>49</v>
      </c>
      <c r="S370" s="543">
        <v>70</v>
      </c>
      <c r="T370" s="543">
        <v>60</v>
      </c>
      <c r="U370" s="543">
        <v>20</v>
      </c>
      <c r="V370" s="543">
        <v>2</v>
      </c>
      <c r="W370" s="388">
        <f>ROUND(G370/V370,2)</f>
        <v>25</v>
      </c>
      <c r="X370" s="424">
        <f>17*W370</f>
        <v>425</v>
      </c>
      <c r="Y370" s="408">
        <f>ROUND((S370*T370*U370)*0.000001*W370,2)</f>
        <v>2.1</v>
      </c>
      <c r="Z370" s="396">
        <v>56.76</v>
      </c>
      <c r="AA370" s="360">
        <f>Z370*G370</f>
        <v>2838</v>
      </c>
      <c r="AB370" s="346" t="s">
        <v>46</v>
      </c>
      <c r="AC370" s="355"/>
      <c r="AD370" s="327"/>
      <c r="AE370" s="375"/>
      <c r="AF370" s="375"/>
      <c r="AG370" s="375"/>
      <c r="AH370" s="345"/>
      <c r="AI370" s="375"/>
      <c r="AJ370" s="345"/>
      <c r="AK370" s="345"/>
      <c r="AL370" s="375"/>
      <c r="AM370" s="375"/>
      <c r="AN370" s="345"/>
      <c r="AO370" s="345"/>
      <c r="AP370" s="345"/>
      <c r="AQ370" s="345"/>
      <c r="AR370" s="375"/>
    </row>
    <row r="371" spans="1:44" ht="30" customHeight="1">
      <c r="A371" s="487">
        <v>46160</v>
      </c>
      <c r="B371" s="445" t="s">
        <v>3428</v>
      </c>
      <c r="C371" s="437" t="s">
        <v>3427</v>
      </c>
      <c r="D371" s="361"/>
      <c r="E371" s="488"/>
      <c r="F371" s="396" t="s">
        <v>52</v>
      </c>
      <c r="G371" s="396">
        <v>300</v>
      </c>
      <c r="H371" s="497" t="s">
        <v>2058</v>
      </c>
      <c r="I371" s="363" t="s">
        <v>2057</v>
      </c>
      <c r="J371" s="404" t="s">
        <v>49</v>
      </c>
      <c r="K371" s="392" t="s">
        <v>56</v>
      </c>
      <c r="L371" s="446" t="s">
        <v>634</v>
      </c>
      <c r="M371" s="383">
        <v>46244</v>
      </c>
      <c r="N371" s="505"/>
      <c r="O371" s="369" t="s">
        <v>1386</v>
      </c>
      <c r="P371" s="374" t="s">
        <v>48</v>
      </c>
      <c r="Q371" s="348"/>
      <c r="R371" s="390" t="s">
        <v>59</v>
      </c>
      <c r="S371" s="368">
        <v>122</v>
      </c>
      <c r="T371" s="368">
        <v>72</v>
      </c>
      <c r="U371" s="368">
        <v>15</v>
      </c>
      <c r="V371" s="368">
        <v>1</v>
      </c>
      <c r="W371" s="386">
        <f>ROUND(G371/V371,2)</f>
        <v>300</v>
      </c>
      <c r="X371" s="368">
        <f>30*W371</f>
        <v>9000</v>
      </c>
      <c r="Y371" s="408">
        <f>ROUND((S371*T371*U371)*0.000001*W371,2)</f>
        <v>39.53</v>
      </c>
      <c r="Z371" s="641">
        <v>218</v>
      </c>
      <c r="AA371" s="360">
        <f>Z371*G371</f>
        <v>65400</v>
      </c>
      <c r="AB371" s="346" t="s">
        <v>46</v>
      </c>
      <c r="AC371" s="355"/>
      <c r="AD371" s="327"/>
      <c r="AE371" s="375"/>
      <c r="AF371" s="375"/>
      <c r="AG371" s="375"/>
      <c r="AH371" s="345"/>
      <c r="AI371" s="345"/>
      <c r="AJ371" s="375"/>
      <c r="AK371" s="375"/>
      <c r="AL371" s="375"/>
      <c r="AM371" s="375"/>
      <c r="AN371" s="345"/>
      <c r="AO371" s="345"/>
      <c r="AP371" s="375"/>
      <c r="AQ371" s="375"/>
      <c r="AR371" s="375"/>
    </row>
    <row r="372" spans="1:44" ht="30" customHeight="1">
      <c r="A372" s="487">
        <v>46160</v>
      </c>
      <c r="B372" s="445" t="s">
        <v>3426</v>
      </c>
      <c r="C372" s="326" t="s">
        <v>3425</v>
      </c>
      <c r="D372" s="361"/>
      <c r="E372" s="488"/>
      <c r="F372" s="396" t="s">
        <v>52</v>
      </c>
      <c r="G372" s="396">
        <v>100</v>
      </c>
      <c r="H372" s="327" t="s">
        <v>3424</v>
      </c>
      <c r="I372" s="358" t="s">
        <v>3423</v>
      </c>
      <c r="J372" s="358" t="s">
        <v>49</v>
      </c>
      <c r="K372" s="365" t="s">
        <v>1308</v>
      </c>
      <c r="L372" s="972" t="s">
        <v>60</v>
      </c>
      <c r="M372" s="383">
        <v>46215</v>
      </c>
      <c r="N372" s="505"/>
      <c r="O372" s="327" t="s">
        <v>2360</v>
      </c>
      <c r="P372" s="679">
        <v>45208</v>
      </c>
      <c r="Q372" s="348"/>
      <c r="R372" s="355" t="s">
        <v>49</v>
      </c>
      <c r="S372" s="401">
        <v>45</v>
      </c>
      <c r="T372" s="401">
        <v>21</v>
      </c>
      <c r="U372" s="401">
        <v>15</v>
      </c>
      <c r="V372" s="401">
        <v>20</v>
      </c>
      <c r="W372" s="973">
        <f>ROUND(G372/V372,2)</f>
        <v>5</v>
      </c>
      <c r="X372" s="973">
        <f>3*W372</f>
        <v>15</v>
      </c>
      <c r="Y372" s="408">
        <f>ROUND((S372*T372*U372)*0.000001*W372,2)</f>
        <v>7.0000000000000007E-2</v>
      </c>
      <c r="Z372" s="376">
        <v>1.77</v>
      </c>
      <c r="AA372" s="410">
        <f>Z372*G372</f>
        <v>177</v>
      </c>
      <c r="AB372" s="346" t="s">
        <v>46</v>
      </c>
      <c r="AC372" s="355"/>
      <c r="AD372" s="327"/>
      <c r="AE372" s="375"/>
      <c r="AF372" s="375"/>
      <c r="AG372" s="345"/>
      <c r="AH372" s="345"/>
      <c r="AI372" s="375"/>
      <c r="AJ372" s="345"/>
      <c r="AK372" s="345"/>
      <c r="AL372" s="375"/>
      <c r="AM372" s="375"/>
      <c r="AN372" s="345"/>
      <c r="AO372" s="345"/>
      <c r="AP372" s="345"/>
      <c r="AQ372" s="345"/>
      <c r="AR372" s="446" t="s">
        <v>2525</v>
      </c>
    </row>
    <row r="373" spans="1:44" ht="30" customHeight="1">
      <c r="A373" s="487">
        <v>46160</v>
      </c>
      <c r="B373" s="445" t="s">
        <v>3422</v>
      </c>
      <c r="C373" s="437" t="s">
        <v>3421</v>
      </c>
      <c r="D373" s="361"/>
      <c r="E373" s="488"/>
      <c r="F373" s="396" t="s">
        <v>52</v>
      </c>
      <c r="G373" s="396">
        <v>100</v>
      </c>
      <c r="H373" s="836" t="s">
        <v>687</v>
      </c>
      <c r="I373" s="402" t="s">
        <v>2232</v>
      </c>
      <c r="J373" s="363" t="s">
        <v>49</v>
      </c>
      <c r="K373" s="402" t="s">
        <v>56</v>
      </c>
      <c r="L373" s="974"/>
      <c r="M373" s="383">
        <v>46244</v>
      </c>
      <c r="N373" s="505"/>
      <c r="O373" s="369" t="s">
        <v>1386</v>
      </c>
      <c r="P373" s="374" t="s">
        <v>48</v>
      </c>
      <c r="Q373" s="348"/>
      <c r="R373" s="495" t="s">
        <v>59</v>
      </c>
      <c r="S373" s="401">
        <v>92</v>
      </c>
      <c r="T373" s="401">
        <v>72</v>
      </c>
      <c r="U373" s="401">
        <v>15</v>
      </c>
      <c r="V373" s="401">
        <v>1</v>
      </c>
      <c r="W373" s="973">
        <f>ROUND(G373/V373,2)</f>
        <v>100</v>
      </c>
      <c r="X373" s="753">
        <f>26*W373</f>
        <v>2600</v>
      </c>
      <c r="Y373" s="355">
        <f>ROUND((S373*T373*U373)*0.000001*W373,2)</f>
        <v>9.94</v>
      </c>
      <c r="Z373" s="971">
        <v>192.01</v>
      </c>
      <c r="AA373" s="970">
        <f>Z373*G373</f>
        <v>19201</v>
      </c>
      <c r="AB373" s="371" t="s">
        <v>46</v>
      </c>
      <c r="AC373" s="355"/>
      <c r="AD373" s="327"/>
      <c r="AE373" s="375"/>
      <c r="AF373" s="375"/>
      <c r="AG373" s="375"/>
      <c r="AH373" s="345"/>
      <c r="AI373" s="345"/>
      <c r="AJ373" s="375"/>
      <c r="AK373" s="375"/>
      <c r="AL373" s="375"/>
      <c r="AM373" s="375"/>
      <c r="AN373" s="345"/>
      <c r="AO373" s="345"/>
      <c r="AP373" s="375"/>
      <c r="AQ373" s="375"/>
      <c r="AR373" s="375"/>
    </row>
    <row r="374" spans="1:44" ht="24" customHeight="1">
      <c r="E374" s="92" t="s">
        <v>51</v>
      </c>
      <c r="F374"/>
      <c r="L374" s="882"/>
    </row>
    <row r="375" spans="1:44">
      <c r="H375" s="111" t="s">
        <v>51</v>
      </c>
    </row>
    <row r="379" spans="1:44">
      <c r="I379" s="92" t="s">
        <v>2405</v>
      </c>
    </row>
  </sheetData>
  <protectedRanges>
    <protectedRange sqref="G363" name="Range1_22_3_3_3_1_1_1_1_1_1_3_2_1_2_1_1_1_1_1_1_1_1_1_1_2_2_1_2_1_1_4"/>
    <protectedRange sqref="G145 G14" name="Range1_22_3_3_3_1_1_1_1_1_1_3_2_1_2_1_1_1_1_1_1_1_1_1_1_2_2_1_1_2_1_1"/>
    <protectedRange sqref="G69" name="Range1_22_3_3_3_1_1_1_1_1_1_3_2_1_2_1_1_1_1_1_1_1_1_1_1_2_2_1_2_1_1_4_3"/>
    <protectedRange sqref="G54" name="Range1_22_3_3_3_1_1_1_1_1_1_1_2_1_1_1_1_1_1_2_1_7"/>
    <protectedRange sqref="E113" name="Range1_19_3_1_1_2_1_1_1_3_2_2_1_2_1_1_1_1_5_6"/>
    <protectedRange sqref="G82" name="Range1_22_3_3_3_1_1_1_1_1_1_3_2_1_2_1_1_1_1_1_1_1_1_1_1_2_2_1_2_1_1_4_8"/>
  </protectedRanges>
  <autoFilter ref="A1:XEV375" xr:uid="{F1F3F3CC-0BA8-4A4D-ADBB-114572DC590C}">
    <filterColumn colId="18" showButton="0"/>
    <filterColumn colId="19" showButton="0"/>
    <filterColumn colId="25" showButton="0"/>
    <filterColumn colId="26" showButton="0"/>
  </autoFilter>
  <mergeCells count="42">
    <mergeCell ref="E97:E98"/>
    <mergeCell ref="E99:E100"/>
    <mergeCell ref="E1:E2"/>
    <mergeCell ref="D1:D2"/>
    <mergeCell ref="P1:P2"/>
    <mergeCell ref="Q1:Q2"/>
    <mergeCell ref="O1:O2"/>
    <mergeCell ref="G1:G2"/>
    <mergeCell ref="H1:H2"/>
    <mergeCell ref="J1:J2"/>
    <mergeCell ref="K1:K2"/>
    <mergeCell ref="L1:L2"/>
    <mergeCell ref="M1:M2"/>
    <mergeCell ref="N1:N2"/>
    <mergeCell ref="I1:I2"/>
    <mergeCell ref="AR1:AR2"/>
    <mergeCell ref="AH1:AH2"/>
    <mergeCell ref="AI1:AI2"/>
    <mergeCell ref="AJ1:AJ2"/>
    <mergeCell ref="AK1:AK2"/>
    <mergeCell ref="AL1:AL2"/>
    <mergeCell ref="AM1:AM2"/>
    <mergeCell ref="AN1:AN2"/>
    <mergeCell ref="AP1:AP2"/>
    <mergeCell ref="AQ1:AQ2"/>
    <mergeCell ref="AO1:AO2"/>
    <mergeCell ref="A1:A2"/>
    <mergeCell ref="B1:B2"/>
    <mergeCell ref="R1:R2"/>
    <mergeCell ref="AG1:AG2"/>
    <mergeCell ref="AE1:AE2"/>
    <mergeCell ref="AF1:AF2"/>
    <mergeCell ref="AD1:AD2"/>
    <mergeCell ref="Z1:AB1"/>
    <mergeCell ref="AC1:AC2"/>
    <mergeCell ref="Y1:Y2"/>
    <mergeCell ref="S1:U1"/>
    <mergeCell ref="W1:W2"/>
    <mergeCell ref="V1:V2"/>
    <mergeCell ref="X1:X2"/>
    <mergeCell ref="C1:C2"/>
    <mergeCell ref="F1:F2"/>
  </mergeCells>
  <phoneticPr fontId="25" type="noConversion"/>
  <pageMargins left="0.25" right="0" top="0.43" bottom="0" header="0.3" footer="0.3"/>
  <pageSetup paperSize="9" scale="80" fitToHeight="0" orientation="landscape"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0B2CF-6B62-4601-8864-8DD5C123357A}">
  <sheetPr codeName="Sheet2">
    <tabColor rgb="FF0070C0"/>
  </sheetPr>
  <dimension ref="A1:L10"/>
  <sheetViews>
    <sheetView zoomScale="70" zoomScaleNormal="70" zoomScaleSheetLayoutView="100" workbookViewId="0">
      <pane ySplit="2" topLeftCell="A3" activePane="bottomLeft" state="frozen"/>
      <selection activeCell="I7" sqref="I7"/>
      <selection pane="bottomLeft" activeCell="D5" sqref="D5"/>
    </sheetView>
  </sheetViews>
  <sheetFormatPr defaultColWidth="8.85546875" defaultRowHeight="18.75"/>
  <cols>
    <col min="1" max="1" width="12.42578125" style="81" customWidth="1"/>
    <col min="2" max="2" width="10.28515625" style="81" customWidth="1"/>
    <col min="3" max="3" width="22.140625" style="81" customWidth="1"/>
    <col min="4" max="4" width="20.5703125" style="81" customWidth="1"/>
    <col min="5" max="5" width="11.5703125" style="82" customWidth="1"/>
    <col min="6" max="6" width="24" style="83" customWidth="1"/>
    <col min="7" max="7" width="38.5703125" style="84" customWidth="1"/>
    <col min="8" max="8" width="19.5703125" style="81" customWidth="1"/>
    <col min="9" max="9" width="13.140625" style="85" customWidth="1"/>
    <col min="10" max="10" width="16" style="85" customWidth="1"/>
    <col min="11" max="11" width="15.42578125" style="85" customWidth="1"/>
    <col min="12" max="12" width="15.28515625" style="85" customWidth="1"/>
    <col min="13" max="14" width="8.85546875" style="89"/>
    <col min="15" max="15" width="11.28515625" style="89" customWidth="1"/>
    <col min="16" max="242" width="8.85546875" style="89"/>
    <col min="243" max="243" width="9" style="89" customWidth="1"/>
    <col min="244" max="244" width="11.85546875" style="89" customWidth="1"/>
    <col min="245" max="245" width="9.7109375" style="89" customWidth="1"/>
    <col min="246" max="246" width="12.85546875" style="89" customWidth="1"/>
    <col min="247" max="247" width="45.28515625" style="89" customWidth="1"/>
    <col min="248" max="248" width="12.28515625" style="89" customWidth="1"/>
    <col min="249" max="249" width="7.28515625" style="89" customWidth="1"/>
    <col min="250" max="250" width="18.7109375" style="89" customWidth="1"/>
    <col min="251" max="251" width="22.85546875" style="89" customWidth="1"/>
    <col min="252" max="252" width="21" style="89" customWidth="1"/>
    <col min="253" max="253" width="18.85546875" style="89" customWidth="1"/>
    <col min="254" max="254" width="11.42578125" style="89" customWidth="1"/>
    <col min="255" max="255" width="11.85546875" style="89" customWidth="1"/>
    <col min="256" max="256" width="13.42578125" style="89" customWidth="1"/>
    <col min="257" max="257" width="24.7109375" style="89" customWidth="1"/>
    <col min="258" max="258" width="10.7109375" style="89" customWidth="1"/>
    <col min="259" max="259" width="7.85546875" style="89" customWidth="1"/>
    <col min="260" max="260" width="11" style="89" customWidth="1"/>
    <col min="261" max="261" width="7.85546875" style="89" customWidth="1"/>
    <col min="262" max="262" width="8.140625" style="89" customWidth="1"/>
    <col min="263" max="263" width="10" style="89" customWidth="1"/>
    <col min="264" max="264" width="13.7109375" style="89" customWidth="1"/>
    <col min="265" max="265" width="8.85546875" style="89"/>
    <col min="266" max="266" width="9" style="89" customWidth="1"/>
    <col min="267" max="267" width="11.28515625" style="89" customWidth="1"/>
    <col min="268" max="268" width="8.140625" style="89" customWidth="1"/>
    <col min="269" max="270" width="8.85546875" style="89"/>
    <col min="271" max="271" width="11.28515625" style="89" customWidth="1"/>
    <col min="272" max="498" width="8.85546875" style="89"/>
    <col min="499" max="499" width="9" style="89" customWidth="1"/>
    <col min="500" max="500" width="11.85546875" style="89" customWidth="1"/>
    <col min="501" max="501" width="9.7109375" style="89" customWidth="1"/>
    <col min="502" max="502" width="12.85546875" style="89" customWidth="1"/>
    <col min="503" max="503" width="45.28515625" style="89" customWidth="1"/>
    <col min="504" max="504" width="12.28515625" style="89" customWidth="1"/>
    <col min="505" max="505" width="7.28515625" style="89" customWidth="1"/>
    <col min="506" max="506" width="18.7109375" style="89" customWidth="1"/>
    <col min="507" max="507" width="22.85546875" style="89" customWidth="1"/>
    <col min="508" max="508" width="21" style="89" customWidth="1"/>
    <col min="509" max="509" width="18.85546875" style="89" customWidth="1"/>
    <col min="510" max="510" width="11.42578125" style="89" customWidth="1"/>
    <col min="511" max="511" width="11.85546875" style="89" customWidth="1"/>
    <col min="512" max="512" width="13.42578125" style="89" customWidth="1"/>
    <col min="513" max="513" width="24.7109375" style="89" customWidth="1"/>
    <col min="514" max="514" width="10.7109375" style="89" customWidth="1"/>
    <col min="515" max="515" width="7.85546875" style="89" customWidth="1"/>
    <col min="516" max="516" width="11" style="89" customWidth="1"/>
    <col min="517" max="517" width="7.85546875" style="89" customWidth="1"/>
    <col min="518" max="518" width="8.140625" style="89" customWidth="1"/>
    <col min="519" max="519" width="10" style="89" customWidth="1"/>
    <col min="520" max="520" width="13.7109375" style="89" customWidth="1"/>
    <col min="521" max="521" width="8.85546875" style="89"/>
    <col min="522" max="522" width="9" style="89" customWidth="1"/>
    <col min="523" max="523" width="11.28515625" style="89" customWidth="1"/>
    <col min="524" max="524" width="8.140625" style="89" customWidth="1"/>
    <col min="525" max="526" width="8.85546875" style="89"/>
    <col min="527" max="527" width="11.28515625" style="89" customWidth="1"/>
    <col min="528" max="754" width="8.85546875" style="89"/>
    <col min="755" max="755" width="9" style="89" customWidth="1"/>
    <col min="756" max="756" width="11.85546875" style="89" customWidth="1"/>
    <col min="757" max="757" width="9.7109375" style="89" customWidth="1"/>
    <col min="758" max="758" width="12.85546875" style="89" customWidth="1"/>
    <col min="759" max="759" width="45.28515625" style="89" customWidth="1"/>
    <col min="760" max="760" width="12.28515625" style="89" customWidth="1"/>
    <col min="761" max="761" width="7.28515625" style="89" customWidth="1"/>
    <col min="762" max="762" width="18.7109375" style="89" customWidth="1"/>
    <col min="763" max="763" width="22.85546875" style="89" customWidth="1"/>
    <col min="764" max="764" width="21" style="89" customWidth="1"/>
    <col min="765" max="765" width="18.85546875" style="89" customWidth="1"/>
    <col min="766" max="766" width="11.42578125" style="89" customWidth="1"/>
    <col min="767" max="767" width="11.85546875" style="89" customWidth="1"/>
    <col min="768" max="768" width="13.42578125" style="89" customWidth="1"/>
    <col min="769" max="769" width="24.7109375" style="89" customWidth="1"/>
    <col min="770" max="770" width="10.7109375" style="89" customWidth="1"/>
    <col min="771" max="771" width="7.85546875" style="89" customWidth="1"/>
    <col min="772" max="772" width="11" style="89" customWidth="1"/>
    <col min="773" max="773" width="7.85546875" style="89" customWidth="1"/>
    <col min="774" max="774" width="8.140625" style="89" customWidth="1"/>
    <col min="775" max="775" width="10" style="89" customWidth="1"/>
    <col min="776" max="776" width="13.7109375" style="89" customWidth="1"/>
    <col min="777" max="777" width="8.85546875" style="89"/>
    <col min="778" max="778" width="9" style="89" customWidth="1"/>
    <col min="779" max="779" width="11.28515625" style="89" customWidth="1"/>
    <col min="780" max="780" width="8.140625" style="89" customWidth="1"/>
    <col min="781" max="782" width="8.85546875" style="89"/>
    <col min="783" max="783" width="11.28515625" style="89" customWidth="1"/>
    <col min="784" max="1010" width="8.85546875" style="89"/>
    <col min="1011" max="1011" width="9" style="89" customWidth="1"/>
    <col min="1012" max="1012" width="11.85546875" style="89" customWidth="1"/>
    <col min="1013" max="1013" width="9.7109375" style="89" customWidth="1"/>
    <col min="1014" max="1014" width="12.85546875" style="89" customWidth="1"/>
    <col min="1015" max="1015" width="45.28515625" style="89" customWidth="1"/>
    <col min="1016" max="1016" width="12.28515625" style="89" customWidth="1"/>
    <col min="1017" max="1017" width="7.28515625" style="89" customWidth="1"/>
    <col min="1018" max="1018" width="18.7109375" style="89" customWidth="1"/>
    <col min="1019" max="1019" width="22.85546875" style="89" customWidth="1"/>
    <col min="1020" max="1020" width="21" style="89" customWidth="1"/>
    <col min="1021" max="1021" width="18.85546875" style="89" customWidth="1"/>
    <col min="1022" max="1022" width="11.42578125" style="89" customWidth="1"/>
    <col min="1023" max="1023" width="11.85546875" style="89" customWidth="1"/>
    <col min="1024" max="1024" width="13.42578125" style="89" customWidth="1"/>
    <col min="1025" max="1025" width="24.7109375" style="89" customWidth="1"/>
    <col min="1026" max="1026" width="10.7109375" style="89" customWidth="1"/>
    <col min="1027" max="1027" width="7.85546875" style="89" customWidth="1"/>
    <col min="1028" max="1028" width="11" style="89" customWidth="1"/>
    <col min="1029" max="1029" width="7.85546875" style="89" customWidth="1"/>
    <col min="1030" max="1030" width="8.140625" style="89" customWidth="1"/>
    <col min="1031" max="1031" width="10" style="89" customWidth="1"/>
    <col min="1032" max="1032" width="13.7109375" style="89" customWidth="1"/>
    <col min="1033" max="1033" width="8.85546875" style="89"/>
    <col min="1034" max="1034" width="9" style="89" customWidth="1"/>
    <col min="1035" max="1035" width="11.28515625" style="89" customWidth="1"/>
    <col min="1036" max="1036" width="8.140625" style="89" customWidth="1"/>
    <col min="1037" max="1038" width="8.85546875" style="89"/>
    <col min="1039" max="1039" width="11.28515625" style="89" customWidth="1"/>
    <col min="1040" max="1266" width="8.85546875" style="89"/>
    <col min="1267" max="1267" width="9" style="89" customWidth="1"/>
    <col min="1268" max="1268" width="11.85546875" style="89" customWidth="1"/>
    <col min="1269" max="1269" width="9.7109375" style="89" customWidth="1"/>
    <col min="1270" max="1270" width="12.85546875" style="89" customWidth="1"/>
    <col min="1271" max="1271" width="45.28515625" style="89" customWidth="1"/>
    <col min="1272" max="1272" width="12.28515625" style="89" customWidth="1"/>
    <col min="1273" max="1273" width="7.28515625" style="89" customWidth="1"/>
    <col min="1274" max="1274" width="18.7109375" style="89" customWidth="1"/>
    <col min="1275" max="1275" width="22.85546875" style="89" customWidth="1"/>
    <col min="1276" max="1276" width="21" style="89" customWidth="1"/>
    <col min="1277" max="1277" width="18.85546875" style="89" customWidth="1"/>
    <col min="1278" max="1278" width="11.42578125" style="89" customWidth="1"/>
    <col min="1279" max="1279" width="11.85546875" style="89" customWidth="1"/>
    <col min="1280" max="1280" width="13.42578125" style="89" customWidth="1"/>
    <col min="1281" max="1281" width="24.7109375" style="89" customWidth="1"/>
    <col min="1282" max="1282" width="10.7109375" style="89" customWidth="1"/>
    <col min="1283" max="1283" width="7.85546875" style="89" customWidth="1"/>
    <col min="1284" max="1284" width="11" style="89" customWidth="1"/>
    <col min="1285" max="1285" width="7.85546875" style="89" customWidth="1"/>
    <col min="1286" max="1286" width="8.140625" style="89" customWidth="1"/>
    <col min="1287" max="1287" width="10" style="89" customWidth="1"/>
    <col min="1288" max="1288" width="13.7109375" style="89" customWidth="1"/>
    <col min="1289" max="1289" width="8.85546875" style="89"/>
    <col min="1290" max="1290" width="9" style="89" customWidth="1"/>
    <col min="1291" max="1291" width="11.28515625" style="89" customWidth="1"/>
    <col min="1292" max="1292" width="8.140625" style="89" customWidth="1"/>
    <col min="1293" max="1294" width="8.85546875" style="89"/>
    <col min="1295" max="1295" width="11.28515625" style="89" customWidth="1"/>
    <col min="1296" max="1522" width="8.85546875" style="89"/>
    <col min="1523" max="1523" width="9" style="89" customWidth="1"/>
    <col min="1524" max="1524" width="11.85546875" style="89" customWidth="1"/>
    <col min="1525" max="1525" width="9.7109375" style="89" customWidth="1"/>
    <col min="1526" max="1526" width="12.85546875" style="89" customWidth="1"/>
    <col min="1527" max="1527" width="45.28515625" style="89" customWidth="1"/>
    <col min="1528" max="1528" width="12.28515625" style="89" customWidth="1"/>
    <col min="1529" max="1529" width="7.28515625" style="89" customWidth="1"/>
    <col min="1530" max="1530" width="18.7109375" style="89" customWidth="1"/>
    <col min="1531" max="1531" width="22.85546875" style="89" customWidth="1"/>
    <col min="1532" max="1532" width="21" style="89" customWidth="1"/>
    <col min="1533" max="1533" width="18.85546875" style="89" customWidth="1"/>
    <col min="1534" max="1534" width="11.42578125" style="89" customWidth="1"/>
    <col min="1535" max="1535" width="11.85546875" style="89" customWidth="1"/>
    <col min="1536" max="1536" width="13.42578125" style="89" customWidth="1"/>
    <col min="1537" max="1537" width="24.7109375" style="89" customWidth="1"/>
    <col min="1538" max="1538" width="10.7109375" style="89" customWidth="1"/>
    <col min="1539" max="1539" width="7.85546875" style="89" customWidth="1"/>
    <col min="1540" max="1540" width="11" style="89" customWidth="1"/>
    <col min="1541" max="1541" width="7.85546875" style="89" customWidth="1"/>
    <col min="1542" max="1542" width="8.140625" style="89" customWidth="1"/>
    <col min="1543" max="1543" width="10" style="89" customWidth="1"/>
    <col min="1544" max="1544" width="13.7109375" style="89" customWidth="1"/>
    <col min="1545" max="1545" width="8.85546875" style="89"/>
    <col min="1546" max="1546" width="9" style="89" customWidth="1"/>
    <col min="1547" max="1547" width="11.28515625" style="89" customWidth="1"/>
    <col min="1548" max="1548" width="8.140625" style="89" customWidth="1"/>
    <col min="1549" max="1550" width="8.85546875" style="89"/>
    <col min="1551" max="1551" width="11.28515625" style="89" customWidth="1"/>
    <col min="1552" max="1778" width="8.85546875" style="89"/>
    <col min="1779" max="1779" width="9" style="89" customWidth="1"/>
    <col min="1780" max="1780" width="11.85546875" style="89" customWidth="1"/>
    <col min="1781" max="1781" width="9.7109375" style="89" customWidth="1"/>
    <col min="1782" max="1782" width="12.85546875" style="89" customWidth="1"/>
    <col min="1783" max="1783" width="45.28515625" style="89" customWidth="1"/>
    <col min="1784" max="1784" width="12.28515625" style="89" customWidth="1"/>
    <col min="1785" max="1785" width="7.28515625" style="89" customWidth="1"/>
    <col min="1786" max="1786" width="18.7109375" style="89" customWidth="1"/>
    <col min="1787" max="1787" width="22.85546875" style="89" customWidth="1"/>
    <col min="1788" max="1788" width="21" style="89" customWidth="1"/>
    <col min="1789" max="1789" width="18.85546875" style="89" customWidth="1"/>
    <col min="1790" max="1790" width="11.42578125" style="89" customWidth="1"/>
    <col min="1791" max="1791" width="11.85546875" style="89" customWidth="1"/>
    <col min="1792" max="1792" width="13.42578125" style="89" customWidth="1"/>
    <col min="1793" max="1793" width="24.7109375" style="89" customWidth="1"/>
    <col min="1794" max="1794" width="10.7109375" style="89" customWidth="1"/>
    <col min="1795" max="1795" width="7.85546875" style="89" customWidth="1"/>
    <col min="1796" max="1796" width="11" style="89" customWidth="1"/>
    <col min="1797" max="1797" width="7.85546875" style="89" customWidth="1"/>
    <col min="1798" max="1798" width="8.140625" style="89" customWidth="1"/>
    <col min="1799" max="1799" width="10" style="89" customWidth="1"/>
    <col min="1800" max="1800" width="13.7109375" style="89" customWidth="1"/>
    <col min="1801" max="1801" width="8.85546875" style="89"/>
    <col min="1802" max="1802" width="9" style="89" customWidth="1"/>
    <col min="1803" max="1803" width="11.28515625" style="89" customWidth="1"/>
    <col min="1804" max="1804" width="8.140625" style="89" customWidth="1"/>
    <col min="1805" max="1806" width="8.85546875" style="89"/>
    <col min="1807" max="1807" width="11.28515625" style="89" customWidth="1"/>
    <col min="1808" max="2034" width="8.85546875" style="89"/>
    <col min="2035" max="2035" width="9" style="89" customWidth="1"/>
    <col min="2036" max="2036" width="11.85546875" style="89" customWidth="1"/>
    <col min="2037" max="2037" width="9.7109375" style="89" customWidth="1"/>
    <col min="2038" max="2038" width="12.85546875" style="89" customWidth="1"/>
    <col min="2039" max="2039" width="45.28515625" style="89" customWidth="1"/>
    <col min="2040" max="2040" width="12.28515625" style="89" customWidth="1"/>
    <col min="2041" max="2041" width="7.28515625" style="89" customWidth="1"/>
    <col min="2042" max="2042" width="18.7109375" style="89" customWidth="1"/>
    <col min="2043" max="2043" width="22.85546875" style="89" customWidth="1"/>
    <col min="2044" max="2044" width="21" style="89" customWidth="1"/>
    <col min="2045" max="2045" width="18.85546875" style="89" customWidth="1"/>
    <col min="2046" max="2046" width="11.42578125" style="89" customWidth="1"/>
    <col min="2047" max="2047" width="11.85546875" style="89" customWidth="1"/>
    <col min="2048" max="2048" width="13.42578125" style="89" customWidth="1"/>
    <col min="2049" max="2049" width="24.7109375" style="89" customWidth="1"/>
    <col min="2050" max="2050" width="10.7109375" style="89" customWidth="1"/>
    <col min="2051" max="2051" width="7.85546875" style="89" customWidth="1"/>
    <col min="2052" max="2052" width="11" style="89" customWidth="1"/>
    <col min="2053" max="2053" width="7.85546875" style="89" customWidth="1"/>
    <col min="2054" max="2054" width="8.140625" style="89" customWidth="1"/>
    <col min="2055" max="2055" width="10" style="89" customWidth="1"/>
    <col min="2056" max="2056" width="13.7109375" style="89" customWidth="1"/>
    <col min="2057" max="2057" width="8.85546875" style="89"/>
    <col min="2058" max="2058" width="9" style="89" customWidth="1"/>
    <col min="2059" max="2059" width="11.28515625" style="89" customWidth="1"/>
    <col min="2060" max="2060" width="8.140625" style="89" customWidth="1"/>
    <col min="2061" max="2062" width="8.85546875" style="89"/>
    <col min="2063" max="2063" width="11.28515625" style="89" customWidth="1"/>
    <col min="2064" max="2290" width="8.85546875" style="89"/>
    <col min="2291" max="2291" width="9" style="89" customWidth="1"/>
    <col min="2292" max="2292" width="11.85546875" style="89" customWidth="1"/>
    <col min="2293" max="2293" width="9.7109375" style="89" customWidth="1"/>
    <col min="2294" max="2294" width="12.85546875" style="89" customWidth="1"/>
    <col min="2295" max="2295" width="45.28515625" style="89" customWidth="1"/>
    <col min="2296" max="2296" width="12.28515625" style="89" customWidth="1"/>
    <col min="2297" max="2297" width="7.28515625" style="89" customWidth="1"/>
    <col min="2298" max="2298" width="18.7109375" style="89" customWidth="1"/>
    <col min="2299" max="2299" width="22.85546875" style="89" customWidth="1"/>
    <col min="2300" max="2300" width="21" style="89" customWidth="1"/>
    <col min="2301" max="2301" width="18.85546875" style="89" customWidth="1"/>
    <col min="2302" max="2302" width="11.42578125" style="89" customWidth="1"/>
    <col min="2303" max="2303" width="11.85546875" style="89" customWidth="1"/>
    <col min="2304" max="2304" width="13.42578125" style="89" customWidth="1"/>
    <col min="2305" max="2305" width="24.7109375" style="89" customWidth="1"/>
    <col min="2306" max="2306" width="10.7109375" style="89" customWidth="1"/>
    <col min="2307" max="2307" width="7.85546875" style="89" customWidth="1"/>
    <col min="2308" max="2308" width="11" style="89" customWidth="1"/>
    <col min="2309" max="2309" width="7.85546875" style="89" customWidth="1"/>
    <col min="2310" max="2310" width="8.140625" style="89" customWidth="1"/>
    <col min="2311" max="2311" width="10" style="89" customWidth="1"/>
    <col min="2312" max="2312" width="13.7109375" style="89" customWidth="1"/>
    <col min="2313" max="2313" width="8.85546875" style="89"/>
    <col min="2314" max="2314" width="9" style="89" customWidth="1"/>
    <col min="2315" max="2315" width="11.28515625" style="89" customWidth="1"/>
    <col min="2316" max="2316" width="8.140625" style="89" customWidth="1"/>
    <col min="2317" max="2318" width="8.85546875" style="89"/>
    <col min="2319" max="2319" width="11.28515625" style="89" customWidth="1"/>
    <col min="2320" max="2546" width="8.85546875" style="89"/>
    <col min="2547" max="2547" width="9" style="89" customWidth="1"/>
    <col min="2548" max="2548" width="11.85546875" style="89" customWidth="1"/>
    <col min="2549" max="2549" width="9.7109375" style="89" customWidth="1"/>
    <col min="2550" max="2550" width="12.85546875" style="89" customWidth="1"/>
    <col min="2551" max="2551" width="45.28515625" style="89" customWidth="1"/>
    <col min="2552" max="2552" width="12.28515625" style="89" customWidth="1"/>
    <col min="2553" max="2553" width="7.28515625" style="89" customWidth="1"/>
    <col min="2554" max="2554" width="18.7109375" style="89" customWidth="1"/>
    <col min="2555" max="2555" width="22.85546875" style="89" customWidth="1"/>
    <col min="2556" max="2556" width="21" style="89" customWidth="1"/>
    <col min="2557" max="2557" width="18.85546875" style="89" customWidth="1"/>
    <col min="2558" max="2558" width="11.42578125" style="89" customWidth="1"/>
    <col min="2559" max="2559" width="11.85546875" style="89" customWidth="1"/>
    <col min="2560" max="2560" width="13.42578125" style="89" customWidth="1"/>
    <col min="2561" max="2561" width="24.7109375" style="89" customWidth="1"/>
    <col min="2562" max="2562" width="10.7109375" style="89" customWidth="1"/>
    <col min="2563" max="2563" width="7.85546875" style="89" customWidth="1"/>
    <col min="2564" max="2564" width="11" style="89" customWidth="1"/>
    <col min="2565" max="2565" width="7.85546875" style="89" customWidth="1"/>
    <col min="2566" max="2566" width="8.140625" style="89" customWidth="1"/>
    <col min="2567" max="2567" width="10" style="89" customWidth="1"/>
    <col min="2568" max="2568" width="13.7109375" style="89" customWidth="1"/>
    <col min="2569" max="2569" width="8.85546875" style="89"/>
    <col min="2570" max="2570" width="9" style="89" customWidth="1"/>
    <col min="2571" max="2571" width="11.28515625" style="89" customWidth="1"/>
    <col min="2572" max="2572" width="8.140625" style="89" customWidth="1"/>
    <col min="2573" max="2574" width="8.85546875" style="89"/>
    <col min="2575" max="2575" width="11.28515625" style="89" customWidth="1"/>
    <col min="2576" max="2802" width="8.85546875" style="89"/>
    <col min="2803" max="2803" width="9" style="89" customWidth="1"/>
    <col min="2804" max="2804" width="11.85546875" style="89" customWidth="1"/>
    <col min="2805" max="2805" width="9.7109375" style="89" customWidth="1"/>
    <col min="2806" max="2806" width="12.85546875" style="89" customWidth="1"/>
    <col min="2807" max="2807" width="45.28515625" style="89" customWidth="1"/>
    <col min="2808" max="2808" width="12.28515625" style="89" customWidth="1"/>
    <col min="2809" max="2809" width="7.28515625" style="89" customWidth="1"/>
    <col min="2810" max="2810" width="18.7109375" style="89" customWidth="1"/>
    <col min="2811" max="2811" width="22.85546875" style="89" customWidth="1"/>
    <col min="2812" max="2812" width="21" style="89" customWidth="1"/>
    <col min="2813" max="2813" width="18.85546875" style="89" customWidth="1"/>
    <col min="2814" max="2814" width="11.42578125" style="89" customWidth="1"/>
    <col min="2815" max="2815" width="11.85546875" style="89" customWidth="1"/>
    <col min="2816" max="2816" width="13.42578125" style="89" customWidth="1"/>
    <col min="2817" max="2817" width="24.7109375" style="89" customWidth="1"/>
    <col min="2818" max="2818" width="10.7109375" style="89" customWidth="1"/>
    <col min="2819" max="2819" width="7.85546875" style="89" customWidth="1"/>
    <col min="2820" max="2820" width="11" style="89" customWidth="1"/>
    <col min="2821" max="2821" width="7.85546875" style="89" customWidth="1"/>
    <col min="2822" max="2822" width="8.140625" style="89" customWidth="1"/>
    <col min="2823" max="2823" width="10" style="89" customWidth="1"/>
    <col min="2824" max="2824" width="13.7109375" style="89" customWidth="1"/>
    <col min="2825" max="2825" width="8.85546875" style="89"/>
    <col min="2826" max="2826" width="9" style="89" customWidth="1"/>
    <col min="2827" max="2827" width="11.28515625" style="89" customWidth="1"/>
    <col min="2828" max="2828" width="8.140625" style="89" customWidth="1"/>
    <col min="2829" max="2830" width="8.85546875" style="89"/>
    <col min="2831" max="2831" width="11.28515625" style="89" customWidth="1"/>
    <col min="2832" max="3058" width="8.85546875" style="89"/>
    <col min="3059" max="3059" width="9" style="89" customWidth="1"/>
    <col min="3060" max="3060" width="11.85546875" style="89" customWidth="1"/>
    <col min="3061" max="3061" width="9.7109375" style="89" customWidth="1"/>
    <col min="3062" max="3062" width="12.85546875" style="89" customWidth="1"/>
    <col min="3063" max="3063" width="45.28515625" style="89" customWidth="1"/>
    <col min="3064" max="3064" width="12.28515625" style="89" customWidth="1"/>
    <col min="3065" max="3065" width="7.28515625" style="89" customWidth="1"/>
    <col min="3066" max="3066" width="18.7109375" style="89" customWidth="1"/>
    <col min="3067" max="3067" width="22.85546875" style="89" customWidth="1"/>
    <col min="3068" max="3068" width="21" style="89" customWidth="1"/>
    <col min="3069" max="3069" width="18.85546875" style="89" customWidth="1"/>
    <col min="3070" max="3070" width="11.42578125" style="89" customWidth="1"/>
    <col min="3071" max="3071" width="11.85546875" style="89" customWidth="1"/>
    <col min="3072" max="3072" width="13.42578125" style="89" customWidth="1"/>
    <col min="3073" max="3073" width="24.7109375" style="89" customWidth="1"/>
    <col min="3074" max="3074" width="10.7109375" style="89" customWidth="1"/>
    <col min="3075" max="3075" width="7.85546875" style="89" customWidth="1"/>
    <col min="3076" max="3076" width="11" style="89" customWidth="1"/>
    <col min="3077" max="3077" width="7.85546875" style="89" customWidth="1"/>
    <col min="3078" max="3078" width="8.140625" style="89" customWidth="1"/>
    <col min="3079" max="3079" width="10" style="89" customWidth="1"/>
    <col min="3080" max="3080" width="13.7109375" style="89" customWidth="1"/>
    <col min="3081" max="3081" width="8.85546875" style="89"/>
    <col min="3082" max="3082" width="9" style="89" customWidth="1"/>
    <col min="3083" max="3083" width="11.28515625" style="89" customWidth="1"/>
    <col min="3084" max="3084" width="8.140625" style="89" customWidth="1"/>
    <col min="3085" max="3086" width="8.85546875" style="89"/>
    <col min="3087" max="3087" width="11.28515625" style="89" customWidth="1"/>
    <col min="3088" max="3314" width="8.85546875" style="89"/>
    <col min="3315" max="3315" width="9" style="89" customWidth="1"/>
    <col min="3316" max="3316" width="11.85546875" style="89" customWidth="1"/>
    <col min="3317" max="3317" width="9.7109375" style="89" customWidth="1"/>
    <col min="3318" max="3318" width="12.85546875" style="89" customWidth="1"/>
    <col min="3319" max="3319" width="45.28515625" style="89" customWidth="1"/>
    <col min="3320" max="3320" width="12.28515625" style="89" customWidth="1"/>
    <col min="3321" max="3321" width="7.28515625" style="89" customWidth="1"/>
    <col min="3322" max="3322" width="18.7109375" style="89" customWidth="1"/>
    <col min="3323" max="3323" width="22.85546875" style="89" customWidth="1"/>
    <col min="3324" max="3324" width="21" style="89" customWidth="1"/>
    <col min="3325" max="3325" width="18.85546875" style="89" customWidth="1"/>
    <col min="3326" max="3326" width="11.42578125" style="89" customWidth="1"/>
    <col min="3327" max="3327" width="11.85546875" style="89" customWidth="1"/>
    <col min="3328" max="3328" width="13.42578125" style="89" customWidth="1"/>
    <col min="3329" max="3329" width="24.7109375" style="89" customWidth="1"/>
    <col min="3330" max="3330" width="10.7109375" style="89" customWidth="1"/>
    <col min="3331" max="3331" width="7.85546875" style="89" customWidth="1"/>
    <col min="3332" max="3332" width="11" style="89" customWidth="1"/>
    <col min="3333" max="3333" width="7.85546875" style="89" customWidth="1"/>
    <col min="3334" max="3334" width="8.140625" style="89" customWidth="1"/>
    <col min="3335" max="3335" width="10" style="89" customWidth="1"/>
    <col min="3336" max="3336" width="13.7109375" style="89" customWidth="1"/>
    <col min="3337" max="3337" width="8.85546875" style="89"/>
    <col min="3338" max="3338" width="9" style="89" customWidth="1"/>
    <col min="3339" max="3339" width="11.28515625" style="89" customWidth="1"/>
    <col min="3340" max="3340" width="8.140625" style="89" customWidth="1"/>
    <col min="3341" max="3342" width="8.85546875" style="89"/>
    <col min="3343" max="3343" width="11.28515625" style="89" customWidth="1"/>
    <col min="3344" max="3570" width="8.85546875" style="89"/>
    <col min="3571" max="3571" width="9" style="89" customWidth="1"/>
    <col min="3572" max="3572" width="11.85546875" style="89" customWidth="1"/>
    <col min="3573" max="3573" width="9.7109375" style="89" customWidth="1"/>
    <col min="3574" max="3574" width="12.85546875" style="89" customWidth="1"/>
    <col min="3575" max="3575" width="45.28515625" style="89" customWidth="1"/>
    <col min="3576" max="3576" width="12.28515625" style="89" customWidth="1"/>
    <col min="3577" max="3577" width="7.28515625" style="89" customWidth="1"/>
    <col min="3578" max="3578" width="18.7109375" style="89" customWidth="1"/>
    <col min="3579" max="3579" width="22.85546875" style="89" customWidth="1"/>
    <col min="3580" max="3580" width="21" style="89" customWidth="1"/>
    <col min="3581" max="3581" width="18.85546875" style="89" customWidth="1"/>
    <col min="3582" max="3582" width="11.42578125" style="89" customWidth="1"/>
    <col min="3583" max="3583" width="11.85546875" style="89" customWidth="1"/>
    <col min="3584" max="3584" width="13.42578125" style="89" customWidth="1"/>
    <col min="3585" max="3585" width="24.7109375" style="89" customWidth="1"/>
    <col min="3586" max="3586" width="10.7109375" style="89" customWidth="1"/>
    <col min="3587" max="3587" width="7.85546875" style="89" customWidth="1"/>
    <col min="3588" max="3588" width="11" style="89" customWidth="1"/>
    <col min="3589" max="3589" width="7.85546875" style="89" customWidth="1"/>
    <col min="3590" max="3590" width="8.140625" style="89" customWidth="1"/>
    <col min="3591" max="3591" width="10" style="89" customWidth="1"/>
    <col min="3592" max="3592" width="13.7109375" style="89" customWidth="1"/>
    <col min="3593" max="3593" width="8.85546875" style="89"/>
    <col min="3594" max="3594" width="9" style="89" customWidth="1"/>
    <col min="3595" max="3595" width="11.28515625" style="89" customWidth="1"/>
    <col min="3596" max="3596" width="8.140625" style="89" customWidth="1"/>
    <col min="3597" max="3598" width="8.85546875" style="89"/>
    <col min="3599" max="3599" width="11.28515625" style="89" customWidth="1"/>
    <col min="3600" max="3826" width="8.85546875" style="89"/>
    <col min="3827" max="3827" width="9" style="89" customWidth="1"/>
    <col min="3828" max="3828" width="11.85546875" style="89" customWidth="1"/>
    <col min="3829" max="3829" width="9.7109375" style="89" customWidth="1"/>
    <col min="3830" max="3830" width="12.85546875" style="89" customWidth="1"/>
    <col min="3831" max="3831" width="45.28515625" style="89" customWidth="1"/>
    <col min="3832" max="3832" width="12.28515625" style="89" customWidth="1"/>
    <col min="3833" max="3833" width="7.28515625" style="89" customWidth="1"/>
    <col min="3834" max="3834" width="18.7109375" style="89" customWidth="1"/>
    <col min="3835" max="3835" width="22.85546875" style="89" customWidth="1"/>
    <col min="3836" max="3836" width="21" style="89" customWidth="1"/>
    <col min="3837" max="3837" width="18.85546875" style="89" customWidth="1"/>
    <col min="3838" max="3838" width="11.42578125" style="89" customWidth="1"/>
    <col min="3839" max="3839" width="11.85546875" style="89" customWidth="1"/>
    <col min="3840" max="3840" width="13.42578125" style="89" customWidth="1"/>
    <col min="3841" max="3841" width="24.7109375" style="89" customWidth="1"/>
    <col min="3842" max="3842" width="10.7109375" style="89" customWidth="1"/>
    <col min="3843" max="3843" width="7.85546875" style="89" customWidth="1"/>
    <col min="3844" max="3844" width="11" style="89" customWidth="1"/>
    <col min="3845" max="3845" width="7.85546875" style="89" customWidth="1"/>
    <col min="3846" max="3846" width="8.140625" style="89" customWidth="1"/>
    <col min="3847" max="3847" width="10" style="89" customWidth="1"/>
    <col min="3848" max="3848" width="13.7109375" style="89" customWidth="1"/>
    <col min="3849" max="3849" width="8.85546875" style="89"/>
    <col min="3850" max="3850" width="9" style="89" customWidth="1"/>
    <col min="3851" max="3851" width="11.28515625" style="89" customWidth="1"/>
    <col min="3852" max="3852" width="8.140625" style="89" customWidth="1"/>
    <col min="3853" max="3854" width="8.85546875" style="89"/>
    <col min="3855" max="3855" width="11.28515625" style="89" customWidth="1"/>
    <col min="3856" max="4082" width="8.85546875" style="89"/>
    <col min="4083" max="4083" width="9" style="89" customWidth="1"/>
    <col min="4084" max="4084" width="11.85546875" style="89" customWidth="1"/>
    <col min="4085" max="4085" width="9.7109375" style="89" customWidth="1"/>
    <col min="4086" max="4086" width="12.85546875" style="89" customWidth="1"/>
    <col min="4087" max="4087" width="45.28515625" style="89" customWidth="1"/>
    <col min="4088" max="4088" width="12.28515625" style="89" customWidth="1"/>
    <col min="4089" max="4089" width="7.28515625" style="89" customWidth="1"/>
    <col min="4090" max="4090" width="18.7109375" style="89" customWidth="1"/>
    <col min="4091" max="4091" width="22.85546875" style="89" customWidth="1"/>
    <col min="4092" max="4092" width="21" style="89" customWidth="1"/>
    <col min="4093" max="4093" width="18.85546875" style="89" customWidth="1"/>
    <col min="4094" max="4094" width="11.42578125" style="89" customWidth="1"/>
    <col min="4095" max="4095" width="11.85546875" style="89" customWidth="1"/>
    <col min="4096" max="4096" width="13.42578125" style="89" customWidth="1"/>
    <col min="4097" max="4097" width="24.7109375" style="89" customWidth="1"/>
    <col min="4098" max="4098" width="10.7109375" style="89" customWidth="1"/>
    <col min="4099" max="4099" width="7.85546875" style="89" customWidth="1"/>
    <col min="4100" max="4100" width="11" style="89" customWidth="1"/>
    <col min="4101" max="4101" width="7.85546875" style="89" customWidth="1"/>
    <col min="4102" max="4102" width="8.140625" style="89" customWidth="1"/>
    <col min="4103" max="4103" width="10" style="89" customWidth="1"/>
    <col min="4104" max="4104" width="13.7109375" style="89" customWidth="1"/>
    <col min="4105" max="4105" width="8.85546875" style="89"/>
    <col min="4106" max="4106" width="9" style="89" customWidth="1"/>
    <col min="4107" max="4107" width="11.28515625" style="89" customWidth="1"/>
    <col min="4108" max="4108" width="8.140625" style="89" customWidth="1"/>
    <col min="4109" max="4110" width="8.85546875" style="89"/>
    <col min="4111" max="4111" width="11.28515625" style="89" customWidth="1"/>
    <col min="4112" max="4338" width="8.85546875" style="89"/>
    <col min="4339" max="4339" width="9" style="89" customWidth="1"/>
    <col min="4340" max="4340" width="11.85546875" style="89" customWidth="1"/>
    <col min="4341" max="4341" width="9.7109375" style="89" customWidth="1"/>
    <col min="4342" max="4342" width="12.85546875" style="89" customWidth="1"/>
    <col min="4343" max="4343" width="45.28515625" style="89" customWidth="1"/>
    <col min="4344" max="4344" width="12.28515625" style="89" customWidth="1"/>
    <col min="4345" max="4345" width="7.28515625" style="89" customWidth="1"/>
    <col min="4346" max="4346" width="18.7109375" style="89" customWidth="1"/>
    <col min="4347" max="4347" width="22.85546875" style="89" customWidth="1"/>
    <col min="4348" max="4348" width="21" style="89" customWidth="1"/>
    <col min="4349" max="4349" width="18.85546875" style="89" customWidth="1"/>
    <col min="4350" max="4350" width="11.42578125" style="89" customWidth="1"/>
    <col min="4351" max="4351" width="11.85546875" style="89" customWidth="1"/>
    <col min="4352" max="4352" width="13.42578125" style="89" customWidth="1"/>
    <col min="4353" max="4353" width="24.7109375" style="89" customWidth="1"/>
    <col min="4354" max="4354" width="10.7109375" style="89" customWidth="1"/>
    <col min="4355" max="4355" width="7.85546875" style="89" customWidth="1"/>
    <col min="4356" max="4356" width="11" style="89" customWidth="1"/>
    <col min="4357" max="4357" width="7.85546875" style="89" customWidth="1"/>
    <col min="4358" max="4358" width="8.140625" style="89" customWidth="1"/>
    <col min="4359" max="4359" width="10" style="89" customWidth="1"/>
    <col min="4360" max="4360" width="13.7109375" style="89" customWidth="1"/>
    <col min="4361" max="4361" width="8.85546875" style="89"/>
    <col min="4362" max="4362" width="9" style="89" customWidth="1"/>
    <col min="4363" max="4363" width="11.28515625" style="89" customWidth="1"/>
    <col min="4364" max="4364" width="8.140625" style="89" customWidth="1"/>
    <col min="4365" max="4366" width="8.85546875" style="89"/>
    <col min="4367" max="4367" width="11.28515625" style="89" customWidth="1"/>
    <col min="4368" max="4594" width="8.85546875" style="89"/>
    <col min="4595" max="4595" width="9" style="89" customWidth="1"/>
    <col min="4596" max="4596" width="11.85546875" style="89" customWidth="1"/>
    <col min="4597" max="4597" width="9.7109375" style="89" customWidth="1"/>
    <col min="4598" max="4598" width="12.85546875" style="89" customWidth="1"/>
    <col min="4599" max="4599" width="45.28515625" style="89" customWidth="1"/>
    <col min="4600" max="4600" width="12.28515625" style="89" customWidth="1"/>
    <col min="4601" max="4601" width="7.28515625" style="89" customWidth="1"/>
    <col min="4602" max="4602" width="18.7109375" style="89" customWidth="1"/>
    <col min="4603" max="4603" width="22.85546875" style="89" customWidth="1"/>
    <col min="4604" max="4604" width="21" style="89" customWidth="1"/>
    <col min="4605" max="4605" width="18.85546875" style="89" customWidth="1"/>
    <col min="4606" max="4606" width="11.42578125" style="89" customWidth="1"/>
    <col min="4607" max="4607" width="11.85546875" style="89" customWidth="1"/>
    <col min="4608" max="4608" width="13.42578125" style="89" customWidth="1"/>
    <col min="4609" max="4609" width="24.7109375" style="89" customWidth="1"/>
    <col min="4610" max="4610" width="10.7109375" style="89" customWidth="1"/>
    <col min="4611" max="4611" width="7.85546875" style="89" customWidth="1"/>
    <col min="4612" max="4612" width="11" style="89" customWidth="1"/>
    <col min="4613" max="4613" width="7.85546875" style="89" customWidth="1"/>
    <col min="4614" max="4614" width="8.140625" style="89" customWidth="1"/>
    <col min="4615" max="4615" width="10" style="89" customWidth="1"/>
    <col min="4616" max="4616" width="13.7109375" style="89" customWidth="1"/>
    <col min="4617" max="4617" width="8.85546875" style="89"/>
    <col min="4618" max="4618" width="9" style="89" customWidth="1"/>
    <col min="4619" max="4619" width="11.28515625" style="89" customWidth="1"/>
    <col min="4620" max="4620" width="8.140625" style="89" customWidth="1"/>
    <col min="4621" max="4622" width="8.85546875" style="89"/>
    <col min="4623" max="4623" width="11.28515625" style="89" customWidth="1"/>
    <col min="4624" max="4850" width="8.85546875" style="89"/>
    <col min="4851" max="4851" width="9" style="89" customWidth="1"/>
    <col min="4852" max="4852" width="11.85546875" style="89" customWidth="1"/>
    <col min="4853" max="4853" width="9.7109375" style="89" customWidth="1"/>
    <col min="4854" max="4854" width="12.85546875" style="89" customWidth="1"/>
    <col min="4855" max="4855" width="45.28515625" style="89" customWidth="1"/>
    <col min="4856" max="4856" width="12.28515625" style="89" customWidth="1"/>
    <col min="4857" max="4857" width="7.28515625" style="89" customWidth="1"/>
    <col min="4858" max="4858" width="18.7109375" style="89" customWidth="1"/>
    <col min="4859" max="4859" width="22.85546875" style="89" customWidth="1"/>
    <col min="4860" max="4860" width="21" style="89" customWidth="1"/>
    <col min="4861" max="4861" width="18.85546875" style="89" customWidth="1"/>
    <col min="4862" max="4862" width="11.42578125" style="89" customWidth="1"/>
    <col min="4863" max="4863" width="11.85546875" style="89" customWidth="1"/>
    <col min="4864" max="4864" width="13.42578125" style="89" customWidth="1"/>
    <col min="4865" max="4865" width="24.7109375" style="89" customWidth="1"/>
    <col min="4866" max="4866" width="10.7109375" style="89" customWidth="1"/>
    <col min="4867" max="4867" width="7.85546875" style="89" customWidth="1"/>
    <col min="4868" max="4868" width="11" style="89" customWidth="1"/>
    <col min="4869" max="4869" width="7.85546875" style="89" customWidth="1"/>
    <col min="4870" max="4870" width="8.140625" style="89" customWidth="1"/>
    <col min="4871" max="4871" width="10" style="89" customWidth="1"/>
    <col min="4872" max="4872" width="13.7109375" style="89" customWidth="1"/>
    <col min="4873" max="4873" width="8.85546875" style="89"/>
    <col min="4874" max="4874" width="9" style="89" customWidth="1"/>
    <col min="4875" max="4875" width="11.28515625" style="89" customWidth="1"/>
    <col min="4876" max="4876" width="8.140625" style="89" customWidth="1"/>
    <col min="4877" max="4878" width="8.85546875" style="89"/>
    <col min="4879" max="4879" width="11.28515625" style="89" customWidth="1"/>
    <col min="4880" max="5106" width="8.85546875" style="89"/>
    <col min="5107" max="5107" width="9" style="89" customWidth="1"/>
    <col min="5108" max="5108" width="11.85546875" style="89" customWidth="1"/>
    <col min="5109" max="5109" width="9.7109375" style="89" customWidth="1"/>
    <col min="5110" max="5110" width="12.85546875" style="89" customWidth="1"/>
    <col min="5111" max="5111" width="45.28515625" style="89" customWidth="1"/>
    <col min="5112" max="5112" width="12.28515625" style="89" customWidth="1"/>
    <col min="5113" max="5113" width="7.28515625" style="89" customWidth="1"/>
    <col min="5114" max="5114" width="18.7109375" style="89" customWidth="1"/>
    <col min="5115" max="5115" width="22.85546875" style="89" customWidth="1"/>
    <col min="5116" max="5116" width="21" style="89" customWidth="1"/>
    <col min="5117" max="5117" width="18.85546875" style="89" customWidth="1"/>
    <col min="5118" max="5118" width="11.42578125" style="89" customWidth="1"/>
    <col min="5119" max="5119" width="11.85546875" style="89" customWidth="1"/>
    <col min="5120" max="5120" width="13.42578125" style="89" customWidth="1"/>
    <col min="5121" max="5121" width="24.7109375" style="89" customWidth="1"/>
    <col min="5122" max="5122" width="10.7109375" style="89" customWidth="1"/>
    <col min="5123" max="5123" width="7.85546875" style="89" customWidth="1"/>
    <col min="5124" max="5124" width="11" style="89" customWidth="1"/>
    <col min="5125" max="5125" width="7.85546875" style="89" customWidth="1"/>
    <col min="5126" max="5126" width="8.140625" style="89" customWidth="1"/>
    <col min="5127" max="5127" width="10" style="89" customWidth="1"/>
    <col min="5128" max="5128" width="13.7109375" style="89" customWidth="1"/>
    <col min="5129" max="5129" width="8.85546875" style="89"/>
    <col min="5130" max="5130" width="9" style="89" customWidth="1"/>
    <col min="5131" max="5131" width="11.28515625" style="89" customWidth="1"/>
    <col min="5132" max="5132" width="8.140625" style="89" customWidth="1"/>
    <col min="5133" max="5134" width="8.85546875" style="89"/>
    <col min="5135" max="5135" width="11.28515625" style="89" customWidth="1"/>
    <col min="5136" max="5362" width="8.85546875" style="89"/>
    <col min="5363" max="5363" width="9" style="89" customWidth="1"/>
    <col min="5364" max="5364" width="11.85546875" style="89" customWidth="1"/>
    <col min="5365" max="5365" width="9.7109375" style="89" customWidth="1"/>
    <col min="5366" max="5366" width="12.85546875" style="89" customWidth="1"/>
    <col min="5367" max="5367" width="45.28515625" style="89" customWidth="1"/>
    <col min="5368" max="5368" width="12.28515625" style="89" customWidth="1"/>
    <col min="5369" max="5369" width="7.28515625" style="89" customWidth="1"/>
    <col min="5370" max="5370" width="18.7109375" style="89" customWidth="1"/>
    <col min="5371" max="5371" width="22.85546875" style="89" customWidth="1"/>
    <col min="5372" max="5372" width="21" style="89" customWidth="1"/>
    <col min="5373" max="5373" width="18.85546875" style="89" customWidth="1"/>
    <col min="5374" max="5374" width="11.42578125" style="89" customWidth="1"/>
    <col min="5375" max="5375" width="11.85546875" style="89" customWidth="1"/>
    <col min="5376" max="5376" width="13.42578125" style="89" customWidth="1"/>
    <col min="5377" max="5377" width="24.7109375" style="89" customWidth="1"/>
    <col min="5378" max="5378" width="10.7109375" style="89" customWidth="1"/>
    <col min="5379" max="5379" width="7.85546875" style="89" customWidth="1"/>
    <col min="5380" max="5380" width="11" style="89" customWidth="1"/>
    <col min="5381" max="5381" width="7.85546875" style="89" customWidth="1"/>
    <col min="5382" max="5382" width="8.140625" style="89" customWidth="1"/>
    <col min="5383" max="5383" width="10" style="89" customWidth="1"/>
    <col min="5384" max="5384" width="13.7109375" style="89" customWidth="1"/>
    <col min="5385" max="5385" width="8.85546875" style="89"/>
    <col min="5386" max="5386" width="9" style="89" customWidth="1"/>
    <col min="5387" max="5387" width="11.28515625" style="89" customWidth="1"/>
    <col min="5388" max="5388" width="8.140625" style="89" customWidth="1"/>
    <col min="5389" max="5390" width="8.85546875" style="89"/>
    <col min="5391" max="5391" width="11.28515625" style="89" customWidth="1"/>
    <col min="5392" max="5618" width="8.85546875" style="89"/>
    <col min="5619" max="5619" width="9" style="89" customWidth="1"/>
    <col min="5620" max="5620" width="11.85546875" style="89" customWidth="1"/>
    <col min="5621" max="5621" width="9.7109375" style="89" customWidth="1"/>
    <col min="5622" max="5622" width="12.85546875" style="89" customWidth="1"/>
    <col min="5623" max="5623" width="45.28515625" style="89" customWidth="1"/>
    <col min="5624" max="5624" width="12.28515625" style="89" customWidth="1"/>
    <col min="5625" max="5625" width="7.28515625" style="89" customWidth="1"/>
    <col min="5626" max="5626" width="18.7109375" style="89" customWidth="1"/>
    <col min="5627" max="5627" width="22.85546875" style="89" customWidth="1"/>
    <col min="5628" max="5628" width="21" style="89" customWidth="1"/>
    <col min="5629" max="5629" width="18.85546875" style="89" customWidth="1"/>
    <col min="5630" max="5630" width="11.42578125" style="89" customWidth="1"/>
    <col min="5631" max="5631" width="11.85546875" style="89" customWidth="1"/>
    <col min="5632" max="5632" width="13.42578125" style="89" customWidth="1"/>
    <col min="5633" max="5633" width="24.7109375" style="89" customWidth="1"/>
    <col min="5634" max="5634" width="10.7109375" style="89" customWidth="1"/>
    <col min="5635" max="5635" width="7.85546875" style="89" customWidth="1"/>
    <col min="5636" max="5636" width="11" style="89" customWidth="1"/>
    <col min="5637" max="5637" width="7.85546875" style="89" customWidth="1"/>
    <col min="5638" max="5638" width="8.140625" style="89" customWidth="1"/>
    <col min="5639" max="5639" width="10" style="89" customWidth="1"/>
    <col min="5640" max="5640" width="13.7109375" style="89" customWidth="1"/>
    <col min="5641" max="5641" width="8.85546875" style="89"/>
    <col min="5642" max="5642" width="9" style="89" customWidth="1"/>
    <col min="5643" max="5643" width="11.28515625" style="89" customWidth="1"/>
    <col min="5644" max="5644" width="8.140625" style="89" customWidth="1"/>
    <col min="5645" max="5646" width="8.85546875" style="89"/>
    <col min="5647" max="5647" width="11.28515625" style="89" customWidth="1"/>
    <col min="5648" max="5874" width="8.85546875" style="89"/>
    <col min="5875" max="5875" width="9" style="89" customWidth="1"/>
    <col min="5876" max="5876" width="11.85546875" style="89" customWidth="1"/>
    <col min="5877" max="5877" width="9.7109375" style="89" customWidth="1"/>
    <col min="5878" max="5878" width="12.85546875" style="89" customWidth="1"/>
    <col min="5879" max="5879" width="45.28515625" style="89" customWidth="1"/>
    <col min="5880" max="5880" width="12.28515625" style="89" customWidth="1"/>
    <col min="5881" max="5881" width="7.28515625" style="89" customWidth="1"/>
    <col min="5882" max="5882" width="18.7109375" style="89" customWidth="1"/>
    <col min="5883" max="5883" width="22.85546875" style="89" customWidth="1"/>
    <col min="5884" max="5884" width="21" style="89" customWidth="1"/>
    <col min="5885" max="5885" width="18.85546875" style="89" customWidth="1"/>
    <col min="5886" max="5886" width="11.42578125" style="89" customWidth="1"/>
    <col min="5887" max="5887" width="11.85546875" style="89" customWidth="1"/>
    <col min="5888" max="5888" width="13.42578125" style="89" customWidth="1"/>
    <col min="5889" max="5889" width="24.7109375" style="89" customWidth="1"/>
    <col min="5890" max="5890" width="10.7109375" style="89" customWidth="1"/>
    <col min="5891" max="5891" width="7.85546875" style="89" customWidth="1"/>
    <col min="5892" max="5892" width="11" style="89" customWidth="1"/>
    <col min="5893" max="5893" width="7.85546875" style="89" customWidth="1"/>
    <col min="5894" max="5894" width="8.140625" style="89" customWidth="1"/>
    <col min="5895" max="5895" width="10" style="89" customWidth="1"/>
    <col min="5896" max="5896" width="13.7109375" style="89" customWidth="1"/>
    <col min="5897" max="5897" width="8.85546875" style="89"/>
    <col min="5898" max="5898" width="9" style="89" customWidth="1"/>
    <col min="5899" max="5899" width="11.28515625" style="89" customWidth="1"/>
    <col min="5900" max="5900" width="8.140625" style="89" customWidth="1"/>
    <col min="5901" max="5902" width="8.85546875" style="89"/>
    <col min="5903" max="5903" width="11.28515625" style="89" customWidth="1"/>
    <col min="5904" max="6130" width="8.85546875" style="89"/>
    <col min="6131" max="6131" width="9" style="89" customWidth="1"/>
    <col min="6132" max="6132" width="11.85546875" style="89" customWidth="1"/>
    <col min="6133" max="6133" width="9.7109375" style="89" customWidth="1"/>
    <col min="6134" max="6134" width="12.85546875" style="89" customWidth="1"/>
    <col min="6135" max="6135" width="45.28515625" style="89" customWidth="1"/>
    <col min="6136" max="6136" width="12.28515625" style="89" customWidth="1"/>
    <col min="6137" max="6137" width="7.28515625" style="89" customWidth="1"/>
    <col min="6138" max="6138" width="18.7109375" style="89" customWidth="1"/>
    <col min="6139" max="6139" width="22.85546875" style="89" customWidth="1"/>
    <col min="6140" max="6140" width="21" style="89" customWidth="1"/>
    <col min="6141" max="6141" width="18.85546875" style="89" customWidth="1"/>
    <col min="6142" max="6142" width="11.42578125" style="89" customWidth="1"/>
    <col min="6143" max="6143" width="11.85546875" style="89" customWidth="1"/>
    <col min="6144" max="6144" width="13.42578125" style="89" customWidth="1"/>
    <col min="6145" max="6145" width="24.7109375" style="89" customWidth="1"/>
    <col min="6146" max="6146" width="10.7109375" style="89" customWidth="1"/>
    <col min="6147" max="6147" width="7.85546875" style="89" customWidth="1"/>
    <col min="6148" max="6148" width="11" style="89" customWidth="1"/>
    <col min="6149" max="6149" width="7.85546875" style="89" customWidth="1"/>
    <col min="6150" max="6150" width="8.140625" style="89" customWidth="1"/>
    <col min="6151" max="6151" width="10" style="89" customWidth="1"/>
    <col min="6152" max="6152" width="13.7109375" style="89" customWidth="1"/>
    <col min="6153" max="6153" width="8.85546875" style="89"/>
    <col min="6154" max="6154" width="9" style="89" customWidth="1"/>
    <col min="6155" max="6155" width="11.28515625" style="89" customWidth="1"/>
    <col min="6156" max="6156" width="8.140625" style="89" customWidth="1"/>
    <col min="6157" max="6158" width="8.85546875" style="89"/>
    <col min="6159" max="6159" width="11.28515625" style="89" customWidth="1"/>
    <col min="6160" max="6386" width="8.85546875" style="89"/>
    <col min="6387" max="6387" width="9" style="89" customWidth="1"/>
    <col min="6388" max="6388" width="11.85546875" style="89" customWidth="1"/>
    <col min="6389" max="6389" width="9.7109375" style="89" customWidth="1"/>
    <col min="6390" max="6390" width="12.85546875" style="89" customWidth="1"/>
    <col min="6391" max="6391" width="45.28515625" style="89" customWidth="1"/>
    <col min="6392" max="6392" width="12.28515625" style="89" customWidth="1"/>
    <col min="6393" max="6393" width="7.28515625" style="89" customWidth="1"/>
    <col min="6394" max="6394" width="18.7109375" style="89" customWidth="1"/>
    <col min="6395" max="6395" width="22.85546875" style="89" customWidth="1"/>
    <col min="6396" max="6396" width="21" style="89" customWidth="1"/>
    <col min="6397" max="6397" width="18.85546875" style="89" customWidth="1"/>
    <col min="6398" max="6398" width="11.42578125" style="89" customWidth="1"/>
    <col min="6399" max="6399" width="11.85546875" style="89" customWidth="1"/>
    <col min="6400" max="6400" width="13.42578125" style="89" customWidth="1"/>
    <col min="6401" max="6401" width="24.7109375" style="89" customWidth="1"/>
    <col min="6402" max="6402" width="10.7109375" style="89" customWidth="1"/>
    <col min="6403" max="6403" width="7.85546875" style="89" customWidth="1"/>
    <col min="6404" max="6404" width="11" style="89" customWidth="1"/>
    <col min="6405" max="6405" width="7.85546875" style="89" customWidth="1"/>
    <col min="6406" max="6406" width="8.140625" style="89" customWidth="1"/>
    <col min="6407" max="6407" width="10" style="89" customWidth="1"/>
    <col min="6408" max="6408" width="13.7109375" style="89" customWidth="1"/>
    <col min="6409" max="6409" width="8.85546875" style="89"/>
    <col min="6410" max="6410" width="9" style="89" customWidth="1"/>
    <col min="6411" max="6411" width="11.28515625" style="89" customWidth="1"/>
    <col min="6412" max="6412" width="8.140625" style="89" customWidth="1"/>
    <col min="6413" max="6414" width="8.85546875" style="89"/>
    <col min="6415" max="6415" width="11.28515625" style="89" customWidth="1"/>
    <col min="6416" max="6642" width="8.85546875" style="89"/>
    <col min="6643" max="6643" width="9" style="89" customWidth="1"/>
    <col min="6644" max="6644" width="11.85546875" style="89" customWidth="1"/>
    <col min="6645" max="6645" width="9.7109375" style="89" customWidth="1"/>
    <col min="6646" max="6646" width="12.85546875" style="89" customWidth="1"/>
    <col min="6647" max="6647" width="45.28515625" style="89" customWidth="1"/>
    <col min="6648" max="6648" width="12.28515625" style="89" customWidth="1"/>
    <col min="6649" max="6649" width="7.28515625" style="89" customWidth="1"/>
    <col min="6650" max="6650" width="18.7109375" style="89" customWidth="1"/>
    <col min="6651" max="6651" width="22.85546875" style="89" customWidth="1"/>
    <col min="6652" max="6652" width="21" style="89" customWidth="1"/>
    <col min="6653" max="6653" width="18.85546875" style="89" customWidth="1"/>
    <col min="6654" max="6654" width="11.42578125" style="89" customWidth="1"/>
    <col min="6655" max="6655" width="11.85546875" style="89" customWidth="1"/>
    <col min="6656" max="6656" width="13.42578125" style="89" customWidth="1"/>
    <col min="6657" max="6657" width="24.7109375" style="89" customWidth="1"/>
    <col min="6658" max="6658" width="10.7109375" style="89" customWidth="1"/>
    <col min="6659" max="6659" width="7.85546875" style="89" customWidth="1"/>
    <col min="6660" max="6660" width="11" style="89" customWidth="1"/>
    <col min="6661" max="6661" width="7.85546875" style="89" customWidth="1"/>
    <col min="6662" max="6662" width="8.140625" style="89" customWidth="1"/>
    <col min="6663" max="6663" width="10" style="89" customWidth="1"/>
    <col min="6664" max="6664" width="13.7109375" style="89" customWidth="1"/>
    <col min="6665" max="6665" width="8.85546875" style="89"/>
    <col min="6666" max="6666" width="9" style="89" customWidth="1"/>
    <col min="6667" max="6667" width="11.28515625" style="89" customWidth="1"/>
    <col min="6668" max="6668" width="8.140625" style="89" customWidth="1"/>
    <col min="6669" max="6670" width="8.85546875" style="89"/>
    <col min="6671" max="6671" width="11.28515625" style="89" customWidth="1"/>
    <col min="6672" max="6898" width="8.85546875" style="89"/>
    <col min="6899" max="6899" width="9" style="89" customWidth="1"/>
    <col min="6900" max="6900" width="11.85546875" style="89" customWidth="1"/>
    <col min="6901" max="6901" width="9.7109375" style="89" customWidth="1"/>
    <col min="6902" max="6902" width="12.85546875" style="89" customWidth="1"/>
    <col min="6903" max="6903" width="45.28515625" style="89" customWidth="1"/>
    <col min="6904" max="6904" width="12.28515625" style="89" customWidth="1"/>
    <col min="6905" max="6905" width="7.28515625" style="89" customWidth="1"/>
    <col min="6906" max="6906" width="18.7109375" style="89" customWidth="1"/>
    <col min="6907" max="6907" width="22.85546875" style="89" customWidth="1"/>
    <col min="6908" max="6908" width="21" style="89" customWidth="1"/>
    <col min="6909" max="6909" width="18.85546875" style="89" customWidth="1"/>
    <col min="6910" max="6910" width="11.42578125" style="89" customWidth="1"/>
    <col min="6911" max="6911" width="11.85546875" style="89" customWidth="1"/>
    <col min="6912" max="6912" width="13.42578125" style="89" customWidth="1"/>
    <col min="6913" max="6913" width="24.7109375" style="89" customWidth="1"/>
    <col min="6914" max="6914" width="10.7109375" style="89" customWidth="1"/>
    <col min="6915" max="6915" width="7.85546875" style="89" customWidth="1"/>
    <col min="6916" max="6916" width="11" style="89" customWidth="1"/>
    <col min="6917" max="6917" width="7.85546875" style="89" customWidth="1"/>
    <col min="6918" max="6918" width="8.140625" style="89" customWidth="1"/>
    <col min="6919" max="6919" width="10" style="89" customWidth="1"/>
    <col min="6920" max="6920" width="13.7109375" style="89" customWidth="1"/>
    <col min="6921" max="6921" width="8.85546875" style="89"/>
    <col min="6922" max="6922" width="9" style="89" customWidth="1"/>
    <col min="6923" max="6923" width="11.28515625" style="89" customWidth="1"/>
    <col min="6924" max="6924" width="8.140625" style="89" customWidth="1"/>
    <col min="6925" max="6926" width="8.85546875" style="89"/>
    <col min="6927" max="6927" width="11.28515625" style="89" customWidth="1"/>
    <col min="6928" max="7154" width="8.85546875" style="89"/>
    <col min="7155" max="7155" width="9" style="89" customWidth="1"/>
    <col min="7156" max="7156" width="11.85546875" style="89" customWidth="1"/>
    <col min="7157" max="7157" width="9.7109375" style="89" customWidth="1"/>
    <col min="7158" max="7158" width="12.85546875" style="89" customWidth="1"/>
    <col min="7159" max="7159" width="45.28515625" style="89" customWidth="1"/>
    <col min="7160" max="7160" width="12.28515625" style="89" customWidth="1"/>
    <col min="7161" max="7161" width="7.28515625" style="89" customWidth="1"/>
    <col min="7162" max="7162" width="18.7109375" style="89" customWidth="1"/>
    <col min="7163" max="7163" width="22.85546875" style="89" customWidth="1"/>
    <col min="7164" max="7164" width="21" style="89" customWidth="1"/>
    <col min="7165" max="7165" width="18.85546875" style="89" customWidth="1"/>
    <col min="7166" max="7166" width="11.42578125" style="89" customWidth="1"/>
    <col min="7167" max="7167" width="11.85546875" style="89" customWidth="1"/>
    <col min="7168" max="7168" width="13.42578125" style="89" customWidth="1"/>
    <col min="7169" max="7169" width="24.7109375" style="89" customWidth="1"/>
    <col min="7170" max="7170" width="10.7109375" style="89" customWidth="1"/>
    <col min="7171" max="7171" width="7.85546875" style="89" customWidth="1"/>
    <col min="7172" max="7172" width="11" style="89" customWidth="1"/>
    <col min="7173" max="7173" width="7.85546875" style="89" customWidth="1"/>
    <col min="7174" max="7174" width="8.140625" style="89" customWidth="1"/>
    <col min="7175" max="7175" width="10" style="89" customWidth="1"/>
    <col min="7176" max="7176" width="13.7109375" style="89" customWidth="1"/>
    <col min="7177" max="7177" width="8.85546875" style="89"/>
    <col min="7178" max="7178" width="9" style="89" customWidth="1"/>
    <col min="7179" max="7179" width="11.28515625" style="89" customWidth="1"/>
    <col min="7180" max="7180" width="8.140625" style="89" customWidth="1"/>
    <col min="7181" max="7182" width="8.85546875" style="89"/>
    <col min="7183" max="7183" width="11.28515625" style="89" customWidth="1"/>
    <col min="7184" max="7410" width="8.85546875" style="89"/>
    <col min="7411" max="7411" width="9" style="89" customWidth="1"/>
    <col min="7412" max="7412" width="11.85546875" style="89" customWidth="1"/>
    <col min="7413" max="7413" width="9.7109375" style="89" customWidth="1"/>
    <col min="7414" max="7414" width="12.85546875" style="89" customWidth="1"/>
    <col min="7415" max="7415" width="45.28515625" style="89" customWidth="1"/>
    <col min="7416" max="7416" width="12.28515625" style="89" customWidth="1"/>
    <col min="7417" max="7417" width="7.28515625" style="89" customWidth="1"/>
    <col min="7418" max="7418" width="18.7109375" style="89" customWidth="1"/>
    <col min="7419" max="7419" width="22.85546875" style="89" customWidth="1"/>
    <col min="7420" max="7420" width="21" style="89" customWidth="1"/>
    <col min="7421" max="7421" width="18.85546875" style="89" customWidth="1"/>
    <col min="7422" max="7422" width="11.42578125" style="89" customWidth="1"/>
    <col min="7423" max="7423" width="11.85546875" style="89" customWidth="1"/>
    <col min="7424" max="7424" width="13.42578125" style="89" customWidth="1"/>
    <col min="7425" max="7425" width="24.7109375" style="89" customWidth="1"/>
    <col min="7426" max="7426" width="10.7109375" style="89" customWidth="1"/>
    <col min="7427" max="7427" width="7.85546875" style="89" customWidth="1"/>
    <col min="7428" max="7428" width="11" style="89" customWidth="1"/>
    <col min="7429" max="7429" width="7.85546875" style="89" customWidth="1"/>
    <col min="7430" max="7430" width="8.140625" style="89" customWidth="1"/>
    <col min="7431" max="7431" width="10" style="89" customWidth="1"/>
    <col min="7432" max="7432" width="13.7109375" style="89" customWidth="1"/>
    <col min="7433" max="7433" width="8.85546875" style="89"/>
    <col min="7434" max="7434" width="9" style="89" customWidth="1"/>
    <col min="7435" max="7435" width="11.28515625" style="89" customWidth="1"/>
    <col min="7436" max="7436" width="8.140625" style="89" customWidth="1"/>
    <col min="7437" max="7438" width="8.85546875" style="89"/>
    <col min="7439" max="7439" width="11.28515625" style="89" customWidth="1"/>
    <col min="7440" max="7666" width="8.85546875" style="89"/>
    <col min="7667" max="7667" width="9" style="89" customWidth="1"/>
    <col min="7668" max="7668" width="11.85546875" style="89" customWidth="1"/>
    <col min="7669" max="7669" width="9.7109375" style="89" customWidth="1"/>
    <col min="7670" max="7670" width="12.85546875" style="89" customWidth="1"/>
    <col min="7671" max="7671" width="45.28515625" style="89" customWidth="1"/>
    <col min="7672" max="7672" width="12.28515625" style="89" customWidth="1"/>
    <col min="7673" max="7673" width="7.28515625" style="89" customWidth="1"/>
    <col min="7674" max="7674" width="18.7109375" style="89" customWidth="1"/>
    <col min="7675" max="7675" width="22.85546875" style="89" customWidth="1"/>
    <col min="7676" max="7676" width="21" style="89" customWidth="1"/>
    <col min="7677" max="7677" width="18.85546875" style="89" customWidth="1"/>
    <col min="7678" max="7678" width="11.42578125" style="89" customWidth="1"/>
    <col min="7679" max="7679" width="11.85546875" style="89" customWidth="1"/>
    <col min="7680" max="7680" width="13.42578125" style="89" customWidth="1"/>
    <col min="7681" max="7681" width="24.7109375" style="89" customWidth="1"/>
    <col min="7682" max="7682" width="10.7109375" style="89" customWidth="1"/>
    <col min="7683" max="7683" width="7.85546875" style="89" customWidth="1"/>
    <col min="7684" max="7684" width="11" style="89" customWidth="1"/>
    <col min="7685" max="7685" width="7.85546875" style="89" customWidth="1"/>
    <col min="7686" max="7686" width="8.140625" style="89" customWidth="1"/>
    <col min="7687" max="7687" width="10" style="89" customWidth="1"/>
    <col min="7688" max="7688" width="13.7109375" style="89" customWidth="1"/>
    <col min="7689" max="7689" width="8.85546875" style="89"/>
    <col min="7690" max="7690" width="9" style="89" customWidth="1"/>
    <col min="7691" max="7691" width="11.28515625" style="89" customWidth="1"/>
    <col min="7692" max="7692" width="8.140625" style="89" customWidth="1"/>
    <col min="7693" max="7694" width="8.85546875" style="89"/>
    <col min="7695" max="7695" width="11.28515625" style="89" customWidth="1"/>
    <col min="7696" max="7922" width="8.85546875" style="89"/>
    <col min="7923" max="7923" width="9" style="89" customWidth="1"/>
    <col min="7924" max="7924" width="11.85546875" style="89" customWidth="1"/>
    <col min="7925" max="7925" width="9.7109375" style="89" customWidth="1"/>
    <col min="7926" max="7926" width="12.85546875" style="89" customWidth="1"/>
    <col min="7927" max="7927" width="45.28515625" style="89" customWidth="1"/>
    <col min="7928" max="7928" width="12.28515625" style="89" customWidth="1"/>
    <col min="7929" max="7929" width="7.28515625" style="89" customWidth="1"/>
    <col min="7930" max="7930" width="18.7109375" style="89" customWidth="1"/>
    <col min="7931" max="7931" width="22.85546875" style="89" customWidth="1"/>
    <col min="7932" max="7932" width="21" style="89" customWidth="1"/>
    <col min="7933" max="7933" width="18.85546875" style="89" customWidth="1"/>
    <col min="7934" max="7934" width="11.42578125" style="89" customWidth="1"/>
    <col min="7935" max="7935" width="11.85546875" style="89" customWidth="1"/>
    <col min="7936" max="7936" width="13.42578125" style="89" customWidth="1"/>
    <col min="7937" max="7937" width="24.7109375" style="89" customWidth="1"/>
    <col min="7938" max="7938" width="10.7109375" style="89" customWidth="1"/>
    <col min="7939" max="7939" width="7.85546875" style="89" customWidth="1"/>
    <col min="7940" max="7940" width="11" style="89" customWidth="1"/>
    <col min="7941" max="7941" width="7.85546875" style="89" customWidth="1"/>
    <col min="7942" max="7942" width="8.140625" style="89" customWidth="1"/>
    <col min="7943" max="7943" width="10" style="89" customWidth="1"/>
    <col min="7944" max="7944" width="13.7109375" style="89" customWidth="1"/>
    <col min="7945" max="7945" width="8.85546875" style="89"/>
    <col min="7946" max="7946" width="9" style="89" customWidth="1"/>
    <col min="7947" max="7947" width="11.28515625" style="89" customWidth="1"/>
    <col min="7948" max="7948" width="8.140625" style="89" customWidth="1"/>
    <col min="7949" max="7950" width="8.85546875" style="89"/>
    <col min="7951" max="7951" width="11.28515625" style="89" customWidth="1"/>
    <col min="7952" max="8178" width="8.85546875" style="89"/>
    <col min="8179" max="8179" width="9" style="89" customWidth="1"/>
    <col min="8180" max="8180" width="11.85546875" style="89" customWidth="1"/>
    <col min="8181" max="8181" width="9.7109375" style="89" customWidth="1"/>
    <col min="8182" max="8182" width="12.85546875" style="89" customWidth="1"/>
    <col min="8183" max="8183" width="45.28515625" style="89" customWidth="1"/>
    <col min="8184" max="8184" width="12.28515625" style="89" customWidth="1"/>
    <col min="8185" max="8185" width="7.28515625" style="89" customWidth="1"/>
    <col min="8186" max="8186" width="18.7109375" style="89" customWidth="1"/>
    <col min="8187" max="8187" width="22.85546875" style="89" customWidth="1"/>
    <col min="8188" max="8188" width="21" style="89" customWidth="1"/>
    <col min="8189" max="8189" width="18.85546875" style="89" customWidth="1"/>
    <col min="8190" max="8190" width="11.42578125" style="89" customWidth="1"/>
    <col min="8191" max="8191" width="11.85546875" style="89" customWidth="1"/>
    <col min="8192" max="8192" width="13.42578125" style="89" customWidth="1"/>
    <col min="8193" max="8193" width="24.7109375" style="89" customWidth="1"/>
    <col min="8194" max="8194" width="10.7109375" style="89" customWidth="1"/>
    <col min="8195" max="8195" width="7.85546875" style="89" customWidth="1"/>
    <col min="8196" max="8196" width="11" style="89" customWidth="1"/>
    <col min="8197" max="8197" width="7.85546875" style="89" customWidth="1"/>
    <col min="8198" max="8198" width="8.140625" style="89" customWidth="1"/>
    <col min="8199" max="8199" width="10" style="89" customWidth="1"/>
    <col min="8200" max="8200" width="13.7109375" style="89" customWidth="1"/>
    <col min="8201" max="8201" width="8.85546875" style="89"/>
    <col min="8202" max="8202" width="9" style="89" customWidth="1"/>
    <col min="8203" max="8203" width="11.28515625" style="89" customWidth="1"/>
    <col min="8204" max="8204" width="8.140625" style="89" customWidth="1"/>
    <col min="8205" max="8206" width="8.85546875" style="89"/>
    <col min="8207" max="8207" width="11.28515625" style="89" customWidth="1"/>
    <col min="8208" max="8434" width="8.85546875" style="89"/>
    <col min="8435" max="8435" width="9" style="89" customWidth="1"/>
    <col min="8436" max="8436" width="11.85546875" style="89" customWidth="1"/>
    <col min="8437" max="8437" width="9.7109375" style="89" customWidth="1"/>
    <col min="8438" max="8438" width="12.85546875" style="89" customWidth="1"/>
    <col min="8439" max="8439" width="45.28515625" style="89" customWidth="1"/>
    <col min="8440" max="8440" width="12.28515625" style="89" customWidth="1"/>
    <col min="8441" max="8441" width="7.28515625" style="89" customWidth="1"/>
    <col min="8442" max="8442" width="18.7109375" style="89" customWidth="1"/>
    <col min="8443" max="8443" width="22.85546875" style="89" customWidth="1"/>
    <col min="8444" max="8444" width="21" style="89" customWidth="1"/>
    <col min="8445" max="8445" width="18.85546875" style="89" customWidth="1"/>
    <col min="8446" max="8446" width="11.42578125" style="89" customWidth="1"/>
    <col min="8447" max="8447" width="11.85546875" style="89" customWidth="1"/>
    <col min="8448" max="8448" width="13.42578125" style="89" customWidth="1"/>
    <col min="8449" max="8449" width="24.7109375" style="89" customWidth="1"/>
    <col min="8450" max="8450" width="10.7109375" style="89" customWidth="1"/>
    <col min="8451" max="8451" width="7.85546875" style="89" customWidth="1"/>
    <col min="8452" max="8452" width="11" style="89" customWidth="1"/>
    <col min="8453" max="8453" width="7.85546875" style="89" customWidth="1"/>
    <col min="8454" max="8454" width="8.140625" style="89" customWidth="1"/>
    <col min="8455" max="8455" width="10" style="89" customWidth="1"/>
    <col min="8456" max="8456" width="13.7109375" style="89" customWidth="1"/>
    <col min="8457" max="8457" width="8.85546875" style="89"/>
    <col min="8458" max="8458" width="9" style="89" customWidth="1"/>
    <col min="8459" max="8459" width="11.28515625" style="89" customWidth="1"/>
    <col min="8460" max="8460" width="8.140625" style="89" customWidth="1"/>
    <col min="8461" max="8462" width="8.85546875" style="89"/>
    <col min="8463" max="8463" width="11.28515625" style="89" customWidth="1"/>
    <col min="8464" max="8690" width="8.85546875" style="89"/>
    <col min="8691" max="8691" width="9" style="89" customWidth="1"/>
    <col min="8692" max="8692" width="11.85546875" style="89" customWidth="1"/>
    <col min="8693" max="8693" width="9.7109375" style="89" customWidth="1"/>
    <col min="8694" max="8694" width="12.85546875" style="89" customWidth="1"/>
    <col min="8695" max="8695" width="45.28515625" style="89" customWidth="1"/>
    <col min="8696" max="8696" width="12.28515625" style="89" customWidth="1"/>
    <col min="8697" max="8697" width="7.28515625" style="89" customWidth="1"/>
    <col min="8698" max="8698" width="18.7109375" style="89" customWidth="1"/>
    <col min="8699" max="8699" width="22.85546875" style="89" customWidth="1"/>
    <col min="8700" max="8700" width="21" style="89" customWidth="1"/>
    <col min="8701" max="8701" width="18.85546875" style="89" customWidth="1"/>
    <col min="8702" max="8702" width="11.42578125" style="89" customWidth="1"/>
    <col min="8703" max="8703" width="11.85546875" style="89" customWidth="1"/>
    <col min="8704" max="8704" width="13.42578125" style="89" customWidth="1"/>
    <col min="8705" max="8705" width="24.7109375" style="89" customWidth="1"/>
    <col min="8706" max="8706" width="10.7109375" style="89" customWidth="1"/>
    <col min="8707" max="8707" width="7.85546875" style="89" customWidth="1"/>
    <col min="8708" max="8708" width="11" style="89" customWidth="1"/>
    <col min="8709" max="8709" width="7.85546875" style="89" customWidth="1"/>
    <col min="8710" max="8710" width="8.140625" style="89" customWidth="1"/>
    <col min="8711" max="8711" width="10" style="89" customWidth="1"/>
    <col min="8712" max="8712" width="13.7109375" style="89" customWidth="1"/>
    <col min="8713" max="8713" width="8.85546875" style="89"/>
    <col min="8714" max="8714" width="9" style="89" customWidth="1"/>
    <col min="8715" max="8715" width="11.28515625" style="89" customWidth="1"/>
    <col min="8716" max="8716" width="8.140625" style="89" customWidth="1"/>
    <col min="8717" max="8718" width="8.85546875" style="89"/>
    <col min="8719" max="8719" width="11.28515625" style="89" customWidth="1"/>
    <col min="8720" max="8946" width="8.85546875" style="89"/>
    <col min="8947" max="8947" width="9" style="89" customWidth="1"/>
    <col min="8948" max="8948" width="11.85546875" style="89" customWidth="1"/>
    <col min="8949" max="8949" width="9.7109375" style="89" customWidth="1"/>
    <col min="8950" max="8950" width="12.85546875" style="89" customWidth="1"/>
    <col min="8951" max="8951" width="45.28515625" style="89" customWidth="1"/>
    <col min="8952" max="8952" width="12.28515625" style="89" customWidth="1"/>
    <col min="8953" max="8953" width="7.28515625" style="89" customWidth="1"/>
    <col min="8954" max="8954" width="18.7109375" style="89" customWidth="1"/>
    <col min="8955" max="8955" width="22.85546875" style="89" customWidth="1"/>
    <col min="8956" max="8956" width="21" style="89" customWidth="1"/>
    <col min="8957" max="8957" width="18.85546875" style="89" customWidth="1"/>
    <col min="8958" max="8958" width="11.42578125" style="89" customWidth="1"/>
    <col min="8959" max="8959" width="11.85546875" style="89" customWidth="1"/>
    <col min="8960" max="8960" width="13.42578125" style="89" customWidth="1"/>
    <col min="8961" max="8961" width="24.7109375" style="89" customWidth="1"/>
    <col min="8962" max="8962" width="10.7109375" style="89" customWidth="1"/>
    <col min="8963" max="8963" width="7.85546875" style="89" customWidth="1"/>
    <col min="8964" max="8964" width="11" style="89" customWidth="1"/>
    <col min="8965" max="8965" width="7.85546875" style="89" customWidth="1"/>
    <col min="8966" max="8966" width="8.140625" style="89" customWidth="1"/>
    <col min="8967" max="8967" width="10" style="89" customWidth="1"/>
    <col min="8968" max="8968" width="13.7109375" style="89" customWidth="1"/>
    <col min="8969" max="8969" width="8.85546875" style="89"/>
    <col min="8970" max="8970" width="9" style="89" customWidth="1"/>
    <col min="8971" max="8971" width="11.28515625" style="89" customWidth="1"/>
    <col min="8972" max="8972" width="8.140625" style="89" customWidth="1"/>
    <col min="8973" max="8974" width="8.85546875" style="89"/>
    <col min="8975" max="8975" width="11.28515625" style="89" customWidth="1"/>
    <col min="8976" max="9202" width="8.85546875" style="89"/>
    <col min="9203" max="9203" width="9" style="89" customWidth="1"/>
    <col min="9204" max="9204" width="11.85546875" style="89" customWidth="1"/>
    <col min="9205" max="9205" width="9.7109375" style="89" customWidth="1"/>
    <col min="9206" max="9206" width="12.85546875" style="89" customWidth="1"/>
    <col min="9207" max="9207" width="45.28515625" style="89" customWidth="1"/>
    <col min="9208" max="9208" width="12.28515625" style="89" customWidth="1"/>
    <col min="9209" max="9209" width="7.28515625" style="89" customWidth="1"/>
    <col min="9210" max="9210" width="18.7109375" style="89" customWidth="1"/>
    <col min="9211" max="9211" width="22.85546875" style="89" customWidth="1"/>
    <col min="9212" max="9212" width="21" style="89" customWidth="1"/>
    <col min="9213" max="9213" width="18.85546875" style="89" customWidth="1"/>
    <col min="9214" max="9214" width="11.42578125" style="89" customWidth="1"/>
    <col min="9215" max="9215" width="11.85546875" style="89" customWidth="1"/>
    <col min="9216" max="9216" width="13.42578125" style="89" customWidth="1"/>
    <col min="9217" max="9217" width="24.7109375" style="89" customWidth="1"/>
    <col min="9218" max="9218" width="10.7109375" style="89" customWidth="1"/>
    <col min="9219" max="9219" width="7.85546875" style="89" customWidth="1"/>
    <col min="9220" max="9220" width="11" style="89" customWidth="1"/>
    <col min="9221" max="9221" width="7.85546875" style="89" customWidth="1"/>
    <col min="9222" max="9222" width="8.140625" style="89" customWidth="1"/>
    <col min="9223" max="9223" width="10" style="89" customWidth="1"/>
    <col min="9224" max="9224" width="13.7109375" style="89" customWidth="1"/>
    <col min="9225" max="9225" width="8.85546875" style="89"/>
    <col min="9226" max="9226" width="9" style="89" customWidth="1"/>
    <col min="9227" max="9227" width="11.28515625" style="89" customWidth="1"/>
    <col min="9228" max="9228" width="8.140625" style="89" customWidth="1"/>
    <col min="9229" max="9230" width="8.85546875" style="89"/>
    <col min="9231" max="9231" width="11.28515625" style="89" customWidth="1"/>
    <col min="9232" max="9458" width="8.85546875" style="89"/>
    <col min="9459" max="9459" width="9" style="89" customWidth="1"/>
    <col min="9460" max="9460" width="11.85546875" style="89" customWidth="1"/>
    <col min="9461" max="9461" width="9.7109375" style="89" customWidth="1"/>
    <col min="9462" max="9462" width="12.85546875" style="89" customWidth="1"/>
    <col min="9463" max="9463" width="45.28515625" style="89" customWidth="1"/>
    <col min="9464" max="9464" width="12.28515625" style="89" customWidth="1"/>
    <col min="9465" max="9465" width="7.28515625" style="89" customWidth="1"/>
    <col min="9466" max="9466" width="18.7109375" style="89" customWidth="1"/>
    <col min="9467" max="9467" width="22.85546875" style="89" customWidth="1"/>
    <col min="9468" max="9468" width="21" style="89" customWidth="1"/>
    <col min="9469" max="9469" width="18.85546875" style="89" customWidth="1"/>
    <col min="9470" max="9470" width="11.42578125" style="89" customWidth="1"/>
    <col min="9471" max="9471" width="11.85546875" style="89" customWidth="1"/>
    <col min="9472" max="9472" width="13.42578125" style="89" customWidth="1"/>
    <col min="9473" max="9473" width="24.7109375" style="89" customWidth="1"/>
    <col min="9474" max="9474" width="10.7109375" style="89" customWidth="1"/>
    <col min="9475" max="9475" width="7.85546875" style="89" customWidth="1"/>
    <col min="9476" max="9476" width="11" style="89" customWidth="1"/>
    <col min="9477" max="9477" width="7.85546875" style="89" customWidth="1"/>
    <col min="9478" max="9478" width="8.140625" style="89" customWidth="1"/>
    <col min="9479" max="9479" width="10" style="89" customWidth="1"/>
    <col min="9480" max="9480" width="13.7109375" style="89" customWidth="1"/>
    <col min="9481" max="9481" width="8.85546875" style="89"/>
    <col min="9482" max="9482" width="9" style="89" customWidth="1"/>
    <col min="9483" max="9483" width="11.28515625" style="89" customWidth="1"/>
    <col min="9484" max="9484" width="8.140625" style="89" customWidth="1"/>
    <col min="9485" max="9486" width="8.85546875" style="89"/>
    <col min="9487" max="9487" width="11.28515625" style="89" customWidth="1"/>
    <col min="9488" max="9714" width="8.85546875" style="89"/>
    <col min="9715" max="9715" width="9" style="89" customWidth="1"/>
    <col min="9716" max="9716" width="11.85546875" style="89" customWidth="1"/>
    <col min="9717" max="9717" width="9.7109375" style="89" customWidth="1"/>
    <col min="9718" max="9718" width="12.85546875" style="89" customWidth="1"/>
    <col min="9719" max="9719" width="45.28515625" style="89" customWidth="1"/>
    <col min="9720" max="9720" width="12.28515625" style="89" customWidth="1"/>
    <col min="9721" max="9721" width="7.28515625" style="89" customWidth="1"/>
    <col min="9722" max="9722" width="18.7109375" style="89" customWidth="1"/>
    <col min="9723" max="9723" width="22.85546875" style="89" customWidth="1"/>
    <col min="9724" max="9724" width="21" style="89" customWidth="1"/>
    <col min="9725" max="9725" width="18.85546875" style="89" customWidth="1"/>
    <col min="9726" max="9726" width="11.42578125" style="89" customWidth="1"/>
    <col min="9727" max="9727" width="11.85546875" style="89" customWidth="1"/>
    <col min="9728" max="9728" width="13.42578125" style="89" customWidth="1"/>
    <col min="9729" max="9729" width="24.7109375" style="89" customWidth="1"/>
    <col min="9730" max="9730" width="10.7109375" style="89" customWidth="1"/>
    <col min="9731" max="9731" width="7.85546875" style="89" customWidth="1"/>
    <col min="9732" max="9732" width="11" style="89" customWidth="1"/>
    <col min="9733" max="9733" width="7.85546875" style="89" customWidth="1"/>
    <col min="9734" max="9734" width="8.140625" style="89" customWidth="1"/>
    <col min="9735" max="9735" width="10" style="89" customWidth="1"/>
    <col min="9736" max="9736" width="13.7109375" style="89" customWidth="1"/>
    <col min="9737" max="9737" width="8.85546875" style="89"/>
    <col min="9738" max="9738" width="9" style="89" customWidth="1"/>
    <col min="9739" max="9739" width="11.28515625" style="89" customWidth="1"/>
    <col min="9740" max="9740" width="8.140625" style="89" customWidth="1"/>
    <col min="9741" max="9742" width="8.85546875" style="89"/>
    <col min="9743" max="9743" width="11.28515625" style="89" customWidth="1"/>
    <col min="9744" max="9970" width="8.85546875" style="89"/>
    <col min="9971" max="9971" width="9" style="89" customWidth="1"/>
    <col min="9972" max="9972" width="11.85546875" style="89" customWidth="1"/>
    <col min="9973" max="9973" width="9.7109375" style="89" customWidth="1"/>
    <col min="9974" max="9974" width="12.85546875" style="89" customWidth="1"/>
    <col min="9975" max="9975" width="45.28515625" style="89" customWidth="1"/>
    <col min="9976" max="9976" width="12.28515625" style="89" customWidth="1"/>
    <col min="9977" max="9977" width="7.28515625" style="89" customWidth="1"/>
    <col min="9978" max="9978" width="18.7109375" style="89" customWidth="1"/>
    <col min="9979" max="9979" width="22.85546875" style="89" customWidth="1"/>
    <col min="9980" max="9980" width="21" style="89" customWidth="1"/>
    <col min="9981" max="9981" width="18.85546875" style="89" customWidth="1"/>
    <col min="9982" max="9982" width="11.42578125" style="89" customWidth="1"/>
    <col min="9983" max="9983" width="11.85546875" style="89" customWidth="1"/>
    <col min="9984" max="9984" width="13.42578125" style="89" customWidth="1"/>
    <col min="9985" max="9985" width="24.7109375" style="89" customWidth="1"/>
    <col min="9986" max="9986" width="10.7109375" style="89" customWidth="1"/>
    <col min="9987" max="9987" width="7.85546875" style="89" customWidth="1"/>
    <col min="9988" max="9988" width="11" style="89" customWidth="1"/>
    <col min="9989" max="9989" width="7.85546875" style="89" customWidth="1"/>
    <col min="9990" max="9990" width="8.140625" style="89" customWidth="1"/>
    <col min="9991" max="9991" width="10" style="89" customWidth="1"/>
    <col min="9992" max="9992" width="13.7109375" style="89" customWidth="1"/>
    <col min="9993" max="9993" width="8.85546875" style="89"/>
    <col min="9994" max="9994" width="9" style="89" customWidth="1"/>
    <col min="9995" max="9995" width="11.28515625" style="89" customWidth="1"/>
    <col min="9996" max="9996" width="8.140625" style="89" customWidth="1"/>
    <col min="9997" max="9998" width="8.85546875" style="89"/>
    <col min="9999" max="9999" width="11.28515625" style="89" customWidth="1"/>
    <col min="10000" max="10226" width="8.85546875" style="89"/>
    <col min="10227" max="10227" width="9" style="89" customWidth="1"/>
    <col min="10228" max="10228" width="11.85546875" style="89" customWidth="1"/>
    <col min="10229" max="10229" width="9.7109375" style="89" customWidth="1"/>
    <col min="10230" max="10230" width="12.85546875" style="89" customWidth="1"/>
    <col min="10231" max="10231" width="45.28515625" style="89" customWidth="1"/>
    <col min="10232" max="10232" width="12.28515625" style="89" customWidth="1"/>
    <col min="10233" max="10233" width="7.28515625" style="89" customWidth="1"/>
    <col min="10234" max="10234" width="18.7109375" style="89" customWidth="1"/>
    <col min="10235" max="10235" width="22.85546875" style="89" customWidth="1"/>
    <col min="10236" max="10236" width="21" style="89" customWidth="1"/>
    <col min="10237" max="10237" width="18.85546875" style="89" customWidth="1"/>
    <col min="10238" max="10238" width="11.42578125" style="89" customWidth="1"/>
    <col min="10239" max="10239" width="11.85546875" style="89" customWidth="1"/>
    <col min="10240" max="10240" width="13.42578125" style="89" customWidth="1"/>
    <col min="10241" max="10241" width="24.7109375" style="89" customWidth="1"/>
    <col min="10242" max="10242" width="10.7109375" style="89" customWidth="1"/>
    <col min="10243" max="10243" width="7.85546875" style="89" customWidth="1"/>
    <col min="10244" max="10244" width="11" style="89" customWidth="1"/>
    <col min="10245" max="10245" width="7.85546875" style="89" customWidth="1"/>
    <col min="10246" max="10246" width="8.140625" style="89" customWidth="1"/>
    <col min="10247" max="10247" width="10" style="89" customWidth="1"/>
    <col min="10248" max="10248" width="13.7109375" style="89" customWidth="1"/>
    <col min="10249" max="10249" width="8.85546875" style="89"/>
    <col min="10250" max="10250" width="9" style="89" customWidth="1"/>
    <col min="10251" max="10251" width="11.28515625" style="89" customWidth="1"/>
    <col min="10252" max="10252" width="8.140625" style="89" customWidth="1"/>
    <col min="10253" max="10254" width="8.85546875" style="89"/>
    <col min="10255" max="10255" width="11.28515625" style="89" customWidth="1"/>
    <col min="10256" max="10482" width="8.85546875" style="89"/>
    <col min="10483" max="10483" width="9" style="89" customWidth="1"/>
    <col min="10484" max="10484" width="11.85546875" style="89" customWidth="1"/>
    <col min="10485" max="10485" width="9.7109375" style="89" customWidth="1"/>
    <col min="10486" max="10486" width="12.85546875" style="89" customWidth="1"/>
    <col min="10487" max="10487" width="45.28515625" style="89" customWidth="1"/>
    <col min="10488" max="10488" width="12.28515625" style="89" customWidth="1"/>
    <col min="10489" max="10489" width="7.28515625" style="89" customWidth="1"/>
    <col min="10490" max="10490" width="18.7109375" style="89" customWidth="1"/>
    <col min="10491" max="10491" width="22.85546875" style="89" customWidth="1"/>
    <col min="10492" max="10492" width="21" style="89" customWidth="1"/>
    <col min="10493" max="10493" width="18.85546875" style="89" customWidth="1"/>
    <col min="10494" max="10494" width="11.42578125" style="89" customWidth="1"/>
    <col min="10495" max="10495" width="11.85546875" style="89" customWidth="1"/>
    <col min="10496" max="10496" width="13.42578125" style="89" customWidth="1"/>
    <col min="10497" max="10497" width="24.7109375" style="89" customWidth="1"/>
    <col min="10498" max="10498" width="10.7109375" style="89" customWidth="1"/>
    <col min="10499" max="10499" width="7.85546875" style="89" customWidth="1"/>
    <col min="10500" max="10500" width="11" style="89" customWidth="1"/>
    <col min="10501" max="10501" width="7.85546875" style="89" customWidth="1"/>
    <col min="10502" max="10502" width="8.140625" style="89" customWidth="1"/>
    <col min="10503" max="10503" width="10" style="89" customWidth="1"/>
    <col min="10504" max="10504" width="13.7109375" style="89" customWidth="1"/>
    <col min="10505" max="10505" width="8.85546875" style="89"/>
    <col min="10506" max="10506" width="9" style="89" customWidth="1"/>
    <col min="10507" max="10507" width="11.28515625" style="89" customWidth="1"/>
    <col min="10508" max="10508" width="8.140625" style="89" customWidth="1"/>
    <col min="10509" max="10510" width="8.85546875" style="89"/>
    <col min="10511" max="10511" width="11.28515625" style="89" customWidth="1"/>
    <col min="10512" max="10738" width="8.85546875" style="89"/>
    <col min="10739" max="10739" width="9" style="89" customWidth="1"/>
    <col min="10740" max="10740" width="11.85546875" style="89" customWidth="1"/>
    <col min="10741" max="10741" width="9.7109375" style="89" customWidth="1"/>
    <col min="10742" max="10742" width="12.85546875" style="89" customWidth="1"/>
    <col min="10743" max="10743" width="45.28515625" style="89" customWidth="1"/>
    <col min="10744" max="10744" width="12.28515625" style="89" customWidth="1"/>
    <col min="10745" max="10745" width="7.28515625" style="89" customWidth="1"/>
    <col min="10746" max="10746" width="18.7109375" style="89" customWidth="1"/>
    <col min="10747" max="10747" width="22.85546875" style="89" customWidth="1"/>
    <col min="10748" max="10748" width="21" style="89" customWidth="1"/>
    <col min="10749" max="10749" width="18.85546875" style="89" customWidth="1"/>
    <col min="10750" max="10750" width="11.42578125" style="89" customWidth="1"/>
    <col min="10751" max="10751" width="11.85546875" style="89" customWidth="1"/>
    <col min="10752" max="10752" width="13.42578125" style="89" customWidth="1"/>
    <col min="10753" max="10753" width="24.7109375" style="89" customWidth="1"/>
    <col min="10754" max="10754" width="10.7109375" style="89" customWidth="1"/>
    <col min="10755" max="10755" width="7.85546875" style="89" customWidth="1"/>
    <col min="10756" max="10756" width="11" style="89" customWidth="1"/>
    <col min="10757" max="10757" width="7.85546875" style="89" customWidth="1"/>
    <col min="10758" max="10758" width="8.140625" style="89" customWidth="1"/>
    <col min="10759" max="10759" width="10" style="89" customWidth="1"/>
    <col min="10760" max="10760" width="13.7109375" style="89" customWidth="1"/>
    <col min="10761" max="10761" width="8.85546875" style="89"/>
    <col min="10762" max="10762" width="9" style="89" customWidth="1"/>
    <col min="10763" max="10763" width="11.28515625" style="89" customWidth="1"/>
    <col min="10764" max="10764" width="8.140625" style="89" customWidth="1"/>
    <col min="10765" max="10766" width="8.85546875" style="89"/>
    <col min="10767" max="10767" width="11.28515625" style="89" customWidth="1"/>
    <col min="10768" max="10994" width="8.85546875" style="89"/>
    <col min="10995" max="10995" width="9" style="89" customWidth="1"/>
    <col min="10996" max="10996" width="11.85546875" style="89" customWidth="1"/>
    <col min="10997" max="10997" width="9.7109375" style="89" customWidth="1"/>
    <col min="10998" max="10998" width="12.85546875" style="89" customWidth="1"/>
    <col min="10999" max="10999" width="45.28515625" style="89" customWidth="1"/>
    <col min="11000" max="11000" width="12.28515625" style="89" customWidth="1"/>
    <col min="11001" max="11001" width="7.28515625" style="89" customWidth="1"/>
    <col min="11002" max="11002" width="18.7109375" style="89" customWidth="1"/>
    <col min="11003" max="11003" width="22.85546875" style="89" customWidth="1"/>
    <col min="11004" max="11004" width="21" style="89" customWidth="1"/>
    <col min="11005" max="11005" width="18.85546875" style="89" customWidth="1"/>
    <col min="11006" max="11006" width="11.42578125" style="89" customWidth="1"/>
    <col min="11007" max="11007" width="11.85546875" style="89" customWidth="1"/>
    <col min="11008" max="11008" width="13.42578125" style="89" customWidth="1"/>
    <col min="11009" max="11009" width="24.7109375" style="89" customWidth="1"/>
    <col min="11010" max="11010" width="10.7109375" style="89" customWidth="1"/>
    <col min="11011" max="11011" width="7.85546875" style="89" customWidth="1"/>
    <col min="11012" max="11012" width="11" style="89" customWidth="1"/>
    <col min="11013" max="11013" width="7.85546875" style="89" customWidth="1"/>
    <col min="11014" max="11014" width="8.140625" style="89" customWidth="1"/>
    <col min="11015" max="11015" width="10" style="89" customWidth="1"/>
    <col min="11016" max="11016" width="13.7109375" style="89" customWidth="1"/>
    <col min="11017" max="11017" width="8.85546875" style="89"/>
    <col min="11018" max="11018" width="9" style="89" customWidth="1"/>
    <col min="11019" max="11019" width="11.28515625" style="89" customWidth="1"/>
    <col min="11020" max="11020" width="8.140625" style="89" customWidth="1"/>
    <col min="11021" max="11022" width="8.85546875" style="89"/>
    <col min="11023" max="11023" width="11.28515625" style="89" customWidth="1"/>
    <col min="11024" max="11250" width="8.85546875" style="89"/>
    <col min="11251" max="11251" width="9" style="89" customWidth="1"/>
    <col min="11252" max="11252" width="11.85546875" style="89" customWidth="1"/>
    <col min="11253" max="11253" width="9.7109375" style="89" customWidth="1"/>
    <col min="11254" max="11254" width="12.85546875" style="89" customWidth="1"/>
    <col min="11255" max="11255" width="45.28515625" style="89" customWidth="1"/>
    <col min="11256" max="11256" width="12.28515625" style="89" customWidth="1"/>
    <col min="11257" max="11257" width="7.28515625" style="89" customWidth="1"/>
    <col min="11258" max="11258" width="18.7109375" style="89" customWidth="1"/>
    <col min="11259" max="11259" width="22.85546875" style="89" customWidth="1"/>
    <col min="11260" max="11260" width="21" style="89" customWidth="1"/>
    <col min="11261" max="11261" width="18.85546875" style="89" customWidth="1"/>
    <col min="11262" max="11262" width="11.42578125" style="89" customWidth="1"/>
    <col min="11263" max="11263" width="11.85546875" style="89" customWidth="1"/>
    <col min="11264" max="11264" width="13.42578125" style="89" customWidth="1"/>
    <col min="11265" max="11265" width="24.7109375" style="89" customWidth="1"/>
    <col min="11266" max="11266" width="10.7109375" style="89" customWidth="1"/>
    <col min="11267" max="11267" width="7.85546875" style="89" customWidth="1"/>
    <col min="11268" max="11268" width="11" style="89" customWidth="1"/>
    <col min="11269" max="11269" width="7.85546875" style="89" customWidth="1"/>
    <col min="11270" max="11270" width="8.140625" style="89" customWidth="1"/>
    <col min="11271" max="11271" width="10" style="89" customWidth="1"/>
    <col min="11272" max="11272" width="13.7109375" style="89" customWidth="1"/>
    <col min="11273" max="11273" width="8.85546875" style="89"/>
    <col min="11274" max="11274" width="9" style="89" customWidth="1"/>
    <col min="11275" max="11275" width="11.28515625" style="89" customWidth="1"/>
    <col min="11276" max="11276" width="8.140625" style="89" customWidth="1"/>
    <col min="11277" max="11278" width="8.85546875" style="89"/>
    <col min="11279" max="11279" width="11.28515625" style="89" customWidth="1"/>
    <col min="11280" max="11506" width="8.85546875" style="89"/>
    <col min="11507" max="11507" width="9" style="89" customWidth="1"/>
    <col min="11508" max="11508" width="11.85546875" style="89" customWidth="1"/>
    <col min="11509" max="11509" width="9.7109375" style="89" customWidth="1"/>
    <col min="11510" max="11510" width="12.85546875" style="89" customWidth="1"/>
    <col min="11511" max="11511" width="45.28515625" style="89" customWidth="1"/>
    <col min="11512" max="11512" width="12.28515625" style="89" customWidth="1"/>
    <col min="11513" max="11513" width="7.28515625" style="89" customWidth="1"/>
    <col min="11514" max="11514" width="18.7109375" style="89" customWidth="1"/>
    <col min="11515" max="11515" width="22.85546875" style="89" customWidth="1"/>
    <col min="11516" max="11516" width="21" style="89" customWidth="1"/>
    <col min="11517" max="11517" width="18.85546875" style="89" customWidth="1"/>
    <col min="11518" max="11518" width="11.42578125" style="89" customWidth="1"/>
    <col min="11519" max="11519" width="11.85546875" style="89" customWidth="1"/>
    <col min="11520" max="11520" width="13.42578125" style="89" customWidth="1"/>
    <col min="11521" max="11521" width="24.7109375" style="89" customWidth="1"/>
    <col min="11522" max="11522" width="10.7109375" style="89" customWidth="1"/>
    <col min="11523" max="11523" width="7.85546875" style="89" customWidth="1"/>
    <col min="11524" max="11524" width="11" style="89" customWidth="1"/>
    <col min="11525" max="11525" width="7.85546875" style="89" customWidth="1"/>
    <col min="11526" max="11526" width="8.140625" style="89" customWidth="1"/>
    <col min="11527" max="11527" width="10" style="89" customWidth="1"/>
    <col min="11528" max="11528" width="13.7109375" style="89" customWidth="1"/>
    <col min="11529" max="11529" width="8.85546875" style="89"/>
    <col min="11530" max="11530" width="9" style="89" customWidth="1"/>
    <col min="11531" max="11531" width="11.28515625" style="89" customWidth="1"/>
    <col min="11532" max="11532" width="8.140625" style="89" customWidth="1"/>
    <col min="11533" max="11534" width="8.85546875" style="89"/>
    <col min="11535" max="11535" width="11.28515625" style="89" customWidth="1"/>
    <col min="11536" max="11762" width="8.85546875" style="89"/>
    <col min="11763" max="11763" width="9" style="89" customWidth="1"/>
    <col min="11764" max="11764" width="11.85546875" style="89" customWidth="1"/>
    <col min="11765" max="11765" width="9.7109375" style="89" customWidth="1"/>
    <col min="11766" max="11766" width="12.85546875" style="89" customWidth="1"/>
    <col min="11767" max="11767" width="45.28515625" style="89" customWidth="1"/>
    <col min="11768" max="11768" width="12.28515625" style="89" customWidth="1"/>
    <col min="11769" max="11769" width="7.28515625" style="89" customWidth="1"/>
    <col min="11770" max="11770" width="18.7109375" style="89" customWidth="1"/>
    <col min="11771" max="11771" width="22.85546875" style="89" customWidth="1"/>
    <col min="11772" max="11772" width="21" style="89" customWidth="1"/>
    <col min="11773" max="11773" width="18.85546875" style="89" customWidth="1"/>
    <col min="11774" max="11774" width="11.42578125" style="89" customWidth="1"/>
    <col min="11775" max="11775" width="11.85546875" style="89" customWidth="1"/>
    <col min="11776" max="11776" width="13.42578125" style="89" customWidth="1"/>
    <col min="11777" max="11777" width="24.7109375" style="89" customWidth="1"/>
    <col min="11778" max="11778" width="10.7109375" style="89" customWidth="1"/>
    <col min="11779" max="11779" width="7.85546875" style="89" customWidth="1"/>
    <col min="11780" max="11780" width="11" style="89" customWidth="1"/>
    <col min="11781" max="11781" width="7.85546875" style="89" customWidth="1"/>
    <col min="11782" max="11782" width="8.140625" style="89" customWidth="1"/>
    <col min="11783" max="11783" width="10" style="89" customWidth="1"/>
    <col min="11784" max="11784" width="13.7109375" style="89" customWidth="1"/>
    <col min="11785" max="11785" width="8.85546875" style="89"/>
    <col min="11786" max="11786" width="9" style="89" customWidth="1"/>
    <col min="11787" max="11787" width="11.28515625" style="89" customWidth="1"/>
    <col min="11788" max="11788" width="8.140625" style="89" customWidth="1"/>
    <col min="11789" max="11790" width="8.85546875" style="89"/>
    <col min="11791" max="11791" width="11.28515625" style="89" customWidth="1"/>
    <col min="11792" max="12018" width="8.85546875" style="89"/>
    <col min="12019" max="12019" width="9" style="89" customWidth="1"/>
    <col min="12020" max="12020" width="11.85546875" style="89" customWidth="1"/>
    <col min="12021" max="12021" width="9.7109375" style="89" customWidth="1"/>
    <col min="12022" max="12022" width="12.85546875" style="89" customWidth="1"/>
    <col min="12023" max="12023" width="45.28515625" style="89" customWidth="1"/>
    <col min="12024" max="12024" width="12.28515625" style="89" customWidth="1"/>
    <col min="12025" max="12025" width="7.28515625" style="89" customWidth="1"/>
    <col min="12026" max="12026" width="18.7109375" style="89" customWidth="1"/>
    <col min="12027" max="12027" width="22.85546875" style="89" customWidth="1"/>
    <col min="12028" max="12028" width="21" style="89" customWidth="1"/>
    <col min="12029" max="12029" width="18.85546875" style="89" customWidth="1"/>
    <col min="12030" max="12030" width="11.42578125" style="89" customWidth="1"/>
    <col min="12031" max="12031" width="11.85546875" style="89" customWidth="1"/>
    <col min="12032" max="12032" width="13.42578125" style="89" customWidth="1"/>
    <col min="12033" max="12033" width="24.7109375" style="89" customWidth="1"/>
    <col min="12034" max="12034" width="10.7109375" style="89" customWidth="1"/>
    <col min="12035" max="12035" width="7.85546875" style="89" customWidth="1"/>
    <col min="12036" max="12036" width="11" style="89" customWidth="1"/>
    <col min="12037" max="12037" width="7.85546875" style="89" customWidth="1"/>
    <col min="12038" max="12038" width="8.140625" style="89" customWidth="1"/>
    <col min="12039" max="12039" width="10" style="89" customWidth="1"/>
    <col min="12040" max="12040" width="13.7109375" style="89" customWidth="1"/>
    <col min="12041" max="12041" width="8.85546875" style="89"/>
    <col min="12042" max="12042" width="9" style="89" customWidth="1"/>
    <col min="12043" max="12043" width="11.28515625" style="89" customWidth="1"/>
    <col min="12044" max="12044" width="8.140625" style="89" customWidth="1"/>
    <col min="12045" max="12046" width="8.85546875" style="89"/>
    <col min="12047" max="12047" width="11.28515625" style="89" customWidth="1"/>
    <col min="12048" max="12274" width="8.85546875" style="89"/>
    <col min="12275" max="12275" width="9" style="89" customWidth="1"/>
    <col min="12276" max="12276" width="11.85546875" style="89" customWidth="1"/>
    <col min="12277" max="12277" width="9.7109375" style="89" customWidth="1"/>
    <col min="12278" max="12278" width="12.85546875" style="89" customWidth="1"/>
    <col min="12279" max="12279" width="45.28515625" style="89" customWidth="1"/>
    <col min="12280" max="12280" width="12.28515625" style="89" customWidth="1"/>
    <col min="12281" max="12281" width="7.28515625" style="89" customWidth="1"/>
    <col min="12282" max="12282" width="18.7109375" style="89" customWidth="1"/>
    <col min="12283" max="12283" width="22.85546875" style="89" customWidth="1"/>
    <col min="12284" max="12284" width="21" style="89" customWidth="1"/>
    <col min="12285" max="12285" width="18.85546875" style="89" customWidth="1"/>
    <col min="12286" max="12286" width="11.42578125" style="89" customWidth="1"/>
    <col min="12287" max="12287" width="11.85546875" style="89" customWidth="1"/>
    <col min="12288" max="12288" width="13.42578125" style="89" customWidth="1"/>
    <col min="12289" max="12289" width="24.7109375" style="89" customWidth="1"/>
    <col min="12290" max="12290" width="10.7109375" style="89" customWidth="1"/>
    <col min="12291" max="12291" width="7.85546875" style="89" customWidth="1"/>
    <col min="12292" max="12292" width="11" style="89" customWidth="1"/>
    <col min="12293" max="12293" width="7.85546875" style="89" customWidth="1"/>
    <col min="12294" max="12294" width="8.140625" style="89" customWidth="1"/>
    <col min="12295" max="12295" width="10" style="89" customWidth="1"/>
    <col min="12296" max="12296" width="13.7109375" style="89" customWidth="1"/>
    <col min="12297" max="12297" width="8.85546875" style="89"/>
    <col min="12298" max="12298" width="9" style="89" customWidth="1"/>
    <col min="12299" max="12299" width="11.28515625" style="89" customWidth="1"/>
    <col min="12300" max="12300" width="8.140625" style="89" customWidth="1"/>
    <col min="12301" max="12302" width="8.85546875" style="89"/>
    <col min="12303" max="12303" width="11.28515625" style="89" customWidth="1"/>
    <col min="12304" max="12530" width="8.85546875" style="89"/>
    <col min="12531" max="12531" width="9" style="89" customWidth="1"/>
    <col min="12532" max="12532" width="11.85546875" style="89" customWidth="1"/>
    <col min="12533" max="12533" width="9.7109375" style="89" customWidth="1"/>
    <col min="12534" max="12534" width="12.85546875" style="89" customWidth="1"/>
    <col min="12535" max="12535" width="45.28515625" style="89" customWidth="1"/>
    <col min="12536" max="12536" width="12.28515625" style="89" customWidth="1"/>
    <col min="12537" max="12537" width="7.28515625" style="89" customWidth="1"/>
    <col min="12538" max="12538" width="18.7109375" style="89" customWidth="1"/>
    <col min="12539" max="12539" width="22.85546875" style="89" customWidth="1"/>
    <col min="12540" max="12540" width="21" style="89" customWidth="1"/>
    <col min="12541" max="12541" width="18.85546875" style="89" customWidth="1"/>
    <col min="12542" max="12542" width="11.42578125" style="89" customWidth="1"/>
    <col min="12543" max="12543" width="11.85546875" style="89" customWidth="1"/>
    <col min="12544" max="12544" width="13.42578125" style="89" customWidth="1"/>
    <col min="12545" max="12545" width="24.7109375" style="89" customWidth="1"/>
    <col min="12546" max="12546" width="10.7109375" style="89" customWidth="1"/>
    <col min="12547" max="12547" width="7.85546875" style="89" customWidth="1"/>
    <col min="12548" max="12548" width="11" style="89" customWidth="1"/>
    <col min="12549" max="12549" width="7.85546875" style="89" customWidth="1"/>
    <col min="12550" max="12550" width="8.140625" style="89" customWidth="1"/>
    <col min="12551" max="12551" width="10" style="89" customWidth="1"/>
    <col min="12552" max="12552" width="13.7109375" style="89" customWidth="1"/>
    <col min="12553" max="12553" width="8.85546875" style="89"/>
    <col min="12554" max="12554" width="9" style="89" customWidth="1"/>
    <col min="12555" max="12555" width="11.28515625" style="89" customWidth="1"/>
    <col min="12556" max="12556" width="8.140625" style="89" customWidth="1"/>
    <col min="12557" max="12558" width="8.85546875" style="89"/>
    <col min="12559" max="12559" width="11.28515625" style="89" customWidth="1"/>
    <col min="12560" max="12786" width="8.85546875" style="89"/>
    <col min="12787" max="12787" width="9" style="89" customWidth="1"/>
    <col min="12788" max="12788" width="11.85546875" style="89" customWidth="1"/>
    <col min="12789" max="12789" width="9.7109375" style="89" customWidth="1"/>
    <col min="12790" max="12790" width="12.85546875" style="89" customWidth="1"/>
    <col min="12791" max="12791" width="45.28515625" style="89" customWidth="1"/>
    <col min="12792" max="12792" width="12.28515625" style="89" customWidth="1"/>
    <col min="12793" max="12793" width="7.28515625" style="89" customWidth="1"/>
    <col min="12794" max="12794" width="18.7109375" style="89" customWidth="1"/>
    <col min="12795" max="12795" width="22.85546875" style="89" customWidth="1"/>
    <col min="12796" max="12796" width="21" style="89" customWidth="1"/>
    <col min="12797" max="12797" width="18.85546875" style="89" customWidth="1"/>
    <col min="12798" max="12798" width="11.42578125" style="89" customWidth="1"/>
    <col min="12799" max="12799" width="11.85546875" style="89" customWidth="1"/>
    <col min="12800" max="12800" width="13.42578125" style="89" customWidth="1"/>
    <col min="12801" max="12801" width="24.7109375" style="89" customWidth="1"/>
    <col min="12802" max="12802" width="10.7109375" style="89" customWidth="1"/>
    <col min="12803" max="12803" width="7.85546875" style="89" customWidth="1"/>
    <col min="12804" max="12804" width="11" style="89" customWidth="1"/>
    <col min="12805" max="12805" width="7.85546875" style="89" customWidth="1"/>
    <col min="12806" max="12806" width="8.140625" style="89" customWidth="1"/>
    <col min="12807" max="12807" width="10" style="89" customWidth="1"/>
    <col min="12808" max="12808" width="13.7109375" style="89" customWidth="1"/>
    <col min="12809" max="12809" width="8.85546875" style="89"/>
    <col min="12810" max="12810" width="9" style="89" customWidth="1"/>
    <col min="12811" max="12811" width="11.28515625" style="89" customWidth="1"/>
    <col min="12812" max="12812" width="8.140625" style="89" customWidth="1"/>
    <col min="12813" max="12814" width="8.85546875" style="89"/>
    <col min="12815" max="12815" width="11.28515625" style="89" customWidth="1"/>
    <col min="12816" max="13042" width="8.85546875" style="89"/>
    <col min="13043" max="13043" width="9" style="89" customWidth="1"/>
    <col min="13044" max="13044" width="11.85546875" style="89" customWidth="1"/>
    <col min="13045" max="13045" width="9.7109375" style="89" customWidth="1"/>
    <col min="13046" max="13046" width="12.85546875" style="89" customWidth="1"/>
    <col min="13047" max="13047" width="45.28515625" style="89" customWidth="1"/>
    <col min="13048" max="13048" width="12.28515625" style="89" customWidth="1"/>
    <col min="13049" max="13049" width="7.28515625" style="89" customWidth="1"/>
    <col min="13050" max="13050" width="18.7109375" style="89" customWidth="1"/>
    <col min="13051" max="13051" width="22.85546875" style="89" customWidth="1"/>
    <col min="13052" max="13052" width="21" style="89" customWidth="1"/>
    <col min="13053" max="13053" width="18.85546875" style="89" customWidth="1"/>
    <col min="13054" max="13054" width="11.42578125" style="89" customWidth="1"/>
    <col min="13055" max="13055" width="11.85546875" style="89" customWidth="1"/>
    <col min="13056" max="13056" width="13.42578125" style="89" customWidth="1"/>
    <col min="13057" max="13057" width="24.7109375" style="89" customWidth="1"/>
    <col min="13058" max="13058" width="10.7109375" style="89" customWidth="1"/>
    <col min="13059" max="13059" width="7.85546875" style="89" customWidth="1"/>
    <col min="13060" max="13060" width="11" style="89" customWidth="1"/>
    <col min="13061" max="13061" width="7.85546875" style="89" customWidth="1"/>
    <col min="13062" max="13062" width="8.140625" style="89" customWidth="1"/>
    <col min="13063" max="13063" width="10" style="89" customWidth="1"/>
    <col min="13064" max="13064" width="13.7109375" style="89" customWidth="1"/>
    <col min="13065" max="13065" width="8.85546875" style="89"/>
    <col min="13066" max="13066" width="9" style="89" customWidth="1"/>
    <col min="13067" max="13067" width="11.28515625" style="89" customWidth="1"/>
    <col min="13068" max="13068" width="8.140625" style="89" customWidth="1"/>
    <col min="13069" max="13070" width="8.85546875" style="89"/>
    <col min="13071" max="13071" width="11.28515625" style="89" customWidth="1"/>
    <col min="13072" max="13298" width="8.85546875" style="89"/>
    <col min="13299" max="13299" width="9" style="89" customWidth="1"/>
    <col min="13300" max="13300" width="11.85546875" style="89" customWidth="1"/>
    <col min="13301" max="13301" width="9.7109375" style="89" customWidth="1"/>
    <col min="13302" max="13302" width="12.85546875" style="89" customWidth="1"/>
    <col min="13303" max="13303" width="45.28515625" style="89" customWidth="1"/>
    <col min="13304" max="13304" width="12.28515625" style="89" customWidth="1"/>
    <col min="13305" max="13305" width="7.28515625" style="89" customWidth="1"/>
    <col min="13306" max="13306" width="18.7109375" style="89" customWidth="1"/>
    <col min="13307" max="13307" width="22.85546875" style="89" customWidth="1"/>
    <col min="13308" max="13308" width="21" style="89" customWidth="1"/>
    <col min="13309" max="13309" width="18.85546875" style="89" customWidth="1"/>
    <col min="13310" max="13310" width="11.42578125" style="89" customWidth="1"/>
    <col min="13311" max="13311" width="11.85546875" style="89" customWidth="1"/>
    <col min="13312" max="13312" width="13.42578125" style="89" customWidth="1"/>
    <col min="13313" max="13313" width="24.7109375" style="89" customWidth="1"/>
    <col min="13314" max="13314" width="10.7109375" style="89" customWidth="1"/>
    <col min="13315" max="13315" width="7.85546875" style="89" customWidth="1"/>
    <col min="13316" max="13316" width="11" style="89" customWidth="1"/>
    <col min="13317" max="13317" width="7.85546875" style="89" customWidth="1"/>
    <col min="13318" max="13318" width="8.140625" style="89" customWidth="1"/>
    <col min="13319" max="13319" width="10" style="89" customWidth="1"/>
    <col min="13320" max="13320" width="13.7109375" style="89" customWidth="1"/>
    <col min="13321" max="13321" width="8.85546875" style="89"/>
    <col min="13322" max="13322" width="9" style="89" customWidth="1"/>
    <col min="13323" max="13323" width="11.28515625" style="89" customWidth="1"/>
    <col min="13324" max="13324" width="8.140625" style="89" customWidth="1"/>
    <col min="13325" max="13326" width="8.85546875" style="89"/>
    <col min="13327" max="13327" width="11.28515625" style="89" customWidth="1"/>
    <col min="13328" max="13554" width="8.85546875" style="89"/>
    <col min="13555" max="13555" width="9" style="89" customWidth="1"/>
    <col min="13556" max="13556" width="11.85546875" style="89" customWidth="1"/>
    <col min="13557" max="13557" width="9.7109375" style="89" customWidth="1"/>
    <col min="13558" max="13558" width="12.85546875" style="89" customWidth="1"/>
    <col min="13559" max="13559" width="45.28515625" style="89" customWidth="1"/>
    <col min="13560" max="13560" width="12.28515625" style="89" customWidth="1"/>
    <col min="13561" max="13561" width="7.28515625" style="89" customWidth="1"/>
    <col min="13562" max="13562" width="18.7109375" style="89" customWidth="1"/>
    <col min="13563" max="13563" width="22.85546875" style="89" customWidth="1"/>
    <col min="13564" max="13564" width="21" style="89" customWidth="1"/>
    <col min="13565" max="13565" width="18.85546875" style="89" customWidth="1"/>
    <col min="13566" max="13566" width="11.42578125" style="89" customWidth="1"/>
    <col min="13567" max="13567" width="11.85546875" style="89" customWidth="1"/>
    <col min="13568" max="13568" width="13.42578125" style="89" customWidth="1"/>
    <col min="13569" max="13569" width="24.7109375" style="89" customWidth="1"/>
    <col min="13570" max="13570" width="10.7109375" style="89" customWidth="1"/>
    <col min="13571" max="13571" width="7.85546875" style="89" customWidth="1"/>
    <col min="13572" max="13572" width="11" style="89" customWidth="1"/>
    <col min="13573" max="13573" width="7.85546875" style="89" customWidth="1"/>
    <col min="13574" max="13574" width="8.140625" style="89" customWidth="1"/>
    <col min="13575" max="13575" width="10" style="89" customWidth="1"/>
    <col min="13576" max="13576" width="13.7109375" style="89" customWidth="1"/>
    <col min="13577" max="13577" width="8.85546875" style="89"/>
    <col min="13578" max="13578" width="9" style="89" customWidth="1"/>
    <col min="13579" max="13579" width="11.28515625" style="89" customWidth="1"/>
    <col min="13580" max="13580" width="8.140625" style="89" customWidth="1"/>
    <col min="13581" max="13582" width="8.85546875" style="89"/>
    <col min="13583" max="13583" width="11.28515625" style="89" customWidth="1"/>
    <col min="13584" max="13810" width="8.85546875" style="89"/>
    <col min="13811" max="13811" width="9" style="89" customWidth="1"/>
    <col min="13812" max="13812" width="11.85546875" style="89" customWidth="1"/>
    <col min="13813" max="13813" width="9.7109375" style="89" customWidth="1"/>
    <col min="13814" max="13814" width="12.85546875" style="89" customWidth="1"/>
    <col min="13815" max="13815" width="45.28515625" style="89" customWidth="1"/>
    <col min="13816" max="13816" width="12.28515625" style="89" customWidth="1"/>
    <col min="13817" max="13817" width="7.28515625" style="89" customWidth="1"/>
    <col min="13818" max="13818" width="18.7109375" style="89" customWidth="1"/>
    <col min="13819" max="13819" width="22.85546875" style="89" customWidth="1"/>
    <col min="13820" max="13820" width="21" style="89" customWidth="1"/>
    <col min="13821" max="13821" width="18.85546875" style="89" customWidth="1"/>
    <col min="13822" max="13822" width="11.42578125" style="89" customWidth="1"/>
    <col min="13823" max="13823" width="11.85546875" style="89" customWidth="1"/>
    <col min="13824" max="13824" width="13.42578125" style="89" customWidth="1"/>
    <col min="13825" max="13825" width="24.7109375" style="89" customWidth="1"/>
    <col min="13826" max="13826" width="10.7109375" style="89" customWidth="1"/>
    <col min="13827" max="13827" width="7.85546875" style="89" customWidth="1"/>
    <col min="13828" max="13828" width="11" style="89" customWidth="1"/>
    <col min="13829" max="13829" width="7.85546875" style="89" customWidth="1"/>
    <col min="13830" max="13830" width="8.140625" style="89" customWidth="1"/>
    <col min="13831" max="13831" width="10" style="89" customWidth="1"/>
    <col min="13832" max="13832" width="13.7109375" style="89" customWidth="1"/>
    <col min="13833" max="13833" width="8.85546875" style="89"/>
    <col min="13834" max="13834" width="9" style="89" customWidth="1"/>
    <col min="13835" max="13835" width="11.28515625" style="89" customWidth="1"/>
    <col min="13836" max="13836" width="8.140625" style="89" customWidth="1"/>
    <col min="13837" max="13838" width="8.85546875" style="89"/>
    <col min="13839" max="13839" width="11.28515625" style="89" customWidth="1"/>
    <col min="13840" max="14066" width="8.85546875" style="89"/>
    <col min="14067" max="14067" width="9" style="89" customWidth="1"/>
    <col min="14068" max="14068" width="11.85546875" style="89" customWidth="1"/>
    <col min="14069" max="14069" width="9.7109375" style="89" customWidth="1"/>
    <col min="14070" max="14070" width="12.85546875" style="89" customWidth="1"/>
    <col min="14071" max="14071" width="45.28515625" style="89" customWidth="1"/>
    <col min="14072" max="14072" width="12.28515625" style="89" customWidth="1"/>
    <col min="14073" max="14073" width="7.28515625" style="89" customWidth="1"/>
    <col min="14074" max="14074" width="18.7109375" style="89" customWidth="1"/>
    <col min="14075" max="14075" width="22.85546875" style="89" customWidth="1"/>
    <col min="14076" max="14076" width="21" style="89" customWidth="1"/>
    <col min="14077" max="14077" width="18.85546875" style="89" customWidth="1"/>
    <col min="14078" max="14078" width="11.42578125" style="89" customWidth="1"/>
    <col min="14079" max="14079" width="11.85546875" style="89" customWidth="1"/>
    <col min="14080" max="14080" width="13.42578125" style="89" customWidth="1"/>
    <col min="14081" max="14081" width="24.7109375" style="89" customWidth="1"/>
    <col min="14082" max="14082" width="10.7109375" style="89" customWidth="1"/>
    <col min="14083" max="14083" width="7.85546875" style="89" customWidth="1"/>
    <col min="14084" max="14084" width="11" style="89" customWidth="1"/>
    <col min="14085" max="14085" width="7.85546875" style="89" customWidth="1"/>
    <col min="14086" max="14086" width="8.140625" style="89" customWidth="1"/>
    <col min="14087" max="14087" width="10" style="89" customWidth="1"/>
    <col min="14088" max="14088" width="13.7109375" style="89" customWidth="1"/>
    <col min="14089" max="14089" width="8.85546875" style="89"/>
    <col min="14090" max="14090" width="9" style="89" customWidth="1"/>
    <col min="14091" max="14091" width="11.28515625" style="89" customWidth="1"/>
    <col min="14092" max="14092" width="8.140625" style="89" customWidth="1"/>
    <col min="14093" max="14094" width="8.85546875" style="89"/>
    <col min="14095" max="14095" width="11.28515625" style="89" customWidth="1"/>
    <col min="14096" max="14322" width="8.85546875" style="89"/>
    <col min="14323" max="14323" width="9" style="89" customWidth="1"/>
    <col min="14324" max="14324" width="11.85546875" style="89" customWidth="1"/>
    <col min="14325" max="14325" width="9.7109375" style="89" customWidth="1"/>
    <col min="14326" max="14326" width="12.85546875" style="89" customWidth="1"/>
    <col min="14327" max="14327" width="45.28515625" style="89" customWidth="1"/>
    <col min="14328" max="14328" width="12.28515625" style="89" customWidth="1"/>
    <col min="14329" max="14329" width="7.28515625" style="89" customWidth="1"/>
    <col min="14330" max="14330" width="18.7109375" style="89" customWidth="1"/>
    <col min="14331" max="14331" width="22.85546875" style="89" customWidth="1"/>
    <col min="14332" max="14332" width="21" style="89" customWidth="1"/>
    <col min="14333" max="14333" width="18.85546875" style="89" customWidth="1"/>
    <col min="14334" max="14334" width="11.42578125" style="89" customWidth="1"/>
    <col min="14335" max="14335" width="11.85546875" style="89" customWidth="1"/>
    <col min="14336" max="14336" width="13.42578125" style="89" customWidth="1"/>
    <col min="14337" max="14337" width="24.7109375" style="89" customWidth="1"/>
    <col min="14338" max="14338" width="10.7109375" style="89" customWidth="1"/>
    <col min="14339" max="14339" width="7.85546875" style="89" customWidth="1"/>
    <col min="14340" max="14340" width="11" style="89" customWidth="1"/>
    <col min="14341" max="14341" width="7.85546875" style="89" customWidth="1"/>
    <col min="14342" max="14342" width="8.140625" style="89" customWidth="1"/>
    <col min="14343" max="14343" width="10" style="89" customWidth="1"/>
    <col min="14344" max="14344" width="13.7109375" style="89" customWidth="1"/>
    <col min="14345" max="14345" width="8.85546875" style="89"/>
    <col min="14346" max="14346" width="9" style="89" customWidth="1"/>
    <col min="14347" max="14347" width="11.28515625" style="89" customWidth="1"/>
    <col min="14348" max="14348" width="8.140625" style="89" customWidth="1"/>
    <col min="14349" max="14350" width="8.85546875" style="89"/>
    <col min="14351" max="14351" width="11.28515625" style="89" customWidth="1"/>
    <col min="14352" max="14578" width="8.85546875" style="89"/>
    <col min="14579" max="14579" width="9" style="89" customWidth="1"/>
    <col min="14580" max="14580" width="11.85546875" style="89" customWidth="1"/>
    <col min="14581" max="14581" width="9.7109375" style="89" customWidth="1"/>
    <col min="14582" max="14582" width="12.85546875" style="89" customWidth="1"/>
    <col min="14583" max="14583" width="45.28515625" style="89" customWidth="1"/>
    <col min="14584" max="14584" width="12.28515625" style="89" customWidth="1"/>
    <col min="14585" max="14585" width="7.28515625" style="89" customWidth="1"/>
    <col min="14586" max="14586" width="18.7109375" style="89" customWidth="1"/>
    <col min="14587" max="14587" width="22.85546875" style="89" customWidth="1"/>
    <col min="14588" max="14588" width="21" style="89" customWidth="1"/>
    <col min="14589" max="14589" width="18.85546875" style="89" customWidth="1"/>
    <col min="14590" max="14590" width="11.42578125" style="89" customWidth="1"/>
    <col min="14591" max="14591" width="11.85546875" style="89" customWidth="1"/>
    <col min="14592" max="14592" width="13.42578125" style="89" customWidth="1"/>
    <col min="14593" max="14593" width="24.7109375" style="89" customWidth="1"/>
    <col min="14594" max="14594" width="10.7109375" style="89" customWidth="1"/>
    <col min="14595" max="14595" width="7.85546875" style="89" customWidth="1"/>
    <col min="14596" max="14596" width="11" style="89" customWidth="1"/>
    <col min="14597" max="14597" width="7.85546875" style="89" customWidth="1"/>
    <col min="14598" max="14598" width="8.140625" style="89" customWidth="1"/>
    <col min="14599" max="14599" width="10" style="89" customWidth="1"/>
    <col min="14600" max="14600" width="13.7109375" style="89" customWidth="1"/>
    <col min="14601" max="14601" width="8.85546875" style="89"/>
    <col min="14602" max="14602" width="9" style="89" customWidth="1"/>
    <col min="14603" max="14603" width="11.28515625" style="89" customWidth="1"/>
    <col min="14604" max="14604" width="8.140625" style="89" customWidth="1"/>
    <col min="14605" max="14606" width="8.85546875" style="89"/>
    <col min="14607" max="14607" width="11.28515625" style="89" customWidth="1"/>
    <col min="14608" max="14834" width="8.85546875" style="89"/>
    <col min="14835" max="14835" width="9" style="89" customWidth="1"/>
    <col min="14836" max="14836" width="11.85546875" style="89" customWidth="1"/>
    <col min="14837" max="14837" width="9.7109375" style="89" customWidth="1"/>
    <col min="14838" max="14838" width="12.85546875" style="89" customWidth="1"/>
    <col min="14839" max="14839" width="45.28515625" style="89" customWidth="1"/>
    <col min="14840" max="14840" width="12.28515625" style="89" customWidth="1"/>
    <col min="14841" max="14841" width="7.28515625" style="89" customWidth="1"/>
    <col min="14842" max="14842" width="18.7109375" style="89" customWidth="1"/>
    <col min="14843" max="14843" width="22.85546875" style="89" customWidth="1"/>
    <col min="14844" max="14844" width="21" style="89" customWidth="1"/>
    <col min="14845" max="14845" width="18.85546875" style="89" customWidth="1"/>
    <col min="14846" max="14846" width="11.42578125" style="89" customWidth="1"/>
    <col min="14847" max="14847" width="11.85546875" style="89" customWidth="1"/>
    <col min="14848" max="14848" width="13.42578125" style="89" customWidth="1"/>
    <col min="14849" max="14849" width="24.7109375" style="89" customWidth="1"/>
    <col min="14850" max="14850" width="10.7109375" style="89" customWidth="1"/>
    <col min="14851" max="14851" width="7.85546875" style="89" customWidth="1"/>
    <col min="14852" max="14852" width="11" style="89" customWidth="1"/>
    <col min="14853" max="14853" width="7.85546875" style="89" customWidth="1"/>
    <col min="14854" max="14854" width="8.140625" style="89" customWidth="1"/>
    <col min="14855" max="14855" width="10" style="89" customWidth="1"/>
    <col min="14856" max="14856" width="13.7109375" style="89" customWidth="1"/>
    <col min="14857" max="14857" width="8.85546875" style="89"/>
    <col min="14858" max="14858" width="9" style="89" customWidth="1"/>
    <col min="14859" max="14859" width="11.28515625" style="89" customWidth="1"/>
    <col min="14860" max="14860" width="8.140625" style="89" customWidth="1"/>
    <col min="14861" max="14862" width="8.85546875" style="89"/>
    <col min="14863" max="14863" width="11.28515625" style="89" customWidth="1"/>
    <col min="14864" max="15090" width="8.85546875" style="89"/>
    <col min="15091" max="15091" width="9" style="89" customWidth="1"/>
    <col min="15092" max="15092" width="11.85546875" style="89" customWidth="1"/>
    <col min="15093" max="15093" width="9.7109375" style="89" customWidth="1"/>
    <col min="15094" max="15094" width="12.85546875" style="89" customWidth="1"/>
    <col min="15095" max="15095" width="45.28515625" style="89" customWidth="1"/>
    <col min="15096" max="15096" width="12.28515625" style="89" customWidth="1"/>
    <col min="15097" max="15097" width="7.28515625" style="89" customWidth="1"/>
    <col min="15098" max="15098" width="18.7109375" style="89" customWidth="1"/>
    <col min="15099" max="15099" width="22.85546875" style="89" customWidth="1"/>
    <col min="15100" max="15100" width="21" style="89" customWidth="1"/>
    <col min="15101" max="15101" width="18.85546875" style="89" customWidth="1"/>
    <col min="15102" max="15102" width="11.42578125" style="89" customWidth="1"/>
    <col min="15103" max="15103" width="11.85546875" style="89" customWidth="1"/>
    <col min="15104" max="15104" width="13.42578125" style="89" customWidth="1"/>
    <col min="15105" max="15105" width="24.7109375" style="89" customWidth="1"/>
    <col min="15106" max="15106" width="10.7109375" style="89" customWidth="1"/>
    <col min="15107" max="15107" width="7.85546875" style="89" customWidth="1"/>
    <col min="15108" max="15108" width="11" style="89" customWidth="1"/>
    <col min="15109" max="15109" width="7.85546875" style="89" customWidth="1"/>
    <col min="15110" max="15110" width="8.140625" style="89" customWidth="1"/>
    <col min="15111" max="15111" width="10" style="89" customWidth="1"/>
    <col min="15112" max="15112" width="13.7109375" style="89" customWidth="1"/>
    <col min="15113" max="15113" width="8.85546875" style="89"/>
    <col min="15114" max="15114" width="9" style="89" customWidth="1"/>
    <col min="15115" max="15115" width="11.28515625" style="89" customWidth="1"/>
    <col min="15116" max="15116" width="8.140625" style="89" customWidth="1"/>
    <col min="15117" max="15118" width="8.85546875" style="89"/>
    <col min="15119" max="15119" width="11.28515625" style="89" customWidth="1"/>
    <col min="15120" max="15346" width="8.85546875" style="89"/>
    <col min="15347" max="15347" width="9" style="89" customWidth="1"/>
    <col min="15348" max="15348" width="11.85546875" style="89" customWidth="1"/>
    <col min="15349" max="15349" width="9.7109375" style="89" customWidth="1"/>
    <col min="15350" max="15350" width="12.85546875" style="89" customWidth="1"/>
    <col min="15351" max="15351" width="45.28515625" style="89" customWidth="1"/>
    <col min="15352" max="15352" width="12.28515625" style="89" customWidth="1"/>
    <col min="15353" max="15353" width="7.28515625" style="89" customWidth="1"/>
    <col min="15354" max="15354" width="18.7109375" style="89" customWidth="1"/>
    <col min="15355" max="15355" width="22.85546875" style="89" customWidth="1"/>
    <col min="15356" max="15356" width="21" style="89" customWidth="1"/>
    <col min="15357" max="15357" width="18.85546875" style="89" customWidth="1"/>
    <col min="15358" max="15358" width="11.42578125" style="89" customWidth="1"/>
    <col min="15359" max="15359" width="11.85546875" style="89" customWidth="1"/>
    <col min="15360" max="15360" width="13.42578125" style="89" customWidth="1"/>
    <col min="15361" max="15361" width="24.7109375" style="89" customWidth="1"/>
    <col min="15362" max="15362" width="10.7109375" style="89" customWidth="1"/>
    <col min="15363" max="15363" width="7.85546875" style="89" customWidth="1"/>
    <col min="15364" max="15364" width="11" style="89" customWidth="1"/>
    <col min="15365" max="15365" width="7.85546875" style="89" customWidth="1"/>
    <col min="15366" max="15366" width="8.140625" style="89" customWidth="1"/>
    <col min="15367" max="15367" width="10" style="89" customWidth="1"/>
    <col min="15368" max="15368" width="13.7109375" style="89" customWidth="1"/>
    <col min="15369" max="15369" width="8.85546875" style="89"/>
    <col min="15370" max="15370" width="9" style="89" customWidth="1"/>
    <col min="15371" max="15371" width="11.28515625" style="89" customWidth="1"/>
    <col min="15372" max="15372" width="8.140625" style="89" customWidth="1"/>
    <col min="15373" max="15374" width="8.85546875" style="89"/>
    <col min="15375" max="15375" width="11.28515625" style="89" customWidth="1"/>
    <col min="15376" max="15602" width="8.85546875" style="89"/>
    <col min="15603" max="15603" width="9" style="89" customWidth="1"/>
    <col min="15604" max="15604" width="11.85546875" style="89" customWidth="1"/>
    <col min="15605" max="15605" width="9.7109375" style="89" customWidth="1"/>
    <col min="15606" max="15606" width="12.85546875" style="89" customWidth="1"/>
    <col min="15607" max="15607" width="45.28515625" style="89" customWidth="1"/>
    <col min="15608" max="15608" width="12.28515625" style="89" customWidth="1"/>
    <col min="15609" max="15609" width="7.28515625" style="89" customWidth="1"/>
    <col min="15610" max="15610" width="18.7109375" style="89" customWidth="1"/>
    <col min="15611" max="15611" width="22.85546875" style="89" customWidth="1"/>
    <col min="15612" max="15612" width="21" style="89" customWidth="1"/>
    <col min="15613" max="15613" width="18.85546875" style="89" customWidth="1"/>
    <col min="15614" max="15614" width="11.42578125" style="89" customWidth="1"/>
    <col min="15615" max="15615" width="11.85546875" style="89" customWidth="1"/>
    <col min="15616" max="15616" width="13.42578125" style="89" customWidth="1"/>
    <col min="15617" max="15617" width="24.7109375" style="89" customWidth="1"/>
    <col min="15618" max="15618" width="10.7109375" style="89" customWidth="1"/>
    <col min="15619" max="15619" width="7.85546875" style="89" customWidth="1"/>
    <col min="15620" max="15620" width="11" style="89" customWidth="1"/>
    <col min="15621" max="15621" width="7.85546875" style="89" customWidth="1"/>
    <col min="15622" max="15622" width="8.140625" style="89" customWidth="1"/>
    <col min="15623" max="15623" width="10" style="89" customWidth="1"/>
    <col min="15624" max="15624" width="13.7109375" style="89" customWidth="1"/>
    <col min="15625" max="15625" width="8.85546875" style="89"/>
    <col min="15626" max="15626" width="9" style="89" customWidth="1"/>
    <col min="15627" max="15627" width="11.28515625" style="89" customWidth="1"/>
    <col min="15628" max="15628" width="8.140625" style="89" customWidth="1"/>
    <col min="15629" max="15630" width="8.85546875" style="89"/>
    <col min="15631" max="15631" width="11.28515625" style="89" customWidth="1"/>
    <col min="15632" max="15858" width="8.85546875" style="89"/>
    <col min="15859" max="15859" width="9" style="89" customWidth="1"/>
    <col min="15860" max="15860" width="11.85546875" style="89" customWidth="1"/>
    <col min="15861" max="15861" width="9.7109375" style="89" customWidth="1"/>
    <col min="15862" max="15862" width="12.85546875" style="89" customWidth="1"/>
    <col min="15863" max="15863" width="45.28515625" style="89" customWidth="1"/>
    <col min="15864" max="15864" width="12.28515625" style="89" customWidth="1"/>
    <col min="15865" max="15865" width="7.28515625" style="89" customWidth="1"/>
    <col min="15866" max="15866" width="18.7109375" style="89" customWidth="1"/>
    <col min="15867" max="15867" width="22.85546875" style="89" customWidth="1"/>
    <col min="15868" max="15868" width="21" style="89" customWidth="1"/>
    <col min="15869" max="15869" width="18.85546875" style="89" customWidth="1"/>
    <col min="15870" max="15870" width="11.42578125" style="89" customWidth="1"/>
    <col min="15871" max="15871" width="11.85546875" style="89" customWidth="1"/>
    <col min="15872" max="15872" width="13.42578125" style="89" customWidth="1"/>
    <col min="15873" max="15873" width="24.7109375" style="89" customWidth="1"/>
    <col min="15874" max="15874" width="10.7109375" style="89" customWidth="1"/>
    <col min="15875" max="15875" width="7.85546875" style="89" customWidth="1"/>
    <col min="15876" max="15876" width="11" style="89" customWidth="1"/>
    <col min="15877" max="15877" width="7.85546875" style="89" customWidth="1"/>
    <col min="15878" max="15878" width="8.140625" style="89" customWidth="1"/>
    <col min="15879" max="15879" width="10" style="89" customWidth="1"/>
    <col min="15880" max="15880" width="13.7109375" style="89" customWidth="1"/>
    <col min="15881" max="15881" width="8.85546875" style="89"/>
    <col min="15882" max="15882" width="9" style="89" customWidth="1"/>
    <col min="15883" max="15883" width="11.28515625" style="89" customWidth="1"/>
    <col min="15884" max="15884" width="8.140625" style="89" customWidth="1"/>
    <col min="15885" max="15886" width="8.85546875" style="89"/>
    <col min="15887" max="15887" width="11.28515625" style="89" customWidth="1"/>
    <col min="15888" max="16114" width="8.85546875" style="89"/>
    <col min="16115" max="16115" width="9" style="89" customWidth="1"/>
    <col min="16116" max="16116" width="11.85546875" style="89" customWidth="1"/>
    <col min="16117" max="16117" width="9.7109375" style="89" customWidth="1"/>
    <col min="16118" max="16118" width="12.85546875" style="89" customWidth="1"/>
    <col min="16119" max="16119" width="45.28515625" style="89" customWidth="1"/>
    <col min="16120" max="16120" width="12.28515625" style="89" customWidth="1"/>
    <col min="16121" max="16121" width="7.28515625" style="89" customWidth="1"/>
    <col min="16122" max="16122" width="18.7109375" style="89" customWidth="1"/>
    <col min="16123" max="16123" width="22.85546875" style="89" customWidth="1"/>
    <col min="16124" max="16124" width="21" style="89" customWidth="1"/>
    <col min="16125" max="16125" width="18.85546875" style="89" customWidth="1"/>
    <col min="16126" max="16126" width="11.42578125" style="89" customWidth="1"/>
    <col min="16127" max="16127" width="11.85546875" style="89" customWidth="1"/>
    <col min="16128" max="16128" width="13.42578125" style="89" customWidth="1"/>
    <col min="16129" max="16129" width="24.7109375" style="89" customWidth="1"/>
    <col min="16130" max="16130" width="10.7109375" style="89" customWidth="1"/>
    <col min="16131" max="16131" width="7.85546875" style="89" customWidth="1"/>
    <col min="16132" max="16132" width="11" style="89" customWidth="1"/>
    <col min="16133" max="16133" width="7.85546875" style="89" customWidth="1"/>
    <col min="16134" max="16134" width="8.140625" style="89" customWidth="1"/>
    <col min="16135" max="16135" width="10" style="89" customWidth="1"/>
    <col min="16136" max="16136" width="13.7109375" style="89" customWidth="1"/>
    <col min="16137" max="16137" width="8.85546875" style="89"/>
    <col min="16138" max="16138" width="9" style="89" customWidth="1"/>
    <col min="16139" max="16139" width="11.28515625" style="89" customWidth="1"/>
    <col min="16140" max="16140" width="8.140625" style="89" customWidth="1"/>
    <col min="16141" max="16142" width="8.85546875" style="89"/>
    <col min="16143" max="16143" width="11.28515625" style="89" customWidth="1"/>
    <col min="16144" max="16384" width="8.85546875" style="89"/>
  </cols>
  <sheetData>
    <row r="1" spans="1:12" s="292" customFormat="1" ht="48" customHeight="1">
      <c r="A1" s="996" t="s">
        <v>0</v>
      </c>
      <c r="B1" s="1001" t="s">
        <v>136</v>
      </c>
      <c r="C1" s="996" t="s">
        <v>137</v>
      </c>
      <c r="D1" s="996" t="s">
        <v>5</v>
      </c>
      <c r="E1" s="996" t="s">
        <v>6</v>
      </c>
      <c r="F1" s="997" t="s">
        <v>138</v>
      </c>
      <c r="G1" s="996" t="s">
        <v>139</v>
      </c>
      <c r="H1" s="996" t="s">
        <v>9</v>
      </c>
      <c r="I1" s="997" t="s">
        <v>10</v>
      </c>
      <c r="J1" s="998" t="s">
        <v>1743</v>
      </c>
      <c r="K1" s="999"/>
      <c r="L1" s="1000"/>
    </row>
    <row r="2" spans="1:12" s="292" customFormat="1" ht="63.75" customHeight="1">
      <c r="A2" s="996"/>
      <c r="B2" s="1001"/>
      <c r="C2" s="996"/>
      <c r="D2" s="996"/>
      <c r="E2" s="996"/>
      <c r="F2" s="997"/>
      <c r="G2" s="996"/>
      <c r="H2" s="996"/>
      <c r="I2" s="997"/>
      <c r="J2" s="642" t="s">
        <v>2209</v>
      </c>
      <c r="K2" s="642" t="s">
        <v>2207</v>
      </c>
      <c r="L2" s="642" t="s">
        <v>2208</v>
      </c>
    </row>
    <row r="3" spans="1:12" ht="42.75" customHeight="1">
      <c r="A3" s="440">
        <v>46130</v>
      </c>
      <c r="B3" s="444">
        <v>1</v>
      </c>
      <c r="C3" s="705"/>
      <c r="D3" s="442" t="s">
        <v>52</v>
      </c>
      <c r="E3" s="685">
        <v>1</v>
      </c>
      <c r="F3" s="685" t="s">
        <v>3440</v>
      </c>
      <c r="G3" s="442" t="s">
        <v>3099</v>
      </c>
      <c r="H3" s="434" t="s">
        <v>1992</v>
      </c>
      <c r="I3" s="434" t="s">
        <v>56</v>
      </c>
      <c r="J3" s="593"/>
      <c r="K3" s="435"/>
      <c r="L3" s="548"/>
    </row>
    <row r="4" spans="1:12" ht="42.75" customHeight="1">
      <c r="A4" s="440">
        <v>46147</v>
      </c>
      <c r="B4" s="444">
        <v>2</v>
      </c>
      <c r="C4" s="705"/>
      <c r="D4" s="442" t="s">
        <v>52</v>
      </c>
      <c r="E4" s="685">
        <v>2</v>
      </c>
      <c r="F4" s="685" t="s">
        <v>2558</v>
      </c>
      <c r="G4" s="442" t="s">
        <v>2559</v>
      </c>
      <c r="H4" s="434" t="s">
        <v>59</v>
      </c>
      <c r="I4" s="434" t="s">
        <v>56</v>
      </c>
      <c r="J4" s="593"/>
      <c r="K4" s="435"/>
      <c r="L4" s="548"/>
    </row>
    <row r="5" spans="1:12" ht="42.75" customHeight="1">
      <c r="A5" s="440">
        <v>46147</v>
      </c>
      <c r="B5" s="444">
        <v>3</v>
      </c>
      <c r="C5" s="705"/>
      <c r="D5" s="442" t="s">
        <v>52</v>
      </c>
      <c r="E5" s="685">
        <v>3</v>
      </c>
      <c r="F5" s="685" t="s">
        <v>2124</v>
      </c>
      <c r="G5" s="442" t="s">
        <v>2125</v>
      </c>
      <c r="H5" s="434" t="s">
        <v>603</v>
      </c>
      <c r="I5" s="434" t="s">
        <v>56</v>
      </c>
      <c r="J5" s="593"/>
      <c r="K5" s="435"/>
      <c r="L5" s="548"/>
    </row>
    <row r="6" spans="1:12" ht="42.75" customHeight="1">
      <c r="A6" s="440">
        <v>46150</v>
      </c>
      <c r="B6" s="444">
        <v>4</v>
      </c>
      <c r="C6" s="705"/>
      <c r="D6" s="442" t="s">
        <v>52</v>
      </c>
      <c r="E6" s="685">
        <v>2</v>
      </c>
      <c r="F6" s="685" t="s">
        <v>3295</v>
      </c>
      <c r="G6" s="442" t="s">
        <v>3296</v>
      </c>
      <c r="H6" s="434" t="s">
        <v>391</v>
      </c>
      <c r="I6" s="434" t="s">
        <v>53</v>
      </c>
      <c r="J6" s="593"/>
      <c r="K6" s="435"/>
      <c r="L6" s="548"/>
    </row>
    <row r="7" spans="1:12" ht="42.75" customHeight="1">
      <c r="A7" s="440">
        <v>46150</v>
      </c>
      <c r="B7" s="444">
        <v>5</v>
      </c>
      <c r="C7" s="705"/>
      <c r="D7" s="442" t="s">
        <v>52</v>
      </c>
      <c r="E7" s="685">
        <v>2</v>
      </c>
      <c r="F7" s="685" t="s">
        <v>3297</v>
      </c>
      <c r="G7" s="442" t="s">
        <v>3298</v>
      </c>
      <c r="H7" s="434" t="s">
        <v>59</v>
      </c>
      <c r="I7" s="434" t="s">
        <v>56</v>
      </c>
      <c r="J7" s="593"/>
      <c r="K7" s="435"/>
      <c r="L7" s="548"/>
    </row>
    <row r="8" spans="1:12" ht="42.75" customHeight="1">
      <c r="A8" s="440">
        <v>46151</v>
      </c>
      <c r="B8" s="444">
        <v>6</v>
      </c>
      <c r="C8" s="705"/>
      <c r="D8" s="442" t="s">
        <v>52</v>
      </c>
      <c r="E8" s="685">
        <v>2</v>
      </c>
      <c r="F8" s="685" t="s">
        <v>3292</v>
      </c>
      <c r="G8" s="442" t="s">
        <v>3293</v>
      </c>
      <c r="H8" s="434" t="s">
        <v>59</v>
      </c>
      <c r="I8" s="434" t="s">
        <v>3294</v>
      </c>
      <c r="J8" s="593"/>
      <c r="K8" s="435"/>
      <c r="L8" s="548"/>
    </row>
    <row r="9" spans="1:12" ht="42.75" customHeight="1">
      <c r="A9" s="440">
        <v>46157</v>
      </c>
      <c r="B9" s="444">
        <v>7</v>
      </c>
      <c r="C9" s="705"/>
      <c r="D9" s="442" t="s">
        <v>52</v>
      </c>
      <c r="E9" s="685">
        <v>1</v>
      </c>
      <c r="F9" s="685" t="s">
        <v>3439</v>
      </c>
      <c r="G9" s="442" t="s">
        <v>95</v>
      </c>
      <c r="H9" s="434" t="s">
        <v>59</v>
      </c>
      <c r="I9" s="434" t="s">
        <v>53</v>
      </c>
      <c r="J9" s="593"/>
      <c r="K9" s="435"/>
      <c r="L9" s="548"/>
    </row>
    <row r="10" spans="1:12" ht="42.75" customHeight="1">
      <c r="A10" s="440">
        <v>46157</v>
      </c>
      <c r="B10" s="444">
        <v>8</v>
      </c>
      <c r="C10" s="705"/>
      <c r="D10" s="442" t="s">
        <v>3443</v>
      </c>
      <c r="E10" s="685">
        <v>1</v>
      </c>
      <c r="F10" s="685" t="s">
        <v>3441</v>
      </c>
      <c r="G10" s="442" t="s">
        <v>3442</v>
      </c>
      <c r="H10" s="434" t="s">
        <v>2380</v>
      </c>
      <c r="I10" s="434" t="s">
        <v>1357</v>
      </c>
      <c r="J10" s="593"/>
      <c r="K10" s="435"/>
      <c r="L10" s="548"/>
    </row>
  </sheetData>
  <autoFilter ref="A1:L2" xr:uid="{9B50B2CF-6B62-4601-8864-8DD5C123357A}"/>
  <mergeCells count="10">
    <mergeCell ref="A1:A2"/>
    <mergeCell ref="B1:B2"/>
    <mergeCell ref="C1:C2"/>
    <mergeCell ref="D1:D2"/>
    <mergeCell ref="E1:E2"/>
    <mergeCell ref="G1:G2"/>
    <mergeCell ref="H1:H2"/>
    <mergeCell ref="I1:I2"/>
    <mergeCell ref="F1:F2"/>
    <mergeCell ref="J1:L1"/>
  </mergeCells>
  <phoneticPr fontId="25" type="noConversion"/>
  <pageMargins left="0.25" right="0.25" top="0.75" bottom="0.25" header="0.3" footer="0.3"/>
  <pageSetup paperSize="9" scale="65" fitToHeight="0" orientation="landscape" r:id="rId1"/>
  <headerFooter alignWithMargins="0">
    <oddHeader>&amp;L&amp;D&amp;C&amp;F&amp;R&amp;P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45E00-4F0B-47EF-954E-63BDA7C5550C}">
  <sheetPr codeName="Sheet3">
    <tabColor rgb="FF7030A0"/>
  </sheetPr>
  <dimension ref="A1:X688"/>
  <sheetViews>
    <sheetView zoomScale="70" zoomScaleNormal="70" workbookViewId="0">
      <pane ySplit="2" topLeftCell="A677" activePane="bottomLeft" state="frozen"/>
      <selection activeCell="I7" sqref="I7"/>
      <selection pane="bottomLeft" activeCell="J688" sqref="J688"/>
    </sheetView>
  </sheetViews>
  <sheetFormatPr defaultColWidth="9.140625" defaultRowHeight="12.75"/>
  <cols>
    <col min="1" max="1" width="17.42578125" style="254" customWidth="1"/>
    <col min="2" max="2" width="12" style="254" customWidth="1"/>
    <col min="3" max="3" width="25.5703125" style="254" customWidth="1"/>
    <col min="4" max="4" width="21.85546875" style="254" customWidth="1"/>
    <col min="5" max="5" width="10.5703125" style="254" customWidth="1"/>
    <col min="6" max="6" width="31.7109375" style="254" customWidth="1"/>
    <col min="7" max="7" width="31.42578125" style="254" customWidth="1"/>
    <col min="8" max="8" width="29.42578125" style="254" customWidth="1"/>
    <col min="9" max="9" width="21" style="254" customWidth="1"/>
    <col min="10" max="10" width="15.140625" style="313" customWidth="1"/>
    <col min="11" max="11" width="14" style="254" customWidth="1"/>
    <col min="12" max="12" width="13.42578125" style="254" customWidth="1"/>
    <col min="13" max="13" width="22.140625" style="254" customWidth="1"/>
    <col min="14" max="16384" width="9.140625" style="254"/>
  </cols>
  <sheetData>
    <row r="1" spans="1:12" ht="12.75" customHeight="1">
      <c r="A1" s="1015" t="s">
        <v>0</v>
      </c>
      <c r="B1" s="1017" t="s">
        <v>136</v>
      </c>
      <c r="C1" s="1015" t="s">
        <v>137</v>
      </c>
      <c r="D1" s="1015" t="s">
        <v>5</v>
      </c>
      <c r="E1" s="1015" t="s">
        <v>6</v>
      </c>
      <c r="F1" s="1016" t="s">
        <v>138</v>
      </c>
      <c r="G1" s="1015" t="s">
        <v>139</v>
      </c>
      <c r="H1" s="1015" t="s">
        <v>9</v>
      </c>
      <c r="I1" s="1016" t="s">
        <v>10</v>
      </c>
      <c r="J1" s="1013" t="s">
        <v>1210</v>
      </c>
      <c r="K1" s="1011" t="s">
        <v>1421</v>
      </c>
      <c r="L1" s="1012"/>
    </row>
    <row r="2" spans="1:12" ht="25.5">
      <c r="A2" s="1015"/>
      <c r="B2" s="1017"/>
      <c r="C2" s="1015"/>
      <c r="D2" s="1015"/>
      <c r="E2" s="1015"/>
      <c r="F2" s="1016"/>
      <c r="G2" s="1015"/>
      <c r="H2" s="1015"/>
      <c r="I2" s="1016"/>
      <c r="J2" s="1013"/>
      <c r="K2" s="448" t="s">
        <v>1506</v>
      </c>
      <c r="L2" s="448" t="s">
        <v>1422</v>
      </c>
    </row>
    <row r="3" spans="1:12" s="263" customFormat="1" ht="25.5">
      <c r="A3" s="255">
        <v>44574</v>
      </c>
      <c r="B3" s="256">
        <v>1</v>
      </c>
      <c r="C3" s="257"/>
      <c r="D3" s="258" t="s">
        <v>52</v>
      </c>
      <c r="E3" s="259">
        <v>1</v>
      </c>
      <c r="F3" s="258" t="s">
        <v>157</v>
      </c>
      <c r="G3" s="260" t="s">
        <v>158</v>
      </c>
      <c r="H3" s="261" t="s">
        <v>59</v>
      </c>
      <c r="I3" s="262" t="s">
        <v>159</v>
      </c>
      <c r="J3" s="449"/>
      <c r="K3" s="450"/>
      <c r="L3" s="451"/>
    </row>
    <row r="4" spans="1:12" s="263" customFormat="1" ht="25.5">
      <c r="A4" s="255">
        <v>44574</v>
      </c>
      <c r="B4" s="256">
        <v>2</v>
      </c>
      <c r="C4" s="257"/>
      <c r="D4" s="258" t="s">
        <v>52</v>
      </c>
      <c r="E4" s="259">
        <v>2</v>
      </c>
      <c r="F4" s="258" t="s">
        <v>160</v>
      </c>
      <c r="G4" s="260" t="s">
        <v>91</v>
      </c>
      <c r="H4" s="261" t="s">
        <v>59</v>
      </c>
      <c r="I4" s="262" t="s">
        <v>56</v>
      </c>
      <c r="J4" s="449"/>
      <c r="K4" s="450"/>
      <c r="L4" s="451"/>
    </row>
    <row r="5" spans="1:12" s="263" customFormat="1">
      <c r="A5" s="255">
        <v>44574</v>
      </c>
      <c r="B5" s="256">
        <v>3</v>
      </c>
      <c r="C5" s="257"/>
      <c r="D5" s="258" t="s">
        <v>52</v>
      </c>
      <c r="E5" s="259">
        <v>2</v>
      </c>
      <c r="F5" s="258" t="s">
        <v>161</v>
      </c>
      <c r="G5" s="260" t="s">
        <v>66</v>
      </c>
      <c r="H5" s="261" t="s">
        <v>162</v>
      </c>
      <c r="I5" s="262" t="s">
        <v>56</v>
      </c>
      <c r="J5" s="449"/>
      <c r="K5" s="450"/>
      <c r="L5" s="451"/>
    </row>
    <row r="6" spans="1:12" s="263" customFormat="1" ht="25.5">
      <c r="A6" s="255">
        <v>44573</v>
      </c>
      <c r="B6" s="256">
        <v>4</v>
      </c>
      <c r="C6" s="257" t="s">
        <v>163</v>
      </c>
      <c r="D6" s="258" t="s">
        <v>80</v>
      </c>
      <c r="E6" s="259">
        <v>2</v>
      </c>
      <c r="F6" s="258" t="s">
        <v>164</v>
      </c>
      <c r="G6" s="260" t="s">
        <v>82</v>
      </c>
      <c r="H6" s="261" t="s">
        <v>165</v>
      </c>
      <c r="I6" s="262" t="s">
        <v>166</v>
      </c>
      <c r="J6" s="449"/>
      <c r="K6" s="450"/>
      <c r="L6" s="451"/>
    </row>
    <row r="7" spans="1:12" s="263" customFormat="1">
      <c r="A7" s="255">
        <v>44557</v>
      </c>
      <c r="B7" s="256">
        <v>5</v>
      </c>
      <c r="C7" s="257" t="s">
        <v>163</v>
      </c>
      <c r="D7" s="258" t="s">
        <v>80</v>
      </c>
      <c r="E7" s="259">
        <v>2</v>
      </c>
      <c r="F7" s="258" t="s">
        <v>167</v>
      </c>
      <c r="G7" s="260" t="s">
        <v>168</v>
      </c>
      <c r="H7" s="261" t="s">
        <v>169</v>
      </c>
      <c r="I7" s="262" t="s">
        <v>53</v>
      </c>
      <c r="J7" s="449"/>
      <c r="K7" s="450"/>
      <c r="L7" s="451"/>
    </row>
    <row r="8" spans="1:12" s="263" customFormat="1">
      <c r="A8" s="255">
        <v>44557</v>
      </c>
      <c r="B8" s="256">
        <v>6</v>
      </c>
      <c r="C8" s="257" t="s">
        <v>163</v>
      </c>
      <c r="D8" s="258" t="s">
        <v>80</v>
      </c>
      <c r="E8" s="259">
        <v>2</v>
      </c>
      <c r="F8" s="258" t="s">
        <v>170</v>
      </c>
      <c r="G8" s="260" t="s">
        <v>171</v>
      </c>
      <c r="H8" s="261" t="s">
        <v>169</v>
      </c>
      <c r="I8" s="262" t="s">
        <v>53</v>
      </c>
      <c r="J8" s="449"/>
      <c r="K8" s="450"/>
      <c r="L8" s="451"/>
    </row>
    <row r="9" spans="1:12" s="263" customFormat="1" ht="38.25">
      <c r="A9" s="255">
        <v>44578</v>
      </c>
      <c r="B9" s="256">
        <v>7</v>
      </c>
      <c r="C9" s="257"/>
      <c r="D9" s="258" t="s">
        <v>80</v>
      </c>
      <c r="E9" s="259">
        <v>2</v>
      </c>
      <c r="F9" s="258" t="s">
        <v>172</v>
      </c>
      <c r="G9" s="260" t="s">
        <v>171</v>
      </c>
      <c r="H9" s="261" t="s">
        <v>173</v>
      </c>
      <c r="I9" s="262" t="s">
        <v>53</v>
      </c>
      <c r="J9" s="449"/>
      <c r="K9" s="450"/>
      <c r="L9" s="451"/>
    </row>
    <row r="10" spans="1:12" s="263" customFormat="1" ht="38.25">
      <c r="A10" s="255">
        <v>44578</v>
      </c>
      <c r="B10" s="256">
        <v>8</v>
      </c>
      <c r="C10" s="257"/>
      <c r="D10" s="258" t="s">
        <v>80</v>
      </c>
      <c r="E10" s="259">
        <v>2</v>
      </c>
      <c r="F10" s="258" t="s">
        <v>174</v>
      </c>
      <c r="G10" s="260" t="s">
        <v>168</v>
      </c>
      <c r="H10" s="261" t="s">
        <v>173</v>
      </c>
      <c r="I10" s="262" t="s">
        <v>53</v>
      </c>
      <c r="J10" s="449"/>
      <c r="K10" s="450"/>
      <c r="L10" s="451"/>
    </row>
    <row r="11" spans="1:12" s="263" customFormat="1">
      <c r="A11" s="255">
        <v>44601</v>
      </c>
      <c r="B11" s="256">
        <v>9</v>
      </c>
      <c r="C11" s="257"/>
      <c r="D11" s="258" t="s">
        <v>52</v>
      </c>
      <c r="E11" s="259">
        <v>2</v>
      </c>
      <c r="F11" s="258" t="s">
        <v>175</v>
      </c>
      <c r="G11" s="260" t="s">
        <v>90</v>
      </c>
      <c r="H11" s="261" t="s">
        <v>121</v>
      </c>
      <c r="I11" s="262" t="s">
        <v>56</v>
      </c>
      <c r="J11" s="449"/>
      <c r="K11" s="450"/>
      <c r="L11" s="451"/>
    </row>
    <row r="12" spans="1:12" s="263" customFormat="1">
      <c r="A12" s="255">
        <v>44601</v>
      </c>
      <c r="B12" s="256">
        <v>10</v>
      </c>
      <c r="C12" s="257"/>
      <c r="D12" s="258" t="s">
        <v>52</v>
      </c>
      <c r="E12" s="259">
        <v>1</v>
      </c>
      <c r="F12" s="258" t="s">
        <v>129</v>
      </c>
      <c r="G12" s="260" t="s">
        <v>130</v>
      </c>
      <c r="H12" s="261" t="s">
        <v>49</v>
      </c>
      <c r="I12" s="262" t="s">
        <v>53</v>
      </c>
      <c r="J12" s="449"/>
      <c r="K12" s="450"/>
      <c r="L12" s="451"/>
    </row>
    <row r="13" spans="1:12" s="263" customFormat="1" ht="25.5">
      <c r="A13" s="255">
        <v>44603</v>
      </c>
      <c r="B13" s="256">
        <v>11</v>
      </c>
      <c r="C13" s="257" t="s">
        <v>176</v>
      </c>
      <c r="D13" s="258" t="s">
        <v>177</v>
      </c>
      <c r="E13" s="259">
        <v>5</v>
      </c>
      <c r="F13" s="258" t="s">
        <v>178</v>
      </c>
      <c r="G13" s="260" t="s">
        <v>82</v>
      </c>
      <c r="H13" s="261" t="s">
        <v>121</v>
      </c>
      <c r="I13" s="262" t="s">
        <v>179</v>
      </c>
      <c r="J13" s="449"/>
      <c r="K13" s="450"/>
      <c r="L13" s="451"/>
    </row>
    <row r="14" spans="1:12" s="263" customFormat="1" ht="25.5">
      <c r="A14" s="255">
        <v>44603</v>
      </c>
      <c r="B14" s="256">
        <v>12</v>
      </c>
      <c r="C14" s="257" t="s">
        <v>176</v>
      </c>
      <c r="D14" s="258" t="s">
        <v>177</v>
      </c>
      <c r="E14" s="259">
        <v>5</v>
      </c>
      <c r="F14" s="258" t="s">
        <v>180</v>
      </c>
      <c r="G14" s="260" t="s">
        <v>82</v>
      </c>
      <c r="H14" s="261" t="s">
        <v>121</v>
      </c>
      <c r="I14" s="262" t="s">
        <v>69</v>
      </c>
      <c r="J14" s="449"/>
      <c r="K14" s="450"/>
      <c r="L14" s="451"/>
    </row>
    <row r="15" spans="1:12" s="263" customFormat="1" ht="25.5">
      <c r="A15" s="255">
        <v>44603</v>
      </c>
      <c r="B15" s="256">
        <v>13</v>
      </c>
      <c r="C15" s="257" t="s">
        <v>176</v>
      </c>
      <c r="D15" s="258" t="s">
        <v>177</v>
      </c>
      <c r="E15" s="259">
        <v>5</v>
      </c>
      <c r="F15" s="258" t="s">
        <v>181</v>
      </c>
      <c r="G15" s="260" t="s">
        <v>82</v>
      </c>
      <c r="H15" s="261" t="s">
        <v>121</v>
      </c>
      <c r="I15" s="262" t="s">
        <v>179</v>
      </c>
      <c r="J15" s="449"/>
      <c r="K15" s="450"/>
      <c r="L15" s="451"/>
    </row>
    <row r="16" spans="1:12" s="263" customFormat="1" ht="25.5">
      <c r="A16" s="255">
        <v>44603</v>
      </c>
      <c r="B16" s="256">
        <v>14</v>
      </c>
      <c r="C16" s="257" t="s">
        <v>176</v>
      </c>
      <c r="D16" s="258" t="s">
        <v>177</v>
      </c>
      <c r="E16" s="259">
        <v>5</v>
      </c>
      <c r="F16" s="258" t="s">
        <v>182</v>
      </c>
      <c r="G16" s="260" t="s">
        <v>82</v>
      </c>
      <c r="H16" s="261" t="s">
        <v>121</v>
      </c>
      <c r="I16" s="262" t="s">
        <v>179</v>
      </c>
      <c r="J16" s="449"/>
      <c r="K16" s="450"/>
      <c r="L16" s="451"/>
    </row>
    <row r="17" spans="1:12" s="263" customFormat="1" ht="38.25">
      <c r="A17" s="255">
        <v>44600</v>
      </c>
      <c r="B17" s="256">
        <v>15</v>
      </c>
      <c r="C17" s="257" t="s">
        <v>163</v>
      </c>
      <c r="D17" s="258" t="s">
        <v>80</v>
      </c>
      <c r="E17" s="259">
        <v>2</v>
      </c>
      <c r="F17" s="258" t="s">
        <v>183</v>
      </c>
      <c r="G17" s="260" t="s">
        <v>184</v>
      </c>
      <c r="H17" s="261" t="s">
        <v>173</v>
      </c>
      <c r="I17" s="262" t="s">
        <v>53</v>
      </c>
      <c r="J17" s="449"/>
      <c r="K17" s="450"/>
      <c r="L17" s="451"/>
    </row>
    <row r="18" spans="1:12" s="263" customFormat="1" ht="38.25">
      <c r="A18" s="255">
        <v>44600</v>
      </c>
      <c r="B18" s="256">
        <v>16</v>
      </c>
      <c r="C18" s="257" t="s">
        <v>163</v>
      </c>
      <c r="D18" s="258" t="s">
        <v>80</v>
      </c>
      <c r="E18" s="259">
        <v>2</v>
      </c>
      <c r="F18" s="258" t="s">
        <v>185</v>
      </c>
      <c r="G18" s="260" t="s">
        <v>186</v>
      </c>
      <c r="H18" s="261" t="s">
        <v>173</v>
      </c>
      <c r="I18" s="262" t="s">
        <v>53</v>
      </c>
      <c r="J18" s="449"/>
      <c r="K18" s="450"/>
      <c r="L18" s="451"/>
    </row>
    <row r="19" spans="1:12" s="263" customFormat="1">
      <c r="A19" s="255">
        <v>44600</v>
      </c>
      <c r="B19" s="256">
        <v>17</v>
      </c>
      <c r="C19" s="257" t="s">
        <v>163</v>
      </c>
      <c r="D19" s="258" t="s">
        <v>80</v>
      </c>
      <c r="E19" s="259">
        <v>2</v>
      </c>
      <c r="F19" s="258" t="s">
        <v>187</v>
      </c>
      <c r="G19" s="260" t="s">
        <v>188</v>
      </c>
      <c r="H19" s="261" t="s">
        <v>189</v>
      </c>
      <c r="I19" s="262" t="s">
        <v>53</v>
      </c>
      <c r="J19" s="449"/>
      <c r="K19" s="450"/>
      <c r="L19" s="451"/>
    </row>
    <row r="20" spans="1:12" s="263" customFormat="1">
      <c r="A20" s="255">
        <v>44532</v>
      </c>
      <c r="B20" s="256">
        <v>18</v>
      </c>
      <c r="C20" s="257"/>
      <c r="D20" s="258" t="s">
        <v>52</v>
      </c>
      <c r="E20" s="259">
        <v>1</v>
      </c>
      <c r="F20" s="258" t="s">
        <v>190</v>
      </c>
      <c r="G20" s="260" t="s">
        <v>191</v>
      </c>
      <c r="H20" s="261" t="s">
        <v>59</v>
      </c>
      <c r="I20" s="262" t="s">
        <v>53</v>
      </c>
      <c r="J20" s="449"/>
      <c r="K20" s="450"/>
      <c r="L20" s="451"/>
    </row>
    <row r="21" spans="1:12" s="263" customFormat="1">
      <c r="A21" s="255">
        <v>44587</v>
      </c>
      <c r="B21" s="256">
        <v>19</v>
      </c>
      <c r="C21" s="257"/>
      <c r="D21" s="258" t="s">
        <v>192</v>
      </c>
      <c r="E21" s="259">
        <v>2</v>
      </c>
      <c r="F21" s="258" t="s">
        <v>193</v>
      </c>
      <c r="G21" s="260" t="s">
        <v>194</v>
      </c>
      <c r="H21" s="261" t="s">
        <v>195</v>
      </c>
      <c r="I21" s="262" t="s">
        <v>196</v>
      </c>
      <c r="J21" s="449"/>
      <c r="K21" s="450"/>
      <c r="L21" s="451"/>
    </row>
    <row r="22" spans="1:12" s="263" customFormat="1" ht="25.5">
      <c r="A22" s="255">
        <v>44607</v>
      </c>
      <c r="B22" s="256">
        <v>20</v>
      </c>
      <c r="C22" s="257"/>
      <c r="D22" s="258" t="s">
        <v>197</v>
      </c>
      <c r="E22" s="259">
        <v>2</v>
      </c>
      <c r="F22" s="258" t="s">
        <v>198</v>
      </c>
      <c r="G22" s="260" t="s">
        <v>199</v>
      </c>
      <c r="H22" s="261" t="s">
        <v>200</v>
      </c>
      <c r="I22" s="262" t="s">
        <v>201</v>
      </c>
      <c r="J22" s="449"/>
      <c r="K22" s="450"/>
      <c r="L22" s="451"/>
    </row>
    <row r="23" spans="1:12" s="263" customFormat="1" ht="25.5">
      <c r="A23" s="255">
        <v>44607</v>
      </c>
      <c r="B23" s="256">
        <v>21</v>
      </c>
      <c r="C23" s="257"/>
      <c r="D23" s="258" t="s">
        <v>197</v>
      </c>
      <c r="E23" s="259">
        <v>2</v>
      </c>
      <c r="F23" s="258" t="s">
        <v>202</v>
      </c>
      <c r="G23" s="260" t="s">
        <v>203</v>
      </c>
      <c r="H23" s="261" t="s">
        <v>200</v>
      </c>
      <c r="I23" s="262" t="s">
        <v>201</v>
      </c>
      <c r="J23" s="449"/>
      <c r="K23" s="450"/>
      <c r="L23" s="451"/>
    </row>
    <row r="24" spans="1:12" s="263" customFormat="1" ht="25.5">
      <c r="A24" s="255">
        <v>44607</v>
      </c>
      <c r="B24" s="256">
        <v>22</v>
      </c>
      <c r="C24" s="257"/>
      <c r="D24" s="258" t="s">
        <v>197</v>
      </c>
      <c r="E24" s="259">
        <v>2</v>
      </c>
      <c r="F24" s="258" t="s">
        <v>204</v>
      </c>
      <c r="G24" s="260" t="s">
        <v>205</v>
      </c>
      <c r="H24" s="261" t="s">
        <v>200</v>
      </c>
      <c r="I24" s="262" t="s">
        <v>201</v>
      </c>
      <c r="J24" s="449"/>
      <c r="K24" s="450"/>
      <c r="L24" s="451"/>
    </row>
    <row r="25" spans="1:12" s="263" customFormat="1" ht="25.5">
      <c r="A25" s="255">
        <v>44607</v>
      </c>
      <c r="B25" s="256">
        <v>23</v>
      </c>
      <c r="C25" s="257"/>
      <c r="D25" s="258" t="s">
        <v>197</v>
      </c>
      <c r="E25" s="259">
        <v>2</v>
      </c>
      <c r="F25" s="258" t="s">
        <v>206</v>
      </c>
      <c r="G25" s="260" t="s">
        <v>207</v>
      </c>
      <c r="H25" s="261" t="s">
        <v>200</v>
      </c>
      <c r="I25" s="262" t="s">
        <v>201</v>
      </c>
      <c r="J25" s="449"/>
      <c r="K25" s="450"/>
      <c r="L25" s="451"/>
    </row>
    <row r="26" spans="1:12" s="263" customFormat="1" ht="25.5">
      <c r="A26" s="255">
        <v>44607</v>
      </c>
      <c r="B26" s="256">
        <v>24</v>
      </c>
      <c r="C26" s="257"/>
      <c r="D26" s="258" t="s">
        <v>197</v>
      </c>
      <c r="E26" s="259">
        <v>2</v>
      </c>
      <c r="F26" s="258" t="s">
        <v>208</v>
      </c>
      <c r="G26" s="260" t="s">
        <v>209</v>
      </c>
      <c r="H26" s="261" t="s">
        <v>200</v>
      </c>
      <c r="I26" s="262" t="s">
        <v>201</v>
      </c>
      <c r="J26" s="449"/>
      <c r="K26" s="450"/>
      <c r="L26" s="451"/>
    </row>
    <row r="27" spans="1:12" s="263" customFormat="1" ht="25.5">
      <c r="A27" s="255">
        <v>44607</v>
      </c>
      <c r="B27" s="256">
        <v>25</v>
      </c>
      <c r="C27" s="257"/>
      <c r="D27" s="258" t="s">
        <v>197</v>
      </c>
      <c r="E27" s="259">
        <v>2</v>
      </c>
      <c r="F27" s="258" t="s">
        <v>210</v>
      </c>
      <c r="G27" s="260" t="s">
        <v>211</v>
      </c>
      <c r="H27" s="261" t="s">
        <v>200</v>
      </c>
      <c r="I27" s="262" t="s">
        <v>201</v>
      </c>
      <c r="J27" s="449"/>
      <c r="K27" s="450"/>
      <c r="L27" s="451"/>
    </row>
    <row r="28" spans="1:12" s="263" customFormat="1" ht="38.25">
      <c r="A28" s="255">
        <v>44604</v>
      </c>
      <c r="B28" s="256">
        <v>26</v>
      </c>
      <c r="C28" s="257"/>
      <c r="D28" s="258" t="s">
        <v>52</v>
      </c>
      <c r="E28" s="259">
        <v>2</v>
      </c>
      <c r="F28" s="258" t="s">
        <v>212</v>
      </c>
      <c r="G28" s="260" t="s">
        <v>213</v>
      </c>
      <c r="H28" s="261" t="s">
        <v>59</v>
      </c>
      <c r="I28" s="262" t="s">
        <v>214</v>
      </c>
      <c r="J28" s="449"/>
      <c r="K28" s="450"/>
      <c r="L28" s="451"/>
    </row>
    <row r="29" spans="1:12" s="271" customFormat="1">
      <c r="A29" s="264">
        <v>44617</v>
      </c>
      <c r="B29" s="256">
        <v>27</v>
      </c>
      <c r="C29" s="265"/>
      <c r="D29" s="266" t="s">
        <v>197</v>
      </c>
      <c r="E29" s="267">
        <v>2</v>
      </c>
      <c r="F29" s="266" t="s">
        <v>215</v>
      </c>
      <c r="G29" s="268" t="s">
        <v>216</v>
      </c>
      <c r="H29" s="269" t="s">
        <v>200</v>
      </c>
      <c r="I29" s="270" t="s">
        <v>201</v>
      </c>
      <c r="J29" s="452"/>
      <c r="K29" s="453"/>
      <c r="L29" s="454"/>
    </row>
    <row r="30" spans="1:12" s="271" customFormat="1" ht="25.5">
      <c r="A30" s="264">
        <v>44632</v>
      </c>
      <c r="B30" s="256">
        <v>28</v>
      </c>
      <c r="C30" s="265"/>
      <c r="D30" s="266" t="s">
        <v>52</v>
      </c>
      <c r="E30" s="267">
        <v>2</v>
      </c>
      <c r="F30" s="266" t="s">
        <v>217</v>
      </c>
      <c r="G30" s="268" t="s">
        <v>218</v>
      </c>
      <c r="H30" s="269" t="s">
        <v>59</v>
      </c>
      <c r="I30" s="270" t="s">
        <v>56</v>
      </c>
      <c r="J30" s="452"/>
      <c r="K30" s="453"/>
      <c r="L30" s="454"/>
    </row>
    <row r="31" spans="1:12" s="271" customFormat="1">
      <c r="A31" s="264">
        <v>44624</v>
      </c>
      <c r="B31" s="256">
        <v>29</v>
      </c>
      <c r="C31" s="265"/>
      <c r="D31" s="266" t="s">
        <v>96</v>
      </c>
      <c r="E31" s="267">
        <v>1</v>
      </c>
      <c r="F31" s="266" t="s">
        <v>219</v>
      </c>
      <c r="G31" s="268" t="s">
        <v>124</v>
      </c>
      <c r="H31" s="269" t="s">
        <v>121</v>
      </c>
      <c r="I31" s="270" t="s">
        <v>56</v>
      </c>
      <c r="J31" s="452"/>
      <c r="K31" s="453"/>
      <c r="L31" s="454"/>
    </row>
    <row r="32" spans="1:12" s="271" customFormat="1">
      <c r="A32" s="264">
        <v>44601</v>
      </c>
      <c r="B32" s="256">
        <v>30</v>
      </c>
      <c r="C32" s="265"/>
      <c r="D32" s="266" t="s">
        <v>52</v>
      </c>
      <c r="E32" s="267">
        <v>1</v>
      </c>
      <c r="F32" s="266" t="s">
        <v>220</v>
      </c>
      <c r="G32" s="268" t="s">
        <v>221</v>
      </c>
      <c r="H32" s="269"/>
      <c r="I32" s="270" t="s">
        <v>56</v>
      </c>
      <c r="J32" s="452"/>
      <c r="K32" s="453"/>
      <c r="L32" s="454"/>
    </row>
    <row r="33" spans="1:12" s="271" customFormat="1">
      <c r="A33" s="264">
        <v>44617</v>
      </c>
      <c r="B33" s="256">
        <v>31</v>
      </c>
      <c r="C33" s="265"/>
      <c r="D33" s="266" t="s">
        <v>96</v>
      </c>
      <c r="E33" s="267">
        <v>1</v>
      </c>
      <c r="F33" s="266" t="s">
        <v>222</v>
      </c>
      <c r="G33" s="268" t="s">
        <v>223</v>
      </c>
      <c r="H33" s="269" t="s">
        <v>59</v>
      </c>
      <c r="I33" s="270" t="s">
        <v>224</v>
      </c>
      <c r="J33" s="452"/>
      <c r="K33" s="453"/>
      <c r="L33" s="454"/>
    </row>
    <row r="34" spans="1:12" s="271" customFormat="1" ht="25.5">
      <c r="A34" s="264">
        <v>44620</v>
      </c>
      <c r="B34" s="256">
        <v>32</v>
      </c>
      <c r="C34" s="265"/>
      <c r="D34" s="266" t="s">
        <v>197</v>
      </c>
      <c r="E34" s="267">
        <v>2</v>
      </c>
      <c r="F34" s="266" t="s">
        <v>225</v>
      </c>
      <c r="G34" s="268" t="s">
        <v>226</v>
      </c>
      <c r="H34" s="269" t="s">
        <v>133</v>
      </c>
      <c r="I34" s="270" t="s">
        <v>201</v>
      </c>
      <c r="J34" s="452"/>
      <c r="K34" s="453"/>
      <c r="L34" s="454"/>
    </row>
    <row r="35" spans="1:12" s="271" customFormat="1" ht="25.5">
      <c r="A35" s="264">
        <v>44620</v>
      </c>
      <c r="B35" s="256">
        <v>33</v>
      </c>
      <c r="C35" s="265"/>
      <c r="D35" s="266" t="s">
        <v>197</v>
      </c>
      <c r="E35" s="267">
        <v>2</v>
      </c>
      <c r="F35" s="266" t="s">
        <v>227</v>
      </c>
      <c r="G35" s="268" t="s">
        <v>228</v>
      </c>
      <c r="H35" s="269" t="s">
        <v>133</v>
      </c>
      <c r="I35" s="270" t="s">
        <v>201</v>
      </c>
      <c r="J35" s="452"/>
      <c r="K35" s="453"/>
      <c r="L35" s="454"/>
    </row>
    <row r="36" spans="1:12" s="271" customFormat="1" ht="25.5">
      <c r="A36" s="264">
        <v>44620</v>
      </c>
      <c r="B36" s="256">
        <v>34</v>
      </c>
      <c r="C36" s="265"/>
      <c r="D36" s="266" t="s">
        <v>197</v>
      </c>
      <c r="E36" s="267">
        <v>2</v>
      </c>
      <c r="F36" s="266" t="s">
        <v>229</v>
      </c>
      <c r="G36" s="268" t="s">
        <v>230</v>
      </c>
      <c r="H36" s="269" t="s">
        <v>133</v>
      </c>
      <c r="I36" s="270" t="s">
        <v>201</v>
      </c>
      <c r="J36" s="452"/>
      <c r="K36" s="453"/>
      <c r="L36" s="454"/>
    </row>
    <row r="37" spans="1:12" s="271" customFormat="1">
      <c r="A37" s="264">
        <v>44636</v>
      </c>
      <c r="B37" s="256">
        <v>35</v>
      </c>
      <c r="C37" s="265"/>
      <c r="D37" s="266" t="s">
        <v>197</v>
      </c>
      <c r="E37" s="267">
        <v>2</v>
      </c>
      <c r="F37" s="266" t="s">
        <v>231</v>
      </c>
      <c r="G37" s="268" t="s">
        <v>232</v>
      </c>
      <c r="H37" s="269" t="s">
        <v>200</v>
      </c>
      <c r="I37" s="270" t="s">
        <v>201</v>
      </c>
      <c r="J37" s="452"/>
      <c r="K37" s="453"/>
      <c r="L37" s="454"/>
    </row>
    <row r="38" spans="1:12" s="271" customFormat="1">
      <c r="A38" s="264">
        <v>44622</v>
      </c>
      <c r="B38" s="256">
        <v>36</v>
      </c>
      <c r="C38" s="265"/>
      <c r="D38" s="266" t="s">
        <v>197</v>
      </c>
      <c r="E38" s="267">
        <v>2</v>
      </c>
      <c r="F38" s="266" t="s">
        <v>233</v>
      </c>
      <c r="G38" s="268" t="s">
        <v>234</v>
      </c>
      <c r="H38" s="269" t="s">
        <v>235</v>
      </c>
      <c r="I38" s="270" t="s">
        <v>236</v>
      </c>
      <c r="J38" s="452"/>
      <c r="K38" s="453"/>
      <c r="L38" s="454"/>
    </row>
    <row r="39" spans="1:12" s="263" customFormat="1">
      <c r="A39" s="272">
        <v>44643</v>
      </c>
      <c r="B39" s="256">
        <v>37</v>
      </c>
      <c r="C39" s="273" t="s">
        <v>237</v>
      </c>
      <c r="D39" s="274" t="s">
        <v>197</v>
      </c>
      <c r="E39" s="275">
        <v>2</v>
      </c>
      <c r="F39" s="274" t="s">
        <v>231</v>
      </c>
      <c r="G39" s="20" t="s">
        <v>232</v>
      </c>
      <c r="H39" s="126" t="s">
        <v>200</v>
      </c>
      <c r="I39" s="276" t="s">
        <v>201</v>
      </c>
      <c r="J39" s="449"/>
      <c r="K39" s="450"/>
      <c r="L39" s="451"/>
    </row>
    <row r="40" spans="1:12" s="263" customFormat="1" ht="25.5">
      <c r="A40" s="272">
        <v>44607</v>
      </c>
      <c r="B40" s="256">
        <v>38</v>
      </c>
      <c r="C40" s="273"/>
      <c r="D40" s="274" t="s">
        <v>197</v>
      </c>
      <c r="E40" s="275">
        <v>2</v>
      </c>
      <c r="F40" s="274" t="s">
        <v>238</v>
      </c>
      <c r="G40" s="20" t="s">
        <v>239</v>
      </c>
      <c r="H40" s="126" t="s">
        <v>133</v>
      </c>
      <c r="I40" s="276" t="s">
        <v>143</v>
      </c>
      <c r="J40" s="449"/>
      <c r="K40" s="450"/>
      <c r="L40" s="451"/>
    </row>
    <row r="41" spans="1:12" s="263" customFormat="1">
      <c r="A41" s="272">
        <v>44587</v>
      </c>
      <c r="B41" s="256">
        <v>39</v>
      </c>
      <c r="C41" s="273"/>
      <c r="D41" s="274" t="s">
        <v>52</v>
      </c>
      <c r="E41" s="275">
        <v>1</v>
      </c>
      <c r="F41" s="274" t="s">
        <v>93</v>
      </c>
      <c r="G41" s="20" t="s">
        <v>94</v>
      </c>
      <c r="H41" s="126" t="s">
        <v>49</v>
      </c>
      <c r="I41" s="276" t="s">
        <v>56</v>
      </c>
      <c r="J41" s="449"/>
      <c r="K41" s="450"/>
      <c r="L41" s="451"/>
    </row>
    <row r="42" spans="1:12" s="263" customFormat="1">
      <c r="A42" s="272">
        <v>44628</v>
      </c>
      <c r="B42" s="256">
        <v>40</v>
      </c>
      <c r="C42" s="273"/>
      <c r="D42" s="274" t="s">
        <v>96</v>
      </c>
      <c r="E42" s="275">
        <v>1</v>
      </c>
      <c r="F42" s="274" t="s">
        <v>129</v>
      </c>
      <c r="G42" s="20" t="s">
        <v>130</v>
      </c>
      <c r="H42" s="126" t="s">
        <v>49</v>
      </c>
      <c r="I42" s="276" t="s">
        <v>53</v>
      </c>
      <c r="J42" s="449"/>
      <c r="K42" s="450"/>
      <c r="L42" s="451"/>
    </row>
    <row r="43" spans="1:12" s="263" customFormat="1" ht="25.5">
      <c r="A43" s="272">
        <v>44634</v>
      </c>
      <c r="B43" s="256">
        <v>41</v>
      </c>
      <c r="C43" s="273"/>
      <c r="D43" s="274" t="s">
        <v>80</v>
      </c>
      <c r="E43" s="275">
        <v>2</v>
      </c>
      <c r="F43" s="274" t="s">
        <v>86</v>
      </c>
      <c r="G43" s="20" t="s">
        <v>84</v>
      </c>
      <c r="H43" s="126" t="s">
        <v>87</v>
      </c>
      <c r="I43" s="276" t="s">
        <v>53</v>
      </c>
      <c r="J43" s="449"/>
      <c r="K43" s="450"/>
      <c r="L43" s="451"/>
    </row>
    <row r="44" spans="1:12" s="263" customFormat="1" ht="25.5">
      <c r="A44" s="272">
        <v>44634</v>
      </c>
      <c r="B44" s="256">
        <v>42</v>
      </c>
      <c r="C44" s="273"/>
      <c r="D44" s="274" t="s">
        <v>80</v>
      </c>
      <c r="E44" s="275">
        <v>2</v>
      </c>
      <c r="F44" s="274" t="s">
        <v>81</v>
      </c>
      <c r="G44" s="20" t="s">
        <v>82</v>
      </c>
      <c r="H44" s="126" t="s">
        <v>83</v>
      </c>
      <c r="I44" s="276" t="s">
        <v>53</v>
      </c>
      <c r="J44" s="449"/>
      <c r="K44" s="450"/>
      <c r="L44" s="451"/>
    </row>
    <row r="45" spans="1:12" s="263" customFormat="1">
      <c r="A45" s="272">
        <v>44655</v>
      </c>
      <c r="B45" s="256">
        <v>43</v>
      </c>
      <c r="C45" s="273" t="s">
        <v>116</v>
      </c>
      <c r="D45" s="274" t="s">
        <v>105</v>
      </c>
      <c r="E45" s="275">
        <v>1</v>
      </c>
      <c r="F45" s="274" t="s">
        <v>117</v>
      </c>
      <c r="G45" s="20" t="s">
        <v>118</v>
      </c>
      <c r="H45" s="126" t="s">
        <v>114</v>
      </c>
      <c r="I45" s="276" t="s">
        <v>53</v>
      </c>
      <c r="J45" s="449"/>
      <c r="K45" s="450"/>
      <c r="L45" s="451"/>
    </row>
    <row r="46" spans="1:12" s="263" customFormat="1" ht="25.5">
      <c r="A46" s="272">
        <v>44648</v>
      </c>
      <c r="B46" s="256">
        <v>44</v>
      </c>
      <c r="C46" s="273"/>
      <c r="D46" s="274" t="s">
        <v>96</v>
      </c>
      <c r="E46" s="275">
        <v>2</v>
      </c>
      <c r="F46" s="274" t="s">
        <v>217</v>
      </c>
      <c r="G46" s="20" t="s">
        <v>218</v>
      </c>
      <c r="H46" s="126" t="s">
        <v>59</v>
      </c>
      <c r="I46" s="276" t="s">
        <v>56</v>
      </c>
      <c r="J46" s="449"/>
      <c r="K46" s="450"/>
      <c r="L46" s="451"/>
    </row>
    <row r="47" spans="1:12" s="263" customFormat="1" ht="25.5">
      <c r="A47" s="272">
        <v>44651</v>
      </c>
      <c r="B47" s="256">
        <v>45</v>
      </c>
      <c r="C47" s="273"/>
      <c r="D47" s="274" t="s">
        <v>96</v>
      </c>
      <c r="E47" s="275">
        <v>1</v>
      </c>
      <c r="F47" s="274" t="s">
        <v>240</v>
      </c>
      <c r="G47" s="20" t="s">
        <v>79</v>
      </c>
      <c r="H47" s="126" t="s">
        <v>241</v>
      </c>
      <c r="I47" s="276" t="s">
        <v>53</v>
      </c>
      <c r="J47" s="449"/>
      <c r="K47" s="450"/>
      <c r="L47" s="451"/>
    </row>
    <row r="48" spans="1:12" s="263" customFormat="1" ht="38.25">
      <c r="A48" s="272">
        <v>44662</v>
      </c>
      <c r="B48" s="256">
        <v>46</v>
      </c>
      <c r="C48" s="273"/>
      <c r="D48" s="274" t="s">
        <v>96</v>
      </c>
      <c r="E48" s="275">
        <v>1</v>
      </c>
      <c r="F48" s="274" t="s">
        <v>242</v>
      </c>
      <c r="G48" s="20" t="s">
        <v>132</v>
      </c>
      <c r="H48" s="126" t="s">
        <v>243</v>
      </c>
      <c r="I48" s="276" t="s">
        <v>56</v>
      </c>
      <c r="J48" s="449"/>
      <c r="K48" s="450"/>
      <c r="L48" s="451"/>
    </row>
    <row r="49" spans="1:12" s="263" customFormat="1">
      <c r="A49" s="272">
        <v>44651</v>
      </c>
      <c r="B49" s="256">
        <v>47</v>
      </c>
      <c r="C49" s="273"/>
      <c r="D49" s="274"/>
      <c r="E49" s="275">
        <v>1</v>
      </c>
      <c r="F49" s="274" t="s">
        <v>244</v>
      </c>
      <c r="G49" s="20"/>
      <c r="H49" s="126" t="s">
        <v>59</v>
      </c>
      <c r="I49" s="276" t="s">
        <v>245</v>
      </c>
      <c r="J49" s="449"/>
      <c r="K49" s="450"/>
      <c r="L49" s="451"/>
    </row>
    <row r="50" spans="1:12" s="263" customFormat="1">
      <c r="A50" s="272">
        <v>44651</v>
      </c>
      <c r="B50" s="256">
        <v>48</v>
      </c>
      <c r="C50" s="273"/>
      <c r="D50" s="274"/>
      <c r="E50" s="275">
        <v>1</v>
      </c>
      <c r="F50" s="274" t="s">
        <v>246</v>
      </c>
      <c r="G50" s="20" t="s">
        <v>247</v>
      </c>
      <c r="H50" s="126" t="s">
        <v>59</v>
      </c>
      <c r="I50" s="276" t="s">
        <v>248</v>
      </c>
      <c r="J50" s="449"/>
      <c r="K50" s="450"/>
      <c r="L50" s="451"/>
    </row>
    <row r="51" spans="1:12" s="263" customFormat="1">
      <c r="A51" s="272">
        <v>44651</v>
      </c>
      <c r="B51" s="256">
        <v>49</v>
      </c>
      <c r="C51" s="273"/>
      <c r="D51" s="274"/>
      <c r="E51" s="275">
        <v>5</v>
      </c>
      <c r="F51" s="274" t="s">
        <v>249</v>
      </c>
      <c r="G51" s="20"/>
      <c r="H51" s="126" t="s">
        <v>59</v>
      </c>
      <c r="I51" s="276" t="s">
        <v>245</v>
      </c>
      <c r="J51" s="449"/>
      <c r="K51" s="450"/>
      <c r="L51" s="451"/>
    </row>
    <row r="52" spans="1:12" s="263" customFormat="1" ht="38.25">
      <c r="A52" s="272">
        <v>44676</v>
      </c>
      <c r="B52" s="256">
        <v>50</v>
      </c>
      <c r="C52" s="273" t="s">
        <v>155</v>
      </c>
      <c r="D52" s="274" t="s">
        <v>105</v>
      </c>
      <c r="E52" s="275">
        <v>1</v>
      </c>
      <c r="F52" s="274" t="s">
        <v>108</v>
      </c>
      <c r="G52" s="20" t="s">
        <v>109</v>
      </c>
      <c r="H52" s="126" t="s">
        <v>107</v>
      </c>
      <c r="I52" s="276" t="s">
        <v>156</v>
      </c>
      <c r="J52" s="449"/>
      <c r="K52" s="450"/>
      <c r="L52" s="451"/>
    </row>
    <row r="53" spans="1:12" s="263" customFormat="1">
      <c r="A53" s="272">
        <v>44664</v>
      </c>
      <c r="B53" s="256">
        <v>51</v>
      </c>
      <c r="C53" s="273"/>
      <c r="D53" s="274" t="s">
        <v>140</v>
      </c>
      <c r="E53" s="275">
        <v>4</v>
      </c>
      <c r="F53" s="274" t="s">
        <v>141</v>
      </c>
      <c r="G53" s="20" t="s">
        <v>142</v>
      </c>
      <c r="H53" s="126" t="s">
        <v>133</v>
      </c>
      <c r="I53" s="276" t="s">
        <v>143</v>
      </c>
      <c r="J53" s="449"/>
      <c r="K53" s="450"/>
      <c r="L53" s="451"/>
    </row>
    <row r="54" spans="1:12" s="263" customFormat="1">
      <c r="A54" s="272">
        <v>44664</v>
      </c>
      <c r="B54" s="256">
        <v>52</v>
      </c>
      <c r="C54" s="273"/>
      <c r="D54" s="274" t="s">
        <v>140</v>
      </c>
      <c r="E54" s="275">
        <v>4</v>
      </c>
      <c r="F54" s="274" t="s">
        <v>144</v>
      </c>
      <c r="G54" s="20" t="s">
        <v>145</v>
      </c>
      <c r="H54" s="126" t="s">
        <v>133</v>
      </c>
      <c r="I54" s="276" t="s">
        <v>143</v>
      </c>
      <c r="J54" s="449"/>
      <c r="K54" s="450"/>
      <c r="L54" s="451"/>
    </row>
    <row r="55" spans="1:12" s="263" customFormat="1">
      <c r="A55" s="272">
        <v>44664</v>
      </c>
      <c r="B55" s="256">
        <v>53</v>
      </c>
      <c r="C55" s="273"/>
      <c r="D55" s="274" t="s">
        <v>140</v>
      </c>
      <c r="E55" s="275">
        <v>2</v>
      </c>
      <c r="F55" s="274" t="s">
        <v>146</v>
      </c>
      <c r="G55" s="20" t="s">
        <v>147</v>
      </c>
      <c r="H55" s="126" t="s">
        <v>133</v>
      </c>
      <c r="I55" s="276" t="s">
        <v>148</v>
      </c>
      <c r="J55" s="449"/>
      <c r="K55" s="450"/>
      <c r="L55" s="451"/>
    </row>
    <row r="56" spans="1:12" s="263" customFormat="1">
      <c r="A56" s="272">
        <v>44672</v>
      </c>
      <c r="B56" s="256">
        <v>54</v>
      </c>
      <c r="C56" s="273"/>
      <c r="D56" s="274" t="s">
        <v>52</v>
      </c>
      <c r="E56" s="275">
        <v>1</v>
      </c>
      <c r="F56" s="274" t="s">
        <v>149</v>
      </c>
      <c r="G56" s="20" t="s">
        <v>150</v>
      </c>
      <c r="H56" s="126" t="s">
        <v>97</v>
      </c>
      <c r="I56" s="276" t="s">
        <v>53</v>
      </c>
      <c r="J56" s="449"/>
      <c r="K56" s="450"/>
      <c r="L56" s="451"/>
    </row>
    <row r="57" spans="1:12" s="263" customFormat="1">
      <c r="A57" s="272">
        <v>44672</v>
      </c>
      <c r="B57" s="256">
        <v>55</v>
      </c>
      <c r="C57" s="273"/>
      <c r="D57" s="274" t="s">
        <v>52</v>
      </c>
      <c r="E57" s="275">
        <v>1</v>
      </c>
      <c r="F57" s="274" t="s">
        <v>151</v>
      </c>
      <c r="G57" s="20" t="s">
        <v>152</v>
      </c>
      <c r="H57" s="126" t="s">
        <v>59</v>
      </c>
      <c r="I57" s="276" t="s">
        <v>53</v>
      </c>
      <c r="J57" s="449"/>
      <c r="K57" s="450"/>
      <c r="L57" s="451"/>
    </row>
    <row r="58" spans="1:12" s="263" customFormat="1">
      <c r="A58" s="272">
        <v>44672</v>
      </c>
      <c r="B58" s="256">
        <v>56</v>
      </c>
      <c r="C58" s="273"/>
      <c r="D58" s="274" t="s">
        <v>52</v>
      </c>
      <c r="E58" s="275">
        <v>1</v>
      </c>
      <c r="F58" s="274" t="s">
        <v>153</v>
      </c>
      <c r="G58" s="20" t="s">
        <v>154</v>
      </c>
      <c r="H58" s="126" t="s">
        <v>59</v>
      </c>
      <c r="I58" s="276" t="s">
        <v>53</v>
      </c>
      <c r="J58" s="449"/>
      <c r="K58" s="450"/>
      <c r="L58" s="451"/>
    </row>
    <row r="59" spans="1:12" s="263" customFormat="1">
      <c r="A59" s="272">
        <v>44680</v>
      </c>
      <c r="B59" s="256">
        <v>57</v>
      </c>
      <c r="C59" s="273"/>
      <c r="D59" s="274" t="s">
        <v>52</v>
      </c>
      <c r="E59" s="275">
        <v>1</v>
      </c>
      <c r="F59" s="274" t="s">
        <v>263</v>
      </c>
      <c r="G59" s="20" t="s">
        <v>264</v>
      </c>
      <c r="H59" s="126" t="s">
        <v>121</v>
      </c>
      <c r="I59" s="276" t="s">
        <v>56</v>
      </c>
      <c r="J59" s="449"/>
      <c r="K59" s="450"/>
      <c r="L59" s="451"/>
    </row>
    <row r="60" spans="1:12" s="263" customFormat="1" ht="25.5">
      <c r="A60" s="272">
        <v>44680</v>
      </c>
      <c r="B60" s="256">
        <v>58</v>
      </c>
      <c r="C60" s="273"/>
      <c r="D60" s="274" t="s">
        <v>52</v>
      </c>
      <c r="E60" s="275">
        <v>1</v>
      </c>
      <c r="F60" s="274" t="s">
        <v>265</v>
      </c>
      <c r="G60" s="20" t="s">
        <v>120</v>
      </c>
      <c r="H60" s="126" t="s">
        <v>59</v>
      </c>
      <c r="I60" s="276" t="s">
        <v>266</v>
      </c>
      <c r="J60" s="449"/>
      <c r="K60" s="450"/>
      <c r="L60" s="451"/>
    </row>
    <row r="61" spans="1:12" s="263" customFormat="1" ht="25.5">
      <c r="A61" s="272">
        <v>44684</v>
      </c>
      <c r="B61" s="256">
        <v>59</v>
      </c>
      <c r="C61" s="273"/>
      <c r="D61" s="274" t="s">
        <v>52</v>
      </c>
      <c r="E61" s="275">
        <v>2</v>
      </c>
      <c r="F61" s="274" t="s">
        <v>212</v>
      </c>
      <c r="G61" s="20" t="s">
        <v>213</v>
      </c>
      <c r="H61" s="126" t="s">
        <v>59</v>
      </c>
      <c r="I61" s="276" t="s">
        <v>276</v>
      </c>
      <c r="J61" s="449"/>
      <c r="K61" s="450"/>
      <c r="L61" s="451"/>
    </row>
    <row r="62" spans="1:12" s="263" customFormat="1">
      <c r="A62" s="272">
        <v>44690</v>
      </c>
      <c r="B62" s="256">
        <v>60</v>
      </c>
      <c r="C62" s="273"/>
      <c r="D62" s="274" t="s">
        <v>52</v>
      </c>
      <c r="E62" s="275">
        <v>2</v>
      </c>
      <c r="F62" s="274" t="s">
        <v>272</v>
      </c>
      <c r="G62" s="20" t="s">
        <v>273</v>
      </c>
      <c r="H62" s="126" t="s">
        <v>59</v>
      </c>
      <c r="I62" s="276" t="s">
        <v>56</v>
      </c>
      <c r="J62" s="449"/>
      <c r="K62" s="450"/>
      <c r="L62" s="451"/>
    </row>
    <row r="63" spans="1:12" s="263" customFormat="1">
      <c r="A63" s="272">
        <v>44690</v>
      </c>
      <c r="B63" s="256">
        <v>61</v>
      </c>
      <c r="C63" s="273"/>
      <c r="D63" s="274" t="s">
        <v>52</v>
      </c>
      <c r="E63" s="275">
        <v>2</v>
      </c>
      <c r="F63" s="274" t="s">
        <v>274</v>
      </c>
      <c r="G63" s="20" t="s">
        <v>275</v>
      </c>
      <c r="H63" s="126" t="s">
        <v>121</v>
      </c>
      <c r="I63" s="276" t="s">
        <v>56</v>
      </c>
      <c r="J63" s="449"/>
      <c r="K63" s="450"/>
      <c r="L63" s="451"/>
    </row>
    <row r="64" spans="1:12" s="263" customFormat="1">
      <c r="A64" s="272">
        <v>44699</v>
      </c>
      <c r="B64" s="256">
        <v>62</v>
      </c>
      <c r="C64" s="273"/>
      <c r="D64" s="274" t="s">
        <v>280</v>
      </c>
      <c r="E64" s="275">
        <v>2</v>
      </c>
      <c r="F64" s="274" t="s">
        <v>277</v>
      </c>
      <c r="G64" s="20" t="s">
        <v>278</v>
      </c>
      <c r="H64" s="126" t="s">
        <v>279</v>
      </c>
      <c r="I64" s="276" t="s">
        <v>143</v>
      </c>
      <c r="J64" s="449"/>
      <c r="K64" s="450"/>
      <c r="L64" s="451"/>
    </row>
    <row r="65" spans="1:12" s="263" customFormat="1" ht="38.25">
      <c r="A65" s="272">
        <v>44700</v>
      </c>
      <c r="B65" s="256">
        <v>63</v>
      </c>
      <c r="C65" s="273"/>
      <c r="D65" s="274" t="s">
        <v>52</v>
      </c>
      <c r="E65" s="275">
        <v>2</v>
      </c>
      <c r="F65" s="274" t="s">
        <v>287</v>
      </c>
      <c r="G65" s="20" t="s">
        <v>288</v>
      </c>
      <c r="H65" s="126" t="s">
        <v>59</v>
      </c>
      <c r="I65" s="276" t="s">
        <v>276</v>
      </c>
      <c r="J65" s="449"/>
      <c r="K65" s="450"/>
      <c r="L65" s="451"/>
    </row>
    <row r="66" spans="1:12" s="263" customFormat="1">
      <c r="A66" s="272">
        <v>44690</v>
      </c>
      <c r="B66" s="256">
        <v>64</v>
      </c>
      <c r="C66" s="273"/>
      <c r="D66" s="274" t="s">
        <v>52</v>
      </c>
      <c r="E66" s="275">
        <v>2</v>
      </c>
      <c r="F66" s="274" t="s">
        <v>270</v>
      </c>
      <c r="G66" s="20" t="s">
        <v>271</v>
      </c>
      <c r="H66" s="126" t="s">
        <v>59</v>
      </c>
      <c r="I66" s="276" t="s">
        <v>56</v>
      </c>
      <c r="J66" s="449"/>
      <c r="K66" s="450"/>
      <c r="L66" s="451"/>
    </row>
    <row r="67" spans="1:12" s="263" customFormat="1" ht="25.5">
      <c r="A67" s="272">
        <v>44700</v>
      </c>
      <c r="B67" s="256">
        <v>65</v>
      </c>
      <c r="C67" s="273"/>
      <c r="D67" s="274" t="s">
        <v>52</v>
      </c>
      <c r="E67" s="275">
        <v>2</v>
      </c>
      <c r="F67" s="274" t="s">
        <v>281</v>
      </c>
      <c r="G67" s="20" t="s">
        <v>282</v>
      </c>
      <c r="H67" s="126" t="s">
        <v>59</v>
      </c>
      <c r="I67" s="276" t="s">
        <v>53</v>
      </c>
      <c r="J67" s="449"/>
      <c r="K67" s="450"/>
      <c r="L67" s="451"/>
    </row>
    <row r="68" spans="1:12" s="263" customFormat="1" ht="25.5">
      <c r="A68" s="272">
        <v>44700</v>
      </c>
      <c r="B68" s="256">
        <v>66</v>
      </c>
      <c r="C68" s="273"/>
      <c r="D68" s="274" t="s">
        <v>52</v>
      </c>
      <c r="E68" s="275">
        <v>2</v>
      </c>
      <c r="F68" s="274" t="s">
        <v>283</v>
      </c>
      <c r="G68" s="20" t="s">
        <v>284</v>
      </c>
      <c r="H68" s="126" t="s">
        <v>59</v>
      </c>
      <c r="I68" s="276" t="s">
        <v>53</v>
      </c>
      <c r="J68" s="449"/>
      <c r="K68" s="450"/>
      <c r="L68" s="451"/>
    </row>
    <row r="69" spans="1:12" s="263" customFormat="1" ht="25.5">
      <c r="A69" s="272">
        <v>44700</v>
      </c>
      <c r="B69" s="256">
        <v>67</v>
      </c>
      <c r="C69" s="273"/>
      <c r="D69" s="274" t="s">
        <v>52</v>
      </c>
      <c r="E69" s="275">
        <v>2</v>
      </c>
      <c r="F69" s="274" t="s">
        <v>285</v>
      </c>
      <c r="G69" s="20" t="s">
        <v>286</v>
      </c>
      <c r="H69" s="126" t="s">
        <v>59</v>
      </c>
      <c r="I69" s="276" t="s">
        <v>53</v>
      </c>
      <c r="J69" s="449"/>
      <c r="K69" s="450"/>
      <c r="L69" s="451"/>
    </row>
    <row r="70" spans="1:12" s="263" customFormat="1">
      <c r="A70" s="272">
        <v>44706</v>
      </c>
      <c r="B70" s="256">
        <v>68</v>
      </c>
      <c r="C70" s="273"/>
      <c r="D70" s="274" t="s">
        <v>52</v>
      </c>
      <c r="E70" s="275">
        <v>2</v>
      </c>
      <c r="F70" s="274" t="s">
        <v>289</v>
      </c>
      <c r="G70" s="20" t="s">
        <v>290</v>
      </c>
      <c r="H70" s="126" t="s">
        <v>121</v>
      </c>
      <c r="I70" s="276" t="s">
        <v>56</v>
      </c>
      <c r="J70" s="449"/>
      <c r="K70" s="450"/>
      <c r="L70" s="451"/>
    </row>
    <row r="71" spans="1:12" s="263" customFormat="1">
      <c r="A71" s="272">
        <v>44722</v>
      </c>
      <c r="B71" s="256">
        <v>69</v>
      </c>
      <c r="C71" s="273"/>
      <c r="D71" s="274" t="s">
        <v>140</v>
      </c>
      <c r="E71" s="275">
        <v>2</v>
      </c>
      <c r="F71" s="274" t="s">
        <v>146</v>
      </c>
      <c r="G71" s="20" t="s">
        <v>147</v>
      </c>
      <c r="H71" s="126" t="s">
        <v>133</v>
      </c>
      <c r="I71" s="276" t="s">
        <v>148</v>
      </c>
      <c r="J71" s="449"/>
      <c r="K71" s="450"/>
      <c r="L71" s="451"/>
    </row>
    <row r="72" spans="1:12" s="263" customFormat="1">
      <c r="A72" s="272">
        <v>44722</v>
      </c>
      <c r="B72" s="256">
        <v>70</v>
      </c>
      <c r="C72" s="273"/>
      <c r="D72" s="274" t="s">
        <v>280</v>
      </c>
      <c r="E72" s="275">
        <v>4</v>
      </c>
      <c r="F72" s="274" t="s">
        <v>296</v>
      </c>
      <c r="G72" s="20" t="s">
        <v>260</v>
      </c>
      <c r="H72" s="126" t="s">
        <v>279</v>
      </c>
      <c r="I72" s="276" t="s">
        <v>143</v>
      </c>
      <c r="J72" s="449"/>
      <c r="K72" s="450"/>
      <c r="L72" s="451"/>
    </row>
    <row r="73" spans="1:12" s="263" customFormat="1">
      <c r="A73" s="272">
        <v>44727</v>
      </c>
      <c r="B73" s="256">
        <v>71</v>
      </c>
      <c r="C73" s="273"/>
      <c r="D73" s="274" t="s">
        <v>302</v>
      </c>
      <c r="E73" s="275">
        <v>2</v>
      </c>
      <c r="F73" s="274" t="s">
        <v>299</v>
      </c>
      <c r="G73" s="20" t="s">
        <v>300</v>
      </c>
      <c r="H73" s="126" t="s">
        <v>301</v>
      </c>
      <c r="I73" s="276" t="s">
        <v>148</v>
      </c>
      <c r="J73" s="449"/>
      <c r="K73" s="450"/>
      <c r="L73" s="451"/>
    </row>
    <row r="74" spans="1:12" s="263" customFormat="1" ht="25.5">
      <c r="A74" s="272">
        <v>44733</v>
      </c>
      <c r="B74" s="256">
        <v>72</v>
      </c>
      <c r="C74" s="273"/>
      <c r="D74" s="274" t="s">
        <v>52</v>
      </c>
      <c r="E74" s="275">
        <v>2</v>
      </c>
      <c r="F74" s="274" t="s">
        <v>305</v>
      </c>
      <c r="G74" s="20" t="s">
        <v>306</v>
      </c>
      <c r="H74" s="126" t="s">
        <v>59</v>
      </c>
      <c r="I74" s="276" t="s">
        <v>307</v>
      </c>
      <c r="J74" s="449"/>
      <c r="K74" s="450"/>
      <c r="L74" s="451"/>
    </row>
    <row r="75" spans="1:12" s="263" customFormat="1">
      <c r="A75" s="272">
        <v>44739</v>
      </c>
      <c r="B75" s="256">
        <v>73</v>
      </c>
      <c r="C75" s="273"/>
      <c r="D75" s="274" t="s">
        <v>52</v>
      </c>
      <c r="E75" s="275">
        <v>2</v>
      </c>
      <c r="F75" s="274" t="s">
        <v>314</v>
      </c>
      <c r="G75" s="20" t="s">
        <v>275</v>
      </c>
      <c r="H75" s="126" t="s">
        <v>121</v>
      </c>
      <c r="I75" s="276" t="s">
        <v>56</v>
      </c>
      <c r="J75" s="449"/>
      <c r="K75" s="450"/>
      <c r="L75" s="451"/>
    </row>
    <row r="76" spans="1:12" s="263" customFormat="1">
      <c r="A76" s="272">
        <v>44744</v>
      </c>
      <c r="B76" s="256">
        <v>74</v>
      </c>
      <c r="C76" s="273"/>
      <c r="D76" s="274" t="s">
        <v>96</v>
      </c>
      <c r="E76" s="275">
        <v>2</v>
      </c>
      <c r="F76" s="274" t="s">
        <v>322</v>
      </c>
      <c r="G76" s="20" t="s">
        <v>323</v>
      </c>
      <c r="H76" s="126" t="s">
        <v>59</v>
      </c>
      <c r="I76" s="276" t="s">
        <v>56</v>
      </c>
      <c r="J76" s="449"/>
      <c r="K76" s="450"/>
      <c r="L76" s="451"/>
    </row>
    <row r="77" spans="1:12" s="263" customFormat="1">
      <c r="A77" s="272">
        <v>44730</v>
      </c>
      <c r="B77" s="256">
        <v>75</v>
      </c>
      <c r="C77" s="273"/>
      <c r="D77" s="274" t="s">
        <v>52</v>
      </c>
      <c r="E77" s="275">
        <v>2</v>
      </c>
      <c r="F77" s="274" t="s">
        <v>303</v>
      </c>
      <c r="G77" s="20" t="s">
        <v>304</v>
      </c>
      <c r="H77" s="126" t="s">
        <v>59</v>
      </c>
      <c r="I77" s="276" t="s">
        <v>56</v>
      </c>
      <c r="J77" s="449"/>
      <c r="K77" s="450"/>
      <c r="L77" s="451"/>
    </row>
    <row r="78" spans="1:12" s="263" customFormat="1">
      <c r="A78" s="272">
        <v>44721</v>
      </c>
      <c r="B78" s="256">
        <v>76</v>
      </c>
      <c r="C78" s="273"/>
      <c r="D78" s="274" t="s">
        <v>52</v>
      </c>
      <c r="E78" s="275">
        <v>2</v>
      </c>
      <c r="F78" s="274" t="s">
        <v>293</v>
      </c>
      <c r="G78" s="20" t="s">
        <v>294</v>
      </c>
      <c r="H78" s="126" t="s">
        <v>295</v>
      </c>
      <c r="I78" s="276" t="s">
        <v>53</v>
      </c>
      <c r="J78" s="449"/>
      <c r="K78" s="450"/>
      <c r="L78" s="451"/>
    </row>
    <row r="79" spans="1:12" s="263" customFormat="1">
      <c r="A79" s="272">
        <v>44743</v>
      </c>
      <c r="B79" s="256">
        <v>77</v>
      </c>
      <c r="C79" s="273"/>
      <c r="D79" s="274" t="s">
        <v>318</v>
      </c>
      <c r="E79" s="275">
        <v>2</v>
      </c>
      <c r="F79" s="274" t="s">
        <v>277</v>
      </c>
      <c r="G79" s="20" t="s">
        <v>278</v>
      </c>
      <c r="H79" s="126" t="s">
        <v>279</v>
      </c>
      <c r="I79" s="276" t="s">
        <v>143</v>
      </c>
      <c r="J79" s="449"/>
      <c r="K79" s="450"/>
      <c r="L79" s="451"/>
    </row>
    <row r="80" spans="1:12" s="263" customFormat="1">
      <c r="A80" s="272">
        <v>44762</v>
      </c>
      <c r="B80" s="256">
        <v>78</v>
      </c>
      <c r="C80" s="273" t="s">
        <v>329</v>
      </c>
      <c r="D80" s="274" t="s">
        <v>328</v>
      </c>
      <c r="E80" s="275">
        <v>1</v>
      </c>
      <c r="F80" s="274" t="s">
        <v>330</v>
      </c>
      <c r="G80" s="20" t="s">
        <v>331</v>
      </c>
      <c r="H80" s="126" t="s">
        <v>97</v>
      </c>
      <c r="I80" s="276" t="s">
        <v>69</v>
      </c>
      <c r="J80" s="449"/>
      <c r="K80" s="450"/>
      <c r="L80" s="451"/>
    </row>
    <row r="81" spans="1:12" s="263" customFormat="1">
      <c r="A81" s="272">
        <v>44733</v>
      </c>
      <c r="B81" s="256">
        <v>79</v>
      </c>
      <c r="C81" s="273"/>
      <c r="D81" s="274" t="s">
        <v>52</v>
      </c>
      <c r="E81" s="275">
        <v>2</v>
      </c>
      <c r="F81" s="274" t="s">
        <v>308</v>
      </c>
      <c r="G81" s="20" t="s">
        <v>309</v>
      </c>
      <c r="H81" s="126" t="s">
        <v>59</v>
      </c>
      <c r="I81" s="276" t="s">
        <v>56</v>
      </c>
      <c r="J81" s="449"/>
      <c r="K81" s="450"/>
      <c r="L81" s="451"/>
    </row>
    <row r="82" spans="1:12" s="263" customFormat="1">
      <c r="A82" s="272">
        <v>44739</v>
      </c>
      <c r="B82" s="256">
        <v>80</v>
      </c>
      <c r="C82" s="273"/>
      <c r="D82" s="274" t="s">
        <v>52</v>
      </c>
      <c r="E82" s="275">
        <v>2</v>
      </c>
      <c r="F82" s="274" t="s">
        <v>312</v>
      </c>
      <c r="G82" s="20" t="s">
        <v>313</v>
      </c>
      <c r="H82" s="126" t="s">
        <v>59</v>
      </c>
      <c r="I82" s="276" t="s">
        <v>53</v>
      </c>
      <c r="J82" s="449"/>
      <c r="K82" s="450"/>
      <c r="L82" s="451"/>
    </row>
    <row r="83" spans="1:12" s="263" customFormat="1">
      <c r="A83" s="272">
        <v>44744</v>
      </c>
      <c r="B83" s="256">
        <v>81</v>
      </c>
      <c r="C83" s="273"/>
      <c r="D83" s="274" t="s">
        <v>96</v>
      </c>
      <c r="E83" s="275">
        <v>2</v>
      </c>
      <c r="F83" s="274" t="s">
        <v>319</v>
      </c>
      <c r="G83" s="20" t="s">
        <v>320</v>
      </c>
      <c r="H83" s="126" t="s">
        <v>321</v>
      </c>
      <c r="I83" s="276" t="s">
        <v>75</v>
      </c>
      <c r="J83" s="449"/>
      <c r="K83" s="450"/>
      <c r="L83" s="451"/>
    </row>
    <row r="84" spans="1:12" s="263" customFormat="1">
      <c r="A84" s="272">
        <v>44751</v>
      </c>
      <c r="B84" s="256">
        <v>82</v>
      </c>
      <c r="C84" s="273"/>
      <c r="D84" s="274" t="s">
        <v>96</v>
      </c>
      <c r="E84" s="275">
        <v>1</v>
      </c>
      <c r="F84" s="274" t="s">
        <v>324</v>
      </c>
      <c r="G84" s="20" t="s">
        <v>95</v>
      </c>
      <c r="H84" s="126" t="s">
        <v>315</v>
      </c>
      <c r="I84" s="276" t="s">
        <v>56</v>
      </c>
      <c r="J84" s="449"/>
      <c r="K84" s="450"/>
      <c r="L84" s="451"/>
    </row>
    <row r="85" spans="1:12" s="263" customFormat="1">
      <c r="A85" s="272">
        <v>44751</v>
      </c>
      <c r="B85" s="256">
        <v>83</v>
      </c>
      <c r="C85" s="273"/>
      <c r="D85" s="274" t="s">
        <v>96</v>
      </c>
      <c r="E85" s="275">
        <v>1</v>
      </c>
      <c r="F85" s="274" t="s">
        <v>325</v>
      </c>
      <c r="G85" s="20" t="s">
        <v>95</v>
      </c>
      <c r="H85" s="126" t="s">
        <v>316</v>
      </c>
      <c r="I85" s="276" t="s">
        <v>56</v>
      </c>
      <c r="J85" s="449"/>
      <c r="K85" s="450"/>
      <c r="L85" s="451"/>
    </row>
    <row r="86" spans="1:12" s="263" customFormat="1">
      <c r="A86" s="272">
        <v>44751</v>
      </c>
      <c r="B86" s="256">
        <v>84</v>
      </c>
      <c r="C86" s="273"/>
      <c r="D86" s="274" t="s">
        <v>96</v>
      </c>
      <c r="E86" s="275">
        <v>1</v>
      </c>
      <c r="F86" s="274" t="s">
        <v>326</v>
      </c>
      <c r="G86" s="20" t="s">
        <v>317</v>
      </c>
      <c r="H86" s="126" t="s">
        <v>131</v>
      </c>
      <c r="I86" s="276" t="s">
        <v>56</v>
      </c>
      <c r="J86" s="449"/>
      <c r="K86" s="450"/>
      <c r="L86" s="451"/>
    </row>
    <row r="87" spans="1:12" s="263" customFormat="1">
      <c r="A87" s="272">
        <v>44751</v>
      </c>
      <c r="B87" s="256">
        <v>85</v>
      </c>
      <c r="C87" s="273"/>
      <c r="D87" s="274" t="s">
        <v>96</v>
      </c>
      <c r="E87" s="275">
        <v>1</v>
      </c>
      <c r="F87" s="274" t="s">
        <v>327</v>
      </c>
      <c r="G87" s="20" t="s">
        <v>317</v>
      </c>
      <c r="H87" s="126" t="s">
        <v>316</v>
      </c>
      <c r="I87" s="276" t="s">
        <v>56</v>
      </c>
      <c r="J87" s="449"/>
      <c r="K87" s="450"/>
      <c r="L87" s="451"/>
    </row>
    <row r="88" spans="1:12" s="263" customFormat="1" ht="25.5">
      <c r="A88" s="272">
        <v>44775</v>
      </c>
      <c r="B88" s="256">
        <v>86</v>
      </c>
      <c r="C88" s="273" t="s">
        <v>339</v>
      </c>
      <c r="D88" s="274" t="s">
        <v>338</v>
      </c>
      <c r="E88" s="275">
        <v>1</v>
      </c>
      <c r="F88" s="274" t="s">
        <v>336</v>
      </c>
      <c r="G88" s="20" t="s">
        <v>125</v>
      </c>
      <c r="H88" s="126" t="s">
        <v>122</v>
      </c>
      <c r="I88" s="276" t="s">
        <v>53</v>
      </c>
      <c r="J88" s="449"/>
      <c r="K88" s="450"/>
      <c r="L88" s="451"/>
    </row>
    <row r="89" spans="1:12" s="263" customFormat="1" ht="25.5">
      <c r="A89" s="272">
        <v>44775</v>
      </c>
      <c r="B89" s="256">
        <v>87</v>
      </c>
      <c r="C89" s="273" t="s">
        <v>339</v>
      </c>
      <c r="D89" s="274" t="s">
        <v>338</v>
      </c>
      <c r="E89" s="275">
        <v>1</v>
      </c>
      <c r="F89" s="274" t="s">
        <v>337</v>
      </c>
      <c r="G89" s="20" t="s">
        <v>126</v>
      </c>
      <c r="H89" s="126" t="s">
        <v>122</v>
      </c>
      <c r="I89" s="276" t="s">
        <v>53</v>
      </c>
      <c r="J89" s="449"/>
      <c r="K89" s="450"/>
      <c r="L89" s="451"/>
    </row>
    <row r="90" spans="1:12" s="263" customFormat="1" ht="25.5">
      <c r="A90" s="272">
        <v>44775</v>
      </c>
      <c r="B90" s="256">
        <v>88</v>
      </c>
      <c r="C90" s="273" t="s">
        <v>339</v>
      </c>
      <c r="D90" s="274" t="s">
        <v>338</v>
      </c>
      <c r="E90" s="275">
        <v>1</v>
      </c>
      <c r="F90" s="274" t="s">
        <v>127</v>
      </c>
      <c r="G90" s="20" t="s">
        <v>110</v>
      </c>
      <c r="H90" s="126" t="s">
        <v>122</v>
      </c>
      <c r="I90" s="276" t="s">
        <v>53</v>
      </c>
      <c r="J90" s="449"/>
      <c r="K90" s="450"/>
      <c r="L90" s="451"/>
    </row>
    <row r="91" spans="1:12" s="263" customFormat="1" ht="25.5">
      <c r="A91" s="272">
        <v>44775</v>
      </c>
      <c r="B91" s="256">
        <v>89</v>
      </c>
      <c r="C91" s="273" t="s">
        <v>339</v>
      </c>
      <c r="D91" s="274" t="s">
        <v>338</v>
      </c>
      <c r="E91" s="275">
        <v>1</v>
      </c>
      <c r="F91" s="274" t="s">
        <v>128</v>
      </c>
      <c r="G91" s="20" t="s">
        <v>111</v>
      </c>
      <c r="H91" s="126" t="s">
        <v>122</v>
      </c>
      <c r="I91" s="276" t="s">
        <v>53</v>
      </c>
      <c r="J91" s="449"/>
      <c r="K91" s="450"/>
      <c r="L91" s="451"/>
    </row>
    <row r="92" spans="1:12" s="263" customFormat="1" ht="25.5">
      <c r="A92" s="272">
        <v>44775</v>
      </c>
      <c r="B92" s="256">
        <v>90</v>
      </c>
      <c r="C92" s="273" t="s">
        <v>339</v>
      </c>
      <c r="D92" s="274" t="s">
        <v>338</v>
      </c>
      <c r="E92" s="275">
        <v>1</v>
      </c>
      <c r="F92" s="274" t="s">
        <v>113</v>
      </c>
      <c r="G92" s="20" t="s">
        <v>115</v>
      </c>
      <c r="H92" s="126" t="s">
        <v>122</v>
      </c>
      <c r="I92" s="276" t="s">
        <v>53</v>
      </c>
      <c r="J92" s="449"/>
      <c r="K92" s="450"/>
      <c r="L92" s="451"/>
    </row>
    <row r="93" spans="1:12" s="263" customFormat="1">
      <c r="A93" s="272">
        <v>44783</v>
      </c>
      <c r="B93" s="256">
        <v>91</v>
      </c>
      <c r="C93" s="273"/>
      <c r="D93" s="274" t="s">
        <v>52</v>
      </c>
      <c r="E93" s="275">
        <v>1</v>
      </c>
      <c r="F93" s="274" t="s">
        <v>61</v>
      </c>
      <c r="G93" s="20" t="s">
        <v>62</v>
      </c>
      <c r="H93" s="126" t="s">
        <v>49</v>
      </c>
      <c r="I93" s="276" t="s">
        <v>63</v>
      </c>
      <c r="J93" s="449"/>
      <c r="K93" s="450"/>
      <c r="L93" s="451"/>
    </row>
    <row r="94" spans="1:12" s="263" customFormat="1">
      <c r="A94" s="272">
        <v>44783</v>
      </c>
      <c r="B94" s="256">
        <v>92</v>
      </c>
      <c r="C94" s="273"/>
      <c r="D94" s="274" t="s">
        <v>52</v>
      </c>
      <c r="E94" s="275">
        <v>1</v>
      </c>
      <c r="F94" s="274" t="s">
        <v>314</v>
      </c>
      <c r="G94" s="20" t="s">
        <v>275</v>
      </c>
      <c r="H94" s="126" t="s">
        <v>121</v>
      </c>
      <c r="I94" s="276" t="s">
        <v>56</v>
      </c>
      <c r="J94" s="449"/>
      <c r="K94" s="450"/>
      <c r="L94" s="451"/>
    </row>
    <row r="95" spans="1:12" s="263" customFormat="1" ht="25.5">
      <c r="A95" s="272">
        <v>44733</v>
      </c>
      <c r="B95" s="256">
        <v>93</v>
      </c>
      <c r="C95" s="273"/>
      <c r="D95" s="274" t="s">
        <v>52</v>
      </c>
      <c r="E95" s="275">
        <v>2</v>
      </c>
      <c r="F95" s="274" t="s">
        <v>268</v>
      </c>
      <c r="G95" s="20" t="s">
        <v>98</v>
      </c>
      <c r="H95" s="126" t="s">
        <v>269</v>
      </c>
      <c r="I95" s="276" t="s">
        <v>71</v>
      </c>
      <c r="J95" s="449"/>
      <c r="K95" s="450"/>
      <c r="L95" s="451"/>
    </row>
    <row r="96" spans="1:12" s="263" customFormat="1">
      <c r="A96" s="272">
        <v>44781</v>
      </c>
      <c r="B96" s="256">
        <v>94</v>
      </c>
      <c r="C96" s="273"/>
      <c r="D96" s="274" t="s">
        <v>52</v>
      </c>
      <c r="E96" s="275">
        <v>1</v>
      </c>
      <c r="F96" s="274" t="s">
        <v>335</v>
      </c>
      <c r="G96" s="20" t="s">
        <v>58</v>
      </c>
      <c r="H96" s="126" t="s">
        <v>59</v>
      </c>
      <c r="I96" s="276" t="s">
        <v>56</v>
      </c>
      <c r="J96" s="449"/>
      <c r="K96" s="450"/>
      <c r="L96" s="451"/>
    </row>
    <row r="97" spans="1:12" s="263" customFormat="1">
      <c r="A97" s="272">
        <v>44799</v>
      </c>
      <c r="B97" s="256">
        <v>95</v>
      </c>
      <c r="C97" s="273"/>
      <c r="D97" s="274" t="s">
        <v>140</v>
      </c>
      <c r="E97" s="275">
        <v>2</v>
      </c>
      <c r="F97" s="274" t="s">
        <v>146</v>
      </c>
      <c r="G97" s="20" t="s">
        <v>147</v>
      </c>
      <c r="H97" s="126" t="s">
        <v>133</v>
      </c>
      <c r="I97" s="276" t="s">
        <v>351</v>
      </c>
      <c r="J97" s="449"/>
      <c r="K97" s="450"/>
      <c r="L97" s="451"/>
    </row>
    <row r="98" spans="1:12" s="263" customFormat="1">
      <c r="A98" s="272">
        <v>44796</v>
      </c>
      <c r="B98" s="256">
        <v>96</v>
      </c>
      <c r="C98" s="273"/>
      <c r="D98" s="274" t="s">
        <v>80</v>
      </c>
      <c r="E98" s="275">
        <v>1</v>
      </c>
      <c r="F98" s="274" t="s">
        <v>332</v>
      </c>
      <c r="G98" s="20" t="s">
        <v>333</v>
      </c>
      <c r="H98" s="126" t="s">
        <v>334</v>
      </c>
      <c r="I98" s="276" t="s">
        <v>350</v>
      </c>
      <c r="J98" s="449"/>
      <c r="K98" s="450"/>
      <c r="L98" s="451"/>
    </row>
    <row r="99" spans="1:12" s="263" customFormat="1">
      <c r="A99" s="272">
        <v>44809</v>
      </c>
      <c r="B99" s="256">
        <v>97</v>
      </c>
      <c r="C99" s="273"/>
      <c r="D99" s="274" t="s">
        <v>197</v>
      </c>
      <c r="E99" s="275">
        <v>2</v>
      </c>
      <c r="F99" s="274" t="s">
        <v>353</v>
      </c>
      <c r="G99" s="20" t="s">
        <v>354</v>
      </c>
      <c r="H99" s="126" t="s">
        <v>133</v>
      </c>
      <c r="I99" s="276" t="s">
        <v>201</v>
      </c>
      <c r="J99" s="449"/>
      <c r="K99" s="450"/>
      <c r="L99" s="451"/>
    </row>
    <row r="100" spans="1:12" s="263" customFormat="1" ht="51">
      <c r="A100" s="272">
        <v>44790</v>
      </c>
      <c r="B100" s="256">
        <v>98</v>
      </c>
      <c r="C100" s="273"/>
      <c r="D100" s="274" t="s">
        <v>52</v>
      </c>
      <c r="E100" s="275">
        <v>2</v>
      </c>
      <c r="F100" s="274" t="s">
        <v>272</v>
      </c>
      <c r="G100" s="20" t="s">
        <v>273</v>
      </c>
      <c r="H100" s="126" t="s">
        <v>344</v>
      </c>
      <c r="I100" s="276" t="s">
        <v>56</v>
      </c>
      <c r="J100" s="449"/>
      <c r="K100" s="450"/>
      <c r="L100" s="451"/>
    </row>
    <row r="101" spans="1:12" s="263" customFormat="1" ht="25.5">
      <c r="A101" s="272">
        <v>44795</v>
      </c>
      <c r="B101" s="256">
        <v>99</v>
      </c>
      <c r="C101" s="273"/>
      <c r="D101" s="274" t="s">
        <v>52</v>
      </c>
      <c r="E101" s="275">
        <v>2</v>
      </c>
      <c r="F101" s="274" t="s">
        <v>347</v>
      </c>
      <c r="G101" s="20" t="s">
        <v>348</v>
      </c>
      <c r="H101" s="126" t="s">
        <v>49</v>
      </c>
      <c r="I101" s="276" t="s">
        <v>56</v>
      </c>
      <c r="J101" s="449"/>
      <c r="K101" s="450"/>
      <c r="L101" s="451"/>
    </row>
    <row r="102" spans="1:12" s="263" customFormat="1">
      <c r="A102" s="272">
        <v>44797</v>
      </c>
      <c r="B102" s="256">
        <v>100</v>
      </c>
      <c r="C102" s="273"/>
      <c r="D102" s="274" t="s">
        <v>52</v>
      </c>
      <c r="E102" s="275">
        <v>2</v>
      </c>
      <c r="F102" s="274" t="s">
        <v>308</v>
      </c>
      <c r="G102" s="20" t="s">
        <v>309</v>
      </c>
      <c r="H102" s="126" t="s">
        <v>59</v>
      </c>
      <c r="I102" s="276" t="s">
        <v>56</v>
      </c>
      <c r="J102" s="449"/>
      <c r="K102" s="450"/>
      <c r="L102" s="451"/>
    </row>
    <row r="103" spans="1:12" s="263" customFormat="1" ht="25.5">
      <c r="A103" s="272">
        <v>44799</v>
      </c>
      <c r="B103" s="256">
        <v>101</v>
      </c>
      <c r="C103" s="273"/>
      <c r="D103" s="274" t="s">
        <v>52</v>
      </c>
      <c r="E103" s="275">
        <v>2</v>
      </c>
      <c r="F103" s="274" t="s">
        <v>305</v>
      </c>
      <c r="G103" s="20" t="s">
        <v>306</v>
      </c>
      <c r="H103" s="126" t="s">
        <v>59</v>
      </c>
      <c r="I103" s="276" t="s">
        <v>307</v>
      </c>
      <c r="J103" s="449"/>
      <c r="K103" s="450"/>
      <c r="L103" s="451"/>
    </row>
    <row r="104" spans="1:12" s="263" customFormat="1" ht="38.25">
      <c r="A104" s="272">
        <v>44790</v>
      </c>
      <c r="B104" s="256">
        <v>102</v>
      </c>
      <c r="C104" s="273"/>
      <c r="D104" s="274" t="s">
        <v>52</v>
      </c>
      <c r="E104" s="275">
        <v>1</v>
      </c>
      <c r="F104" s="274" t="s">
        <v>343</v>
      </c>
      <c r="G104" s="20" t="s">
        <v>342</v>
      </c>
      <c r="H104" s="126" t="s">
        <v>341</v>
      </c>
      <c r="I104" s="276" t="s">
        <v>53</v>
      </c>
      <c r="J104" s="449"/>
      <c r="K104" s="450"/>
      <c r="L104" s="451"/>
    </row>
    <row r="105" spans="1:12" s="263" customFormat="1" ht="25.5">
      <c r="A105" s="272">
        <v>44790</v>
      </c>
      <c r="B105" s="256">
        <v>103</v>
      </c>
      <c r="C105" s="273"/>
      <c r="D105" s="274" t="s">
        <v>52</v>
      </c>
      <c r="E105" s="275">
        <v>1</v>
      </c>
      <c r="F105" s="274" t="s">
        <v>345</v>
      </c>
      <c r="G105" s="20" t="s">
        <v>340</v>
      </c>
      <c r="H105" s="126" t="s">
        <v>346</v>
      </c>
      <c r="I105" s="276" t="s">
        <v>53</v>
      </c>
      <c r="J105" s="449"/>
      <c r="K105" s="450"/>
      <c r="L105" s="451"/>
    </row>
    <row r="106" spans="1:12" s="263" customFormat="1">
      <c r="A106" s="272">
        <v>44831</v>
      </c>
      <c r="B106" s="256">
        <v>104</v>
      </c>
      <c r="C106" s="277"/>
      <c r="D106" s="272" t="s">
        <v>96</v>
      </c>
      <c r="E106" s="278">
        <v>2</v>
      </c>
      <c r="F106" s="20" t="s">
        <v>362</v>
      </c>
      <c r="G106" s="55" t="s">
        <v>363</v>
      </c>
      <c r="H106" s="253" t="s">
        <v>364</v>
      </c>
      <c r="I106" s="79" t="s">
        <v>365</v>
      </c>
      <c r="J106" s="455" t="s">
        <v>378</v>
      </c>
      <c r="K106" s="450"/>
      <c r="L106" s="451"/>
    </row>
    <row r="107" spans="1:12" s="263" customFormat="1">
      <c r="A107" s="272">
        <v>44831</v>
      </c>
      <c r="B107" s="256">
        <v>105</v>
      </c>
      <c r="C107" s="277"/>
      <c r="D107" s="272" t="s">
        <v>96</v>
      </c>
      <c r="E107" s="278">
        <v>2</v>
      </c>
      <c r="F107" s="20" t="s">
        <v>366</v>
      </c>
      <c r="G107" s="55" t="s">
        <v>363</v>
      </c>
      <c r="H107" s="253" t="s">
        <v>364</v>
      </c>
      <c r="I107" s="79" t="s">
        <v>367</v>
      </c>
      <c r="J107" s="455" t="s">
        <v>378</v>
      </c>
      <c r="K107" s="450"/>
      <c r="L107" s="451"/>
    </row>
    <row r="108" spans="1:12" s="263" customFormat="1">
      <c r="A108" s="272">
        <v>44814</v>
      </c>
      <c r="B108" s="256">
        <v>106</v>
      </c>
      <c r="C108" s="272"/>
      <c r="D108" s="272" t="s">
        <v>360</v>
      </c>
      <c r="E108" s="278">
        <v>5</v>
      </c>
      <c r="F108" s="149" t="s">
        <v>358</v>
      </c>
      <c r="G108" s="19" t="s">
        <v>349</v>
      </c>
      <c r="H108" s="279" t="s">
        <v>359</v>
      </c>
      <c r="I108" s="150" t="s">
        <v>69</v>
      </c>
      <c r="J108" s="449"/>
      <c r="K108" s="450"/>
      <c r="L108" s="451"/>
    </row>
    <row r="109" spans="1:12" s="263" customFormat="1">
      <c r="A109" s="272">
        <v>44846</v>
      </c>
      <c r="B109" s="256">
        <v>107</v>
      </c>
      <c r="C109" s="277"/>
      <c r="D109" s="272" t="s">
        <v>140</v>
      </c>
      <c r="E109" s="278">
        <v>2</v>
      </c>
      <c r="F109" s="20" t="s">
        <v>146</v>
      </c>
      <c r="G109" s="55" t="s">
        <v>147</v>
      </c>
      <c r="H109" s="253" t="s">
        <v>133</v>
      </c>
      <c r="I109" s="79" t="s">
        <v>143</v>
      </c>
      <c r="J109" s="449"/>
      <c r="K109" s="450"/>
      <c r="L109" s="451"/>
    </row>
    <row r="110" spans="1:12" s="263" customFormat="1" ht="25.5">
      <c r="A110" s="272">
        <v>44814</v>
      </c>
      <c r="B110" s="256">
        <v>108</v>
      </c>
      <c r="C110" s="1014" t="s">
        <v>339</v>
      </c>
      <c r="D110" s="272" t="s">
        <v>338</v>
      </c>
      <c r="E110" s="278">
        <v>1</v>
      </c>
      <c r="F110" s="79" t="s">
        <v>258</v>
      </c>
      <c r="G110" s="55" t="s">
        <v>112</v>
      </c>
      <c r="H110" s="253" t="s">
        <v>122</v>
      </c>
      <c r="I110" s="79" t="s">
        <v>53</v>
      </c>
      <c r="J110" s="449"/>
      <c r="K110" s="450"/>
      <c r="L110" s="451"/>
    </row>
    <row r="111" spans="1:12" s="263" customFormat="1" ht="25.5">
      <c r="A111" s="272">
        <v>44814</v>
      </c>
      <c r="B111" s="256">
        <v>109</v>
      </c>
      <c r="C111" s="1014"/>
      <c r="D111" s="272" t="s">
        <v>338</v>
      </c>
      <c r="E111" s="278">
        <v>1</v>
      </c>
      <c r="F111" s="20" t="s">
        <v>259</v>
      </c>
      <c r="G111" s="55" t="s">
        <v>106</v>
      </c>
      <c r="H111" s="253" t="s">
        <v>122</v>
      </c>
      <c r="I111" s="79" t="s">
        <v>357</v>
      </c>
      <c r="J111" s="449"/>
      <c r="K111" s="450"/>
      <c r="L111" s="451"/>
    </row>
    <row r="112" spans="1:12" s="263" customFormat="1">
      <c r="A112" s="272">
        <v>44825</v>
      </c>
      <c r="B112" s="256">
        <v>110</v>
      </c>
      <c r="C112" s="277"/>
      <c r="D112" s="272" t="s">
        <v>96</v>
      </c>
      <c r="E112" s="278">
        <v>2</v>
      </c>
      <c r="F112" s="20" t="s">
        <v>361</v>
      </c>
      <c r="G112" s="55" t="s">
        <v>264</v>
      </c>
      <c r="H112" s="253" t="s">
        <v>121</v>
      </c>
      <c r="I112" s="79" t="s">
        <v>56</v>
      </c>
      <c r="J112" s="449"/>
      <c r="K112" s="450"/>
      <c r="L112" s="451"/>
    </row>
    <row r="113" spans="1:12" s="263" customFormat="1">
      <c r="A113" s="272">
        <v>44855</v>
      </c>
      <c r="B113" s="256">
        <v>111</v>
      </c>
      <c r="C113" s="277"/>
      <c r="D113" s="272" t="s">
        <v>360</v>
      </c>
      <c r="E113" s="278">
        <v>1</v>
      </c>
      <c r="F113" s="20" t="s">
        <v>386</v>
      </c>
      <c r="G113" s="55" t="s">
        <v>387</v>
      </c>
      <c r="H113" s="253" t="s">
        <v>388</v>
      </c>
      <c r="I113" s="79" t="s">
        <v>389</v>
      </c>
      <c r="J113" s="449"/>
      <c r="K113" s="450"/>
      <c r="L113" s="451"/>
    </row>
    <row r="114" spans="1:12" s="263" customFormat="1">
      <c r="A114" s="272">
        <v>44858</v>
      </c>
      <c r="B114" s="256">
        <v>112</v>
      </c>
      <c r="C114" s="277"/>
      <c r="D114" s="272" t="s">
        <v>96</v>
      </c>
      <c r="E114" s="278">
        <v>1</v>
      </c>
      <c r="F114" s="20" t="s">
        <v>390</v>
      </c>
      <c r="G114" s="55" t="s">
        <v>384</v>
      </c>
      <c r="H114" s="253" t="s">
        <v>391</v>
      </c>
      <c r="I114" s="79" t="s">
        <v>53</v>
      </c>
      <c r="J114" s="449"/>
      <c r="K114" s="450"/>
      <c r="L114" s="451"/>
    </row>
    <row r="115" spans="1:12" s="263" customFormat="1">
      <c r="A115" s="272">
        <v>44831</v>
      </c>
      <c r="B115" s="256">
        <v>113</v>
      </c>
      <c r="C115" s="277"/>
      <c r="D115" s="272" t="s">
        <v>96</v>
      </c>
      <c r="E115" s="278">
        <v>3</v>
      </c>
      <c r="F115" s="20" t="s">
        <v>368</v>
      </c>
      <c r="G115" s="55" t="s">
        <v>363</v>
      </c>
      <c r="H115" s="253" t="s">
        <v>369</v>
      </c>
      <c r="I115" s="79" t="s">
        <v>367</v>
      </c>
      <c r="J115" s="449"/>
      <c r="K115" s="450"/>
      <c r="L115" s="451"/>
    </row>
    <row r="116" spans="1:12" s="263" customFormat="1" ht="25.5">
      <c r="A116" s="272">
        <v>44831</v>
      </c>
      <c r="B116" s="256">
        <v>114</v>
      </c>
      <c r="C116" s="277"/>
      <c r="D116" s="272" t="s">
        <v>96</v>
      </c>
      <c r="E116" s="278">
        <v>2</v>
      </c>
      <c r="F116" s="20" t="s">
        <v>370</v>
      </c>
      <c r="G116" s="55" t="s">
        <v>363</v>
      </c>
      <c r="H116" s="253" t="s">
        <v>371</v>
      </c>
      <c r="I116" s="79" t="s">
        <v>372</v>
      </c>
      <c r="J116" s="449"/>
      <c r="K116" s="450"/>
      <c r="L116" s="451"/>
    </row>
    <row r="117" spans="1:12" s="263" customFormat="1" ht="25.5">
      <c r="A117" s="272">
        <v>44831</v>
      </c>
      <c r="B117" s="256">
        <v>115</v>
      </c>
      <c r="C117" s="277"/>
      <c r="D117" s="272" t="s">
        <v>96</v>
      </c>
      <c r="E117" s="278">
        <v>2</v>
      </c>
      <c r="F117" s="20" t="s">
        <v>373</v>
      </c>
      <c r="G117" s="55" t="s">
        <v>363</v>
      </c>
      <c r="H117" s="253" t="s">
        <v>371</v>
      </c>
      <c r="I117" s="79" t="s">
        <v>71</v>
      </c>
      <c r="J117" s="449"/>
      <c r="K117" s="450"/>
      <c r="L117" s="451"/>
    </row>
    <row r="118" spans="1:12" s="263" customFormat="1" ht="25.5">
      <c r="A118" s="272">
        <v>44831</v>
      </c>
      <c r="B118" s="256">
        <v>116</v>
      </c>
      <c r="C118" s="277"/>
      <c r="D118" s="272" t="s">
        <v>96</v>
      </c>
      <c r="E118" s="278">
        <v>2</v>
      </c>
      <c r="F118" s="20" t="s">
        <v>374</v>
      </c>
      <c r="G118" s="55" t="s">
        <v>363</v>
      </c>
      <c r="H118" s="253" t="s">
        <v>375</v>
      </c>
      <c r="I118" s="79" t="s">
        <v>71</v>
      </c>
      <c r="J118" s="449"/>
      <c r="K118" s="450"/>
      <c r="L118" s="451"/>
    </row>
    <row r="119" spans="1:12" s="263" customFormat="1">
      <c r="A119" s="272">
        <v>44831</v>
      </c>
      <c r="B119" s="256">
        <v>117</v>
      </c>
      <c r="C119" s="277"/>
      <c r="D119" s="272" t="s">
        <v>96</v>
      </c>
      <c r="E119" s="278">
        <v>2</v>
      </c>
      <c r="F119" s="20" t="s">
        <v>376</v>
      </c>
      <c r="G119" s="55" t="s">
        <v>363</v>
      </c>
      <c r="H119" s="253" t="s">
        <v>377</v>
      </c>
      <c r="I119" s="79" t="s">
        <v>53</v>
      </c>
      <c r="J119" s="449"/>
      <c r="K119" s="450"/>
      <c r="L119" s="451"/>
    </row>
    <row r="120" spans="1:12" s="263" customFormat="1" ht="25.5">
      <c r="A120" s="272">
        <v>44831</v>
      </c>
      <c r="B120" s="256">
        <v>118</v>
      </c>
      <c r="C120" s="277"/>
      <c r="D120" s="272" t="s">
        <v>96</v>
      </c>
      <c r="E120" s="278">
        <v>2</v>
      </c>
      <c r="F120" s="20" t="s">
        <v>217</v>
      </c>
      <c r="G120" s="55" t="s">
        <v>218</v>
      </c>
      <c r="H120" s="253" t="s">
        <v>59</v>
      </c>
      <c r="I120" s="79" t="s">
        <v>56</v>
      </c>
      <c r="J120" s="449"/>
      <c r="K120" s="450"/>
      <c r="L120" s="451"/>
    </row>
    <row r="121" spans="1:12" s="263" customFormat="1">
      <c r="A121" s="272">
        <v>44873</v>
      </c>
      <c r="B121" s="256">
        <v>119</v>
      </c>
      <c r="C121" s="277"/>
      <c r="D121" s="272" t="s">
        <v>408</v>
      </c>
      <c r="E121" s="278">
        <v>3</v>
      </c>
      <c r="F121" s="20" t="s">
        <v>406</v>
      </c>
      <c r="G121" s="55" t="s">
        <v>407</v>
      </c>
      <c r="H121" s="253" t="s">
        <v>133</v>
      </c>
      <c r="I121" s="79" t="s">
        <v>143</v>
      </c>
      <c r="J121" s="449"/>
      <c r="K121" s="450"/>
      <c r="L121" s="451"/>
    </row>
    <row r="122" spans="1:12" s="263" customFormat="1">
      <c r="A122" s="272">
        <v>44874</v>
      </c>
      <c r="B122" s="256">
        <v>120</v>
      </c>
      <c r="C122" s="277"/>
      <c r="D122" s="272" t="s">
        <v>408</v>
      </c>
      <c r="E122" s="278">
        <v>3</v>
      </c>
      <c r="F122" s="20" t="s">
        <v>409</v>
      </c>
      <c r="G122" s="55" t="s">
        <v>410</v>
      </c>
      <c r="H122" s="253" t="s">
        <v>133</v>
      </c>
      <c r="I122" s="79" t="s">
        <v>143</v>
      </c>
      <c r="J122" s="449"/>
      <c r="K122" s="450"/>
      <c r="L122" s="451"/>
    </row>
    <row r="123" spans="1:12" s="263" customFormat="1">
      <c r="A123" s="272">
        <v>44873</v>
      </c>
      <c r="B123" s="256">
        <v>121</v>
      </c>
      <c r="C123" s="277"/>
      <c r="D123" s="272" t="s">
        <v>197</v>
      </c>
      <c r="E123" s="278">
        <v>2</v>
      </c>
      <c r="F123" s="20" t="s">
        <v>394</v>
      </c>
      <c r="G123" s="55" t="s">
        <v>395</v>
      </c>
      <c r="H123" s="253" t="s">
        <v>133</v>
      </c>
      <c r="I123" s="79" t="s">
        <v>143</v>
      </c>
      <c r="J123" s="449"/>
      <c r="K123" s="450"/>
      <c r="L123" s="451"/>
    </row>
    <row r="124" spans="1:12" s="263" customFormat="1">
      <c r="A124" s="272">
        <v>44873</v>
      </c>
      <c r="B124" s="256">
        <v>122</v>
      </c>
      <c r="C124" s="277"/>
      <c r="D124" s="272" t="s">
        <v>197</v>
      </c>
      <c r="E124" s="278">
        <v>1</v>
      </c>
      <c r="F124" s="20" t="s">
        <v>238</v>
      </c>
      <c r="G124" s="55" t="s">
        <v>396</v>
      </c>
      <c r="H124" s="253" t="s">
        <v>133</v>
      </c>
      <c r="I124" s="79" t="s">
        <v>143</v>
      </c>
      <c r="J124" s="449"/>
      <c r="K124" s="450"/>
      <c r="L124" s="451"/>
    </row>
    <row r="125" spans="1:12" s="263" customFormat="1">
      <c r="A125" s="272">
        <v>44873</v>
      </c>
      <c r="B125" s="256">
        <v>123</v>
      </c>
      <c r="C125" s="277"/>
      <c r="D125" s="272" t="s">
        <v>197</v>
      </c>
      <c r="E125" s="278">
        <v>1</v>
      </c>
      <c r="F125" s="20" t="s">
        <v>397</v>
      </c>
      <c r="G125" s="55" t="s">
        <v>398</v>
      </c>
      <c r="H125" s="253" t="s">
        <v>133</v>
      </c>
      <c r="I125" s="79" t="s">
        <v>399</v>
      </c>
      <c r="J125" s="449"/>
      <c r="K125" s="450"/>
      <c r="L125" s="451"/>
    </row>
    <row r="126" spans="1:12" s="263" customFormat="1">
      <c r="A126" s="272">
        <v>44873</v>
      </c>
      <c r="B126" s="256">
        <v>124</v>
      </c>
      <c r="C126" s="277"/>
      <c r="D126" s="272" t="s">
        <v>197</v>
      </c>
      <c r="E126" s="278">
        <v>1</v>
      </c>
      <c r="F126" s="20" t="s">
        <v>400</v>
      </c>
      <c r="G126" s="55" t="s">
        <v>401</v>
      </c>
      <c r="H126" s="253" t="s">
        <v>133</v>
      </c>
      <c r="I126" s="79" t="s">
        <v>402</v>
      </c>
      <c r="J126" s="449"/>
      <c r="K126" s="450"/>
      <c r="L126" s="451"/>
    </row>
    <row r="127" spans="1:12" s="263" customFormat="1">
      <c r="A127" s="272">
        <v>44873</v>
      </c>
      <c r="B127" s="256">
        <v>125</v>
      </c>
      <c r="C127" s="277"/>
      <c r="D127" s="272" t="s">
        <v>197</v>
      </c>
      <c r="E127" s="278">
        <v>4</v>
      </c>
      <c r="F127" s="20" t="s">
        <v>403</v>
      </c>
      <c r="G127" s="55" t="s">
        <v>404</v>
      </c>
      <c r="H127" s="253" t="s">
        <v>133</v>
      </c>
      <c r="I127" s="79" t="s">
        <v>405</v>
      </c>
      <c r="J127" s="449"/>
      <c r="K127" s="450"/>
      <c r="L127" s="451"/>
    </row>
    <row r="128" spans="1:12" s="263" customFormat="1">
      <c r="A128" s="272">
        <v>44886</v>
      </c>
      <c r="B128" s="256">
        <v>126</v>
      </c>
      <c r="C128" s="277" t="s">
        <v>417</v>
      </c>
      <c r="D128" s="272" t="s">
        <v>413</v>
      </c>
      <c r="E128" s="278">
        <v>2</v>
      </c>
      <c r="F128" s="20" t="s">
        <v>352</v>
      </c>
      <c r="G128" s="55" t="s">
        <v>414</v>
      </c>
      <c r="H128" s="253" t="s">
        <v>415</v>
      </c>
      <c r="I128" s="79" t="s">
        <v>416</v>
      </c>
      <c r="J128" s="449"/>
      <c r="K128" s="450"/>
      <c r="L128" s="451"/>
    </row>
    <row r="129" spans="1:12" s="263" customFormat="1" ht="25.5">
      <c r="A129" s="272">
        <v>44888</v>
      </c>
      <c r="B129" s="256">
        <v>127</v>
      </c>
      <c r="C129" s="277"/>
      <c r="D129" s="272" t="s">
        <v>422</v>
      </c>
      <c r="E129" s="278">
        <v>2</v>
      </c>
      <c r="F129" s="20">
        <v>10079</v>
      </c>
      <c r="G129" s="55" t="s">
        <v>423</v>
      </c>
      <c r="H129" s="253" t="s">
        <v>122</v>
      </c>
      <c r="I129" s="79" t="s">
        <v>53</v>
      </c>
      <c r="J129" s="449"/>
      <c r="K129" s="450"/>
      <c r="L129" s="451"/>
    </row>
    <row r="130" spans="1:12" s="263" customFormat="1">
      <c r="A130" s="272">
        <v>44866</v>
      </c>
      <c r="B130" s="256">
        <v>128</v>
      </c>
      <c r="C130" s="277"/>
      <c r="D130" s="272" t="s">
        <v>96</v>
      </c>
      <c r="E130" s="278">
        <v>2</v>
      </c>
      <c r="F130" s="20" t="s">
        <v>61</v>
      </c>
      <c r="G130" s="55" t="s">
        <v>62</v>
      </c>
      <c r="H130" s="253" t="s">
        <v>49</v>
      </c>
      <c r="I130" s="79" t="s">
        <v>63</v>
      </c>
      <c r="J130" s="449"/>
      <c r="K130" s="450"/>
      <c r="L130" s="451"/>
    </row>
    <row r="131" spans="1:12" s="263" customFormat="1">
      <c r="A131" s="272">
        <v>44883</v>
      </c>
      <c r="B131" s="256">
        <v>129</v>
      </c>
      <c r="C131" s="277"/>
      <c r="D131" s="272" t="s">
        <v>96</v>
      </c>
      <c r="E131" s="278">
        <v>2</v>
      </c>
      <c r="F131" s="20" t="s">
        <v>303</v>
      </c>
      <c r="G131" s="55" t="s">
        <v>304</v>
      </c>
      <c r="H131" s="253" t="s">
        <v>59</v>
      </c>
      <c r="I131" s="79" t="s">
        <v>56</v>
      </c>
      <c r="J131" s="449"/>
      <c r="K131" s="450"/>
      <c r="L131" s="451"/>
    </row>
    <row r="132" spans="1:12" s="263" customFormat="1">
      <c r="A132" s="272"/>
      <c r="B132" s="256">
        <v>130</v>
      </c>
      <c r="C132" s="272" t="s">
        <v>427</v>
      </c>
      <c r="D132" s="272" t="s">
        <v>360</v>
      </c>
      <c r="E132" s="278">
        <v>4</v>
      </c>
      <c r="F132" s="149" t="s">
        <v>355</v>
      </c>
      <c r="G132" s="19" t="s">
        <v>349</v>
      </c>
      <c r="H132" s="279" t="s">
        <v>359</v>
      </c>
      <c r="I132" s="150" t="s">
        <v>69</v>
      </c>
      <c r="J132" s="449"/>
      <c r="K132" s="450"/>
      <c r="L132" s="451"/>
    </row>
    <row r="133" spans="1:12" s="263" customFormat="1">
      <c r="A133" s="272">
        <v>44883</v>
      </c>
      <c r="B133" s="256">
        <v>131</v>
      </c>
      <c r="C133" s="277"/>
      <c r="D133" s="272" t="s">
        <v>96</v>
      </c>
      <c r="E133" s="278">
        <v>2</v>
      </c>
      <c r="F133" s="20" t="s">
        <v>418</v>
      </c>
      <c r="G133" s="55" t="s">
        <v>419</v>
      </c>
      <c r="H133" s="253" t="s">
        <v>59</v>
      </c>
      <c r="I133" s="79" t="s">
        <v>56</v>
      </c>
      <c r="J133" s="449"/>
      <c r="K133" s="450"/>
      <c r="L133" s="451"/>
    </row>
    <row r="134" spans="1:12" s="263" customFormat="1">
      <c r="A134" s="272">
        <v>44890</v>
      </c>
      <c r="B134" s="256">
        <v>132</v>
      </c>
      <c r="C134" s="277"/>
      <c r="D134" s="272" t="s">
        <v>96</v>
      </c>
      <c r="E134" s="278">
        <v>2</v>
      </c>
      <c r="F134" s="20" t="s">
        <v>418</v>
      </c>
      <c r="G134" s="55" t="s">
        <v>419</v>
      </c>
      <c r="H134" s="253" t="s">
        <v>59</v>
      </c>
      <c r="I134" s="79" t="s">
        <v>56</v>
      </c>
      <c r="J134" s="449"/>
      <c r="K134" s="450"/>
      <c r="L134" s="451"/>
    </row>
    <row r="135" spans="1:12" s="263" customFormat="1">
      <c r="A135" s="272">
        <v>44914</v>
      </c>
      <c r="B135" s="256">
        <v>133</v>
      </c>
      <c r="C135" s="277"/>
      <c r="D135" s="272" t="s">
        <v>96</v>
      </c>
      <c r="E135" s="278">
        <v>2</v>
      </c>
      <c r="F135" s="20" t="s">
        <v>312</v>
      </c>
      <c r="G135" s="55" t="s">
        <v>313</v>
      </c>
      <c r="H135" s="253" t="s">
        <v>59</v>
      </c>
      <c r="I135" s="79" t="s">
        <v>53</v>
      </c>
      <c r="J135" s="449"/>
      <c r="K135" s="450"/>
      <c r="L135" s="451"/>
    </row>
    <row r="136" spans="1:12" s="263" customFormat="1">
      <c r="A136" s="272">
        <v>44921</v>
      </c>
      <c r="B136" s="256">
        <v>134</v>
      </c>
      <c r="C136" s="277"/>
      <c r="D136" s="272" t="s">
        <v>197</v>
      </c>
      <c r="E136" s="278">
        <v>2</v>
      </c>
      <c r="F136" s="20" t="s">
        <v>428</v>
      </c>
      <c r="G136" s="55" t="s">
        <v>385</v>
      </c>
      <c r="H136" s="253" t="s">
        <v>133</v>
      </c>
      <c r="I136" s="79" t="s">
        <v>201</v>
      </c>
      <c r="J136" s="449"/>
      <c r="K136" s="450"/>
      <c r="L136" s="451"/>
    </row>
    <row r="137" spans="1:12" s="263" customFormat="1">
      <c r="A137" s="272">
        <v>44914</v>
      </c>
      <c r="B137" s="256">
        <v>135</v>
      </c>
      <c r="C137" s="277"/>
      <c r="D137" s="272" t="s">
        <v>96</v>
      </c>
      <c r="E137" s="278">
        <v>2</v>
      </c>
      <c r="F137" s="20" t="s">
        <v>425</v>
      </c>
      <c r="G137" s="55" t="s">
        <v>426</v>
      </c>
      <c r="H137" s="253" t="s">
        <v>59</v>
      </c>
      <c r="I137" s="79" t="s">
        <v>56</v>
      </c>
      <c r="J137" s="449"/>
      <c r="K137" s="450"/>
      <c r="L137" s="451"/>
    </row>
    <row r="138" spans="1:12" s="263" customFormat="1">
      <c r="A138" s="272">
        <v>44964</v>
      </c>
      <c r="B138" s="256">
        <v>136</v>
      </c>
      <c r="C138" s="277"/>
      <c r="D138" s="272" t="s">
        <v>140</v>
      </c>
      <c r="E138" s="278">
        <v>4</v>
      </c>
      <c r="F138" s="20" t="s">
        <v>491</v>
      </c>
      <c r="G138" s="55" t="s">
        <v>492</v>
      </c>
      <c r="H138" s="253" t="s">
        <v>133</v>
      </c>
      <c r="I138" s="79" t="s">
        <v>493</v>
      </c>
      <c r="J138" s="456"/>
      <c r="K138" s="457"/>
      <c r="L138" s="457"/>
    </row>
    <row r="139" spans="1:12" s="263" customFormat="1">
      <c r="A139" s="272">
        <v>44924</v>
      </c>
      <c r="B139" s="256">
        <v>137</v>
      </c>
      <c r="C139" s="277"/>
      <c r="D139" s="272" t="s">
        <v>96</v>
      </c>
      <c r="E139" s="278">
        <v>2</v>
      </c>
      <c r="F139" s="20" t="s">
        <v>289</v>
      </c>
      <c r="G139" s="55" t="s">
        <v>290</v>
      </c>
      <c r="H139" s="253" t="s">
        <v>121</v>
      </c>
      <c r="I139" s="79" t="s">
        <v>56</v>
      </c>
      <c r="J139" s="456"/>
      <c r="K139" s="457"/>
      <c r="L139" s="457"/>
    </row>
    <row r="140" spans="1:12" s="263" customFormat="1" ht="25.5">
      <c r="A140" s="272">
        <v>44931</v>
      </c>
      <c r="B140" s="256">
        <v>138</v>
      </c>
      <c r="C140" s="277"/>
      <c r="D140" s="272" t="s">
        <v>96</v>
      </c>
      <c r="E140" s="278">
        <v>2</v>
      </c>
      <c r="F140" s="20" t="s">
        <v>489</v>
      </c>
      <c r="G140" s="55" t="s">
        <v>490</v>
      </c>
      <c r="H140" s="253" t="s">
        <v>59</v>
      </c>
      <c r="I140" s="79" t="s">
        <v>71</v>
      </c>
      <c r="J140" s="456"/>
      <c r="K140" s="457"/>
      <c r="L140" s="457"/>
    </row>
    <row r="141" spans="1:12" s="263" customFormat="1">
      <c r="A141" s="272">
        <v>44966</v>
      </c>
      <c r="B141" s="256">
        <v>139</v>
      </c>
      <c r="C141" s="277" t="s">
        <v>540</v>
      </c>
      <c r="D141" s="272" t="s">
        <v>177</v>
      </c>
      <c r="E141" s="278">
        <v>2</v>
      </c>
      <c r="F141" s="20" t="s">
        <v>536</v>
      </c>
      <c r="G141" s="55" t="s">
        <v>89</v>
      </c>
      <c r="H141" s="253" t="s">
        <v>537</v>
      </c>
      <c r="I141" s="79" t="s">
        <v>538</v>
      </c>
      <c r="J141" s="456"/>
      <c r="K141" s="457"/>
      <c r="L141" s="457"/>
    </row>
    <row r="142" spans="1:12" s="263" customFormat="1" ht="25.5">
      <c r="A142" s="272">
        <v>44975</v>
      </c>
      <c r="B142" s="256">
        <v>140</v>
      </c>
      <c r="C142" s="277" t="s">
        <v>539</v>
      </c>
      <c r="D142" s="272" t="s">
        <v>547</v>
      </c>
      <c r="E142" s="278">
        <v>6</v>
      </c>
      <c r="F142" s="20" t="s">
        <v>548</v>
      </c>
      <c r="G142" s="55" t="s">
        <v>89</v>
      </c>
      <c r="H142" s="253" t="s">
        <v>547</v>
      </c>
      <c r="I142" s="79" t="s">
        <v>549</v>
      </c>
      <c r="J142" s="456"/>
      <c r="K142" s="457"/>
      <c r="L142" s="457"/>
    </row>
    <row r="143" spans="1:12" s="263" customFormat="1">
      <c r="A143" s="272">
        <v>44938</v>
      </c>
      <c r="B143" s="256">
        <v>141</v>
      </c>
      <c r="C143" s="277" t="s">
        <v>539</v>
      </c>
      <c r="D143" s="272" t="s">
        <v>177</v>
      </c>
      <c r="E143" s="278">
        <v>2</v>
      </c>
      <c r="F143" s="20" t="s">
        <v>486</v>
      </c>
      <c r="G143" s="55" t="s">
        <v>89</v>
      </c>
      <c r="H143" s="253" t="s">
        <v>487</v>
      </c>
      <c r="I143" s="79" t="s">
        <v>488</v>
      </c>
      <c r="J143" s="456"/>
      <c r="K143" s="457"/>
      <c r="L143" s="457"/>
    </row>
    <row r="144" spans="1:12" s="263" customFormat="1" ht="25.5">
      <c r="A144" s="272"/>
      <c r="B144" s="256">
        <v>142</v>
      </c>
      <c r="C144" s="272"/>
      <c r="D144" s="272" t="s">
        <v>96</v>
      </c>
      <c r="E144" s="278">
        <v>2</v>
      </c>
      <c r="F144" s="20" t="s">
        <v>281</v>
      </c>
      <c r="G144" s="55" t="s">
        <v>282</v>
      </c>
      <c r="H144" s="253" t="s">
        <v>59</v>
      </c>
      <c r="I144" s="79" t="s">
        <v>53</v>
      </c>
      <c r="J144" s="456"/>
      <c r="K144" s="457"/>
      <c r="L144" s="457"/>
    </row>
    <row r="145" spans="1:12" s="263" customFormat="1" ht="25.5">
      <c r="A145" s="272"/>
      <c r="B145" s="256">
        <v>143</v>
      </c>
      <c r="C145" s="272"/>
      <c r="D145" s="272" t="s">
        <v>96</v>
      </c>
      <c r="E145" s="278">
        <v>2</v>
      </c>
      <c r="F145" s="20" t="s">
        <v>283</v>
      </c>
      <c r="G145" s="55" t="s">
        <v>284</v>
      </c>
      <c r="H145" s="253" t="s">
        <v>59</v>
      </c>
      <c r="I145" s="79" t="s">
        <v>53</v>
      </c>
      <c r="J145" s="456"/>
      <c r="K145" s="457"/>
      <c r="L145" s="457"/>
    </row>
    <row r="146" spans="1:12" s="263" customFormat="1" ht="25.5">
      <c r="A146" s="272"/>
      <c r="B146" s="256">
        <v>144</v>
      </c>
      <c r="C146" s="272"/>
      <c r="D146" s="272" t="s">
        <v>96</v>
      </c>
      <c r="E146" s="278">
        <v>2</v>
      </c>
      <c r="F146" s="20" t="s">
        <v>285</v>
      </c>
      <c r="G146" s="55" t="s">
        <v>286</v>
      </c>
      <c r="H146" s="253" t="s">
        <v>59</v>
      </c>
      <c r="I146" s="79" t="s">
        <v>53</v>
      </c>
      <c r="J146" s="456"/>
      <c r="K146" s="457"/>
      <c r="L146" s="457"/>
    </row>
    <row r="147" spans="1:12" s="263" customFormat="1" ht="25.5">
      <c r="A147" s="272">
        <v>44994</v>
      </c>
      <c r="B147" s="256">
        <v>145</v>
      </c>
      <c r="C147" s="272"/>
      <c r="D147" s="272" t="s">
        <v>96</v>
      </c>
      <c r="E147" s="278">
        <v>2</v>
      </c>
      <c r="F147" s="252" t="s">
        <v>593</v>
      </c>
      <c r="G147" s="19" t="s">
        <v>594</v>
      </c>
      <c r="H147" s="280" t="s">
        <v>121</v>
      </c>
      <c r="I147" s="51" t="s">
        <v>551</v>
      </c>
      <c r="J147" s="449"/>
      <c r="K147" s="451"/>
      <c r="L147" s="457"/>
    </row>
    <row r="148" spans="1:12" s="263" customFormat="1" ht="25.5">
      <c r="A148" s="272">
        <v>44994</v>
      </c>
      <c r="B148" s="256">
        <v>146</v>
      </c>
      <c r="C148" s="272"/>
      <c r="D148" s="272" t="s">
        <v>96</v>
      </c>
      <c r="E148" s="278">
        <v>2</v>
      </c>
      <c r="F148" s="252" t="s">
        <v>595</v>
      </c>
      <c r="G148" s="19" t="s">
        <v>596</v>
      </c>
      <c r="H148" s="280" t="s">
        <v>121</v>
      </c>
      <c r="I148" s="51" t="s">
        <v>551</v>
      </c>
      <c r="J148" s="449"/>
      <c r="K148" s="451"/>
      <c r="L148" s="457"/>
    </row>
    <row r="149" spans="1:12" s="263" customFormat="1">
      <c r="A149" s="272">
        <v>44883</v>
      </c>
      <c r="B149" s="256">
        <v>147</v>
      </c>
      <c r="C149" s="277"/>
      <c r="D149" s="272" t="s">
        <v>96</v>
      </c>
      <c r="E149" s="278">
        <v>1</v>
      </c>
      <c r="F149" s="20" t="s">
        <v>361</v>
      </c>
      <c r="G149" s="55" t="s">
        <v>264</v>
      </c>
      <c r="H149" s="253" t="s">
        <v>121</v>
      </c>
      <c r="I149" s="79" t="s">
        <v>56</v>
      </c>
      <c r="J149" s="456"/>
      <c r="K149" s="457"/>
      <c r="L149" s="457"/>
    </row>
    <row r="150" spans="1:12" s="263" customFormat="1">
      <c r="A150" s="272">
        <v>44890</v>
      </c>
      <c r="B150" s="256">
        <v>148</v>
      </c>
      <c r="C150" s="277"/>
      <c r="D150" s="272" t="s">
        <v>96</v>
      </c>
      <c r="E150" s="278">
        <v>2</v>
      </c>
      <c r="F150" s="20" t="s">
        <v>420</v>
      </c>
      <c r="G150" s="55" t="s">
        <v>421</v>
      </c>
      <c r="H150" s="253" t="s">
        <v>133</v>
      </c>
      <c r="I150" s="79" t="s">
        <v>56</v>
      </c>
      <c r="J150" s="456"/>
      <c r="K150" s="457"/>
      <c r="L150" s="457"/>
    </row>
    <row r="151" spans="1:12" s="263" customFormat="1" ht="25.5">
      <c r="A151" s="272">
        <v>44914</v>
      </c>
      <c r="B151" s="256">
        <v>149</v>
      </c>
      <c r="C151" s="277"/>
      <c r="D151" s="272" t="s">
        <v>96</v>
      </c>
      <c r="E151" s="278">
        <v>1</v>
      </c>
      <c r="F151" s="20" t="s">
        <v>305</v>
      </c>
      <c r="G151" s="55" t="s">
        <v>306</v>
      </c>
      <c r="H151" s="253" t="s">
        <v>59</v>
      </c>
      <c r="I151" s="79" t="s">
        <v>307</v>
      </c>
      <c r="J151" s="456"/>
      <c r="K151" s="457"/>
      <c r="L151" s="457"/>
    </row>
    <row r="152" spans="1:12" s="263" customFormat="1">
      <c r="A152" s="272">
        <v>44994</v>
      </c>
      <c r="B152" s="256">
        <v>150</v>
      </c>
      <c r="C152" s="272"/>
      <c r="D152" s="272" t="s">
        <v>96</v>
      </c>
      <c r="E152" s="278">
        <v>2</v>
      </c>
      <c r="F152" s="281" t="s">
        <v>585</v>
      </c>
      <c r="G152" s="19" t="s">
        <v>586</v>
      </c>
      <c r="H152" s="280" t="s">
        <v>121</v>
      </c>
      <c r="I152" s="51" t="s">
        <v>307</v>
      </c>
      <c r="J152" s="449"/>
      <c r="K152" s="451"/>
      <c r="L152" s="457"/>
    </row>
    <row r="153" spans="1:12" s="263" customFormat="1">
      <c r="A153" s="272">
        <v>44994</v>
      </c>
      <c r="B153" s="256">
        <v>151</v>
      </c>
      <c r="C153" s="272"/>
      <c r="D153" s="272" t="s">
        <v>96</v>
      </c>
      <c r="E153" s="278">
        <v>2</v>
      </c>
      <c r="F153" s="281" t="s">
        <v>587</v>
      </c>
      <c r="G153" s="19" t="s">
        <v>588</v>
      </c>
      <c r="H153" s="280" t="s">
        <v>133</v>
      </c>
      <c r="I153" s="51" t="s">
        <v>56</v>
      </c>
      <c r="J153" s="449"/>
      <c r="K153" s="451"/>
      <c r="L153" s="457"/>
    </row>
    <row r="154" spans="1:12" s="263" customFormat="1">
      <c r="A154" s="272">
        <v>44994</v>
      </c>
      <c r="B154" s="256">
        <v>152</v>
      </c>
      <c r="C154" s="272"/>
      <c r="D154" s="272" t="s">
        <v>96</v>
      </c>
      <c r="E154" s="278">
        <v>2</v>
      </c>
      <c r="F154" s="252" t="s">
        <v>589</v>
      </c>
      <c r="G154" s="19" t="s">
        <v>590</v>
      </c>
      <c r="H154" s="280" t="s">
        <v>121</v>
      </c>
      <c r="I154" s="51" t="s">
        <v>56</v>
      </c>
      <c r="J154" s="449"/>
      <c r="K154" s="451"/>
      <c r="L154" s="457"/>
    </row>
    <row r="155" spans="1:12" s="263" customFormat="1">
      <c r="A155" s="272">
        <v>44994</v>
      </c>
      <c r="B155" s="256">
        <v>153</v>
      </c>
      <c r="C155" s="272"/>
      <c r="D155" s="272" t="s">
        <v>96</v>
      </c>
      <c r="E155" s="278">
        <v>2</v>
      </c>
      <c r="F155" s="252" t="s">
        <v>591</v>
      </c>
      <c r="G155" s="19" t="s">
        <v>592</v>
      </c>
      <c r="H155" s="280" t="s">
        <v>121</v>
      </c>
      <c r="I155" s="51" t="s">
        <v>53</v>
      </c>
      <c r="J155" s="449"/>
      <c r="K155" s="451"/>
      <c r="L155" s="457"/>
    </row>
    <row r="156" spans="1:12" s="263" customFormat="1">
      <c r="A156" s="272">
        <v>44995</v>
      </c>
      <c r="B156" s="256">
        <v>154</v>
      </c>
      <c r="C156" s="272"/>
      <c r="D156" s="272" t="s">
        <v>599</v>
      </c>
      <c r="E156" s="278">
        <v>2</v>
      </c>
      <c r="F156" s="252" t="s">
        <v>597</v>
      </c>
      <c r="G156" s="19" t="s">
        <v>598</v>
      </c>
      <c r="H156" s="280" t="s">
        <v>599</v>
      </c>
      <c r="I156" s="51" t="s">
        <v>538</v>
      </c>
      <c r="J156" s="449"/>
      <c r="K156" s="451"/>
      <c r="L156" s="457" t="s">
        <v>1509</v>
      </c>
    </row>
    <row r="157" spans="1:12" s="263" customFormat="1">
      <c r="A157" s="272">
        <v>45012</v>
      </c>
      <c r="B157" s="256">
        <v>155</v>
      </c>
      <c r="C157" s="272"/>
      <c r="D157" s="272" t="s">
        <v>96</v>
      </c>
      <c r="E157" s="278">
        <v>2</v>
      </c>
      <c r="F157" s="252" t="s">
        <v>620</v>
      </c>
      <c r="G157" s="19" t="s">
        <v>621</v>
      </c>
      <c r="H157" s="280" t="s">
        <v>121</v>
      </c>
      <c r="I157" s="51" t="s">
        <v>56</v>
      </c>
      <c r="J157" s="449"/>
      <c r="K157" s="451"/>
      <c r="L157" s="457"/>
    </row>
    <row r="158" spans="1:12" s="263" customFormat="1" ht="25.5">
      <c r="A158" s="272">
        <v>45012</v>
      </c>
      <c r="B158" s="256">
        <v>156</v>
      </c>
      <c r="C158" s="272"/>
      <c r="D158" s="272" t="s">
        <v>96</v>
      </c>
      <c r="E158" s="278">
        <v>2</v>
      </c>
      <c r="F158" s="252" t="s">
        <v>626</v>
      </c>
      <c r="G158" s="19" t="s">
        <v>627</v>
      </c>
      <c r="H158" s="280" t="s">
        <v>121</v>
      </c>
      <c r="I158" s="51" t="s">
        <v>53</v>
      </c>
      <c r="J158" s="449"/>
      <c r="K158" s="451"/>
      <c r="L158" s="457"/>
    </row>
    <row r="159" spans="1:12" s="263" customFormat="1">
      <c r="A159" s="272">
        <v>45014</v>
      </c>
      <c r="B159" s="256">
        <v>157</v>
      </c>
      <c r="C159" s="272"/>
      <c r="D159" s="272" t="s">
        <v>96</v>
      </c>
      <c r="E159" s="278">
        <v>2</v>
      </c>
      <c r="F159" s="252" t="s">
        <v>645</v>
      </c>
      <c r="G159" s="19" t="s">
        <v>646</v>
      </c>
      <c r="H159" s="280" t="s">
        <v>121</v>
      </c>
      <c r="I159" s="51" t="s">
        <v>53</v>
      </c>
      <c r="J159" s="449"/>
      <c r="K159" s="451"/>
      <c r="L159" s="457"/>
    </row>
    <row r="160" spans="1:12" s="263" customFormat="1">
      <c r="A160" s="272">
        <v>45014</v>
      </c>
      <c r="B160" s="256">
        <v>158</v>
      </c>
      <c r="C160" s="272"/>
      <c r="D160" s="272" t="s">
        <v>96</v>
      </c>
      <c r="E160" s="278">
        <v>2</v>
      </c>
      <c r="F160" s="252" t="s">
        <v>647</v>
      </c>
      <c r="G160" s="19" t="s">
        <v>648</v>
      </c>
      <c r="H160" s="280" t="s">
        <v>121</v>
      </c>
      <c r="I160" s="51" t="s">
        <v>53</v>
      </c>
      <c r="J160" s="449"/>
      <c r="K160" s="451"/>
      <c r="L160" s="457"/>
    </row>
    <row r="161" spans="1:12" s="263" customFormat="1">
      <c r="A161" s="272">
        <v>44975</v>
      </c>
      <c r="B161" s="256">
        <v>159</v>
      </c>
      <c r="C161" s="272" t="s">
        <v>339</v>
      </c>
      <c r="D161" s="272" t="s">
        <v>550</v>
      </c>
      <c r="E161" s="278">
        <v>2</v>
      </c>
      <c r="F161" s="20" t="s">
        <v>545</v>
      </c>
      <c r="G161" s="55" t="s">
        <v>546</v>
      </c>
      <c r="H161" s="253" t="s">
        <v>200</v>
      </c>
      <c r="I161" s="79" t="s">
        <v>201</v>
      </c>
      <c r="J161" s="456"/>
      <c r="K161" s="457"/>
      <c r="L161" s="457"/>
    </row>
    <row r="162" spans="1:12" s="263" customFormat="1">
      <c r="A162" s="272">
        <v>45061</v>
      </c>
      <c r="B162" s="256">
        <v>160</v>
      </c>
      <c r="C162" s="282" t="s">
        <v>661</v>
      </c>
      <c r="D162" s="272" t="s">
        <v>328</v>
      </c>
      <c r="E162" s="278">
        <v>2</v>
      </c>
      <c r="F162" s="252" t="s">
        <v>658</v>
      </c>
      <c r="G162" s="283" t="s">
        <v>82</v>
      </c>
      <c r="H162" s="280" t="s">
        <v>640</v>
      </c>
      <c r="I162" s="51" t="s">
        <v>659</v>
      </c>
      <c r="J162" s="449"/>
      <c r="K162" s="458"/>
      <c r="L162" s="457"/>
    </row>
    <row r="163" spans="1:12" s="263" customFormat="1">
      <c r="A163" s="272">
        <v>45012</v>
      </c>
      <c r="B163" s="256">
        <v>161</v>
      </c>
      <c r="C163" s="272"/>
      <c r="D163" s="272" t="s">
        <v>96</v>
      </c>
      <c r="E163" s="278">
        <v>2</v>
      </c>
      <c r="F163" s="252" t="s">
        <v>622</v>
      </c>
      <c r="G163" s="19" t="s">
        <v>623</v>
      </c>
      <c r="H163" s="280" t="s">
        <v>121</v>
      </c>
      <c r="I163" s="51" t="s">
        <v>56</v>
      </c>
      <c r="J163" s="449"/>
      <c r="K163" s="451"/>
      <c r="L163" s="457"/>
    </row>
    <row r="164" spans="1:12" s="263" customFormat="1" ht="25.5">
      <c r="A164" s="272">
        <v>44994</v>
      </c>
      <c r="B164" s="256">
        <v>162</v>
      </c>
      <c r="C164" s="51" t="s">
        <v>669</v>
      </c>
      <c r="D164" s="272" t="s">
        <v>96</v>
      </c>
      <c r="E164" s="278">
        <v>2</v>
      </c>
      <c r="F164" s="281" t="s">
        <v>583</v>
      </c>
      <c r="G164" s="19" t="s">
        <v>584</v>
      </c>
      <c r="H164" s="280" t="s">
        <v>59</v>
      </c>
      <c r="I164" s="51" t="s">
        <v>551</v>
      </c>
      <c r="J164" s="449"/>
      <c r="K164" s="459" t="s">
        <v>670</v>
      </c>
      <c r="L164" s="457"/>
    </row>
    <row r="165" spans="1:12" s="263" customFormat="1" ht="25.5">
      <c r="A165" s="272">
        <v>45054</v>
      </c>
      <c r="B165" s="256">
        <v>163</v>
      </c>
      <c r="C165" s="284" t="s">
        <v>671</v>
      </c>
      <c r="D165" s="272" t="s">
        <v>96</v>
      </c>
      <c r="E165" s="278">
        <v>1</v>
      </c>
      <c r="F165" s="252" t="s">
        <v>649</v>
      </c>
      <c r="G165" s="283" t="s">
        <v>594</v>
      </c>
      <c r="H165" s="280" t="s">
        <v>121</v>
      </c>
      <c r="I165" s="51" t="s">
        <v>551</v>
      </c>
      <c r="J165" s="449"/>
      <c r="K165" s="459" t="s">
        <v>670</v>
      </c>
      <c r="L165" s="457"/>
    </row>
    <row r="166" spans="1:12" s="263" customFormat="1">
      <c r="A166" s="272">
        <v>45012</v>
      </c>
      <c r="B166" s="256">
        <v>164</v>
      </c>
      <c r="C166" s="272"/>
      <c r="D166" s="272" t="s">
        <v>96</v>
      </c>
      <c r="E166" s="278">
        <v>1</v>
      </c>
      <c r="F166" s="252" t="s">
        <v>624</v>
      </c>
      <c r="G166" s="19" t="s">
        <v>625</v>
      </c>
      <c r="H166" s="280" t="s">
        <v>121</v>
      </c>
      <c r="I166" s="51" t="s">
        <v>56</v>
      </c>
      <c r="J166" s="449"/>
      <c r="K166" s="451"/>
      <c r="L166" s="457"/>
    </row>
    <row r="167" spans="1:12" s="263" customFormat="1" ht="38.25">
      <c r="A167" s="272">
        <v>45054</v>
      </c>
      <c r="B167" s="256">
        <v>165</v>
      </c>
      <c r="C167" s="285" t="s">
        <v>665</v>
      </c>
      <c r="D167" s="272" t="s">
        <v>96</v>
      </c>
      <c r="E167" s="278">
        <v>1</v>
      </c>
      <c r="F167" s="252" t="s">
        <v>591</v>
      </c>
      <c r="G167" s="283" t="s">
        <v>592</v>
      </c>
      <c r="H167" s="280" t="s">
        <v>121</v>
      </c>
      <c r="I167" s="51" t="s">
        <v>53</v>
      </c>
      <c r="J167" s="449"/>
      <c r="K167" s="460" t="s">
        <v>666</v>
      </c>
      <c r="L167" s="457"/>
    </row>
    <row r="168" spans="1:12" s="263" customFormat="1" ht="38.25">
      <c r="A168" s="272">
        <v>45054</v>
      </c>
      <c r="B168" s="256">
        <v>166</v>
      </c>
      <c r="C168" s="286" t="s">
        <v>665</v>
      </c>
      <c r="D168" s="272" t="s">
        <v>96</v>
      </c>
      <c r="E168" s="278">
        <v>1</v>
      </c>
      <c r="F168" s="252" t="s">
        <v>650</v>
      </c>
      <c r="G168" s="283" t="s">
        <v>651</v>
      </c>
      <c r="H168" s="280" t="s">
        <v>121</v>
      </c>
      <c r="I168" s="51" t="s">
        <v>53</v>
      </c>
      <c r="J168" s="449"/>
      <c r="K168" s="460" t="s">
        <v>666</v>
      </c>
      <c r="L168" s="457"/>
    </row>
    <row r="169" spans="1:12" s="263" customFormat="1" ht="25.5">
      <c r="A169" s="287"/>
      <c r="B169" s="256">
        <v>167</v>
      </c>
      <c r="C169" s="285"/>
      <c r="D169" s="272"/>
      <c r="E169" s="19">
        <v>2</v>
      </c>
      <c r="F169" s="19" t="s">
        <v>719</v>
      </c>
      <c r="G169" s="23" t="s">
        <v>718</v>
      </c>
      <c r="H169" s="28" t="s">
        <v>603</v>
      </c>
      <c r="I169" s="288" t="s">
        <v>720</v>
      </c>
      <c r="J169" s="461"/>
      <c r="K169" s="460"/>
      <c r="L169" s="457"/>
    </row>
    <row r="170" spans="1:12" s="263" customFormat="1">
      <c r="A170" s="287">
        <v>45070</v>
      </c>
      <c r="B170" s="256">
        <v>168</v>
      </c>
      <c r="C170" s="285"/>
      <c r="D170" s="272" t="s">
        <v>679</v>
      </c>
      <c r="E170" s="19">
        <v>2</v>
      </c>
      <c r="F170" s="19" t="s">
        <v>675</v>
      </c>
      <c r="G170" s="23" t="s">
        <v>676</v>
      </c>
      <c r="H170" s="28" t="s">
        <v>70</v>
      </c>
      <c r="I170" s="288" t="s">
        <v>143</v>
      </c>
      <c r="J170" s="456"/>
      <c r="K170" s="460"/>
      <c r="L170" s="457"/>
    </row>
    <row r="171" spans="1:12" s="263" customFormat="1" ht="25.5">
      <c r="A171" s="287">
        <v>45070</v>
      </c>
      <c r="B171" s="256">
        <v>169</v>
      </c>
      <c r="C171" s="285"/>
      <c r="D171" s="272" t="s">
        <v>679</v>
      </c>
      <c r="E171" s="19">
        <v>2</v>
      </c>
      <c r="F171" s="19" t="s">
        <v>677</v>
      </c>
      <c r="G171" s="23" t="s">
        <v>678</v>
      </c>
      <c r="H171" s="28" t="s">
        <v>70</v>
      </c>
      <c r="I171" s="288" t="s">
        <v>143</v>
      </c>
      <c r="J171" s="456"/>
      <c r="K171" s="460"/>
      <c r="L171" s="457"/>
    </row>
    <row r="172" spans="1:12" s="263" customFormat="1" ht="25.5">
      <c r="A172" s="287"/>
      <c r="B172" s="256">
        <v>170</v>
      </c>
      <c r="C172" s="285"/>
      <c r="D172" s="272" t="s">
        <v>96</v>
      </c>
      <c r="E172" s="19">
        <v>1</v>
      </c>
      <c r="F172" s="19" t="s">
        <v>663</v>
      </c>
      <c r="G172" s="23" t="s">
        <v>664</v>
      </c>
      <c r="H172" s="28" t="s">
        <v>121</v>
      </c>
      <c r="I172" s="288" t="s">
        <v>551</v>
      </c>
      <c r="J172" s="456"/>
      <c r="K172" s="460"/>
      <c r="L172" s="457"/>
    </row>
    <row r="173" spans="1:12" s="263" customFormat="1">
      <c r="A173" s="287"/>
      <c r="B173" s="256">
        <v>171</v>
      </c>
      <c r="C173" s="285"/>
      <c r="D173" s="272" t="s">
        <v>96</v>
      </c>
      <c r="E173" s="19">
        <v>2</v>
      </c>
      <c r="F173" s="19" t="s">
        <v>687</v>
      </c>
      <c r="G173" s="23" t="s">
        <v>688</v>
      </c>
      <c r="H173" s="28" t="s">
        <v>603</v>
      </c>
      <c r="I173" s="288" t="s">
        <v>56</v>
      </c>
      <c r="J173" s="462"/>
      <c r="K173" s="457"/>
      <c r="L173" s="451"/>
    </row>
    <row r="174" spans="1:12" s="263" customFormat="1">
      <c r="A174" s="287"/>
      <c r="B174" s="256">
        <v>172</v>
      </c>
      <c r="C174" s="285"/>
      <c r="D174" s="272" t="s">
        <v>96</v>
      </c>
      <c r="E174" s="19">
        <v>1</v>
      </c>
      <c r="F174" s="19" t="s">
        <v>694</v>
      </c>
      <c r="G174" s="23" t="s">
        <v>693</v>
      </c>
      <c r="H174" s="28" t="s">
        <v>96</v>
      </c>
      <c r="I174" s="288" t="s">
        <v>53</v>
      </c>
      <c r="J174" s="462"/>
      <c r="K174" s="457"/>
      <c r="L174" s="451"/>
    </row>
    <row r="175" spans="1:12" s="263" customFormat="1" ht="38.25">
      <c r="A175" s="287">
        <v>45087</v>
      </c>
      <c r="B175" s="256">
        <v>173</v>
      </c>
      <c r="C175" s="285"/>
      <c r="D175" s="272" t="s">
        <v>96</v>
      </c>
      <c r="E175" s="19">
        <v>2</v>
      </c>
      <c r="F175" s="19" t="s">
        <v>683</v>
      </c>
      <c r="G175" s="23" t="s">
        <v>682</v>
      </c>
      <c r="H175" s="28" t="s">
        <v>681</v>
      </c>
      <c r="I175" s="288" t="s">
        <v>56</v>
      </c>
      <c r="J175" s="462"/>
      <c r="K175" s="457"/>
      <c r="L175" s="451"/>
    </row>
    <row r="176" spans="1:12" s="263" customFormat="1">
      <c r="A176" s="287">
        <v>45103</v>
      </c>
      <c r="B176" s="256">
        <v>174</v>
      </c>
      <c r="C176" s="285"/>
      <c r="D176" s="272" t="s">
        <v>728</v>
      </c>
      <c r="E176" s="19">
        <v>1</v>
      </c>
      <c r="F176" s="19" t="s">
        <v>725</v>
      </c>
      <c r="G176" s="23" t="s">
        <v>726</v>
      </c>
      <c r="H176" s="28" t="s">
        <v>727</v>
      </c>
      <c r="I176" s="288" t="s">
        <v>69</v>
      </c>
      <c r="J176" s="462"/>
      <c r="K176" s="457"/>
      <c r="L176" s="451"/>
    </row>
    <row r="177" spans="1:12" s="263" customFormat="1" ht="25.5">
      <c r="A177" s="287">
        <v>45144</v>
      </c>
      <c r="B177" s="256">
        <v>175</v>
      </c>
      <c r="C177" s="285"/>
      <c r="D177" s="272" t="s">
        <v>600</v>
      </c>
      <c r="E177" s="19">
        <v>3</v>
      </c>
      <c r="F177" s="19" t="s">
        <v>672</v>
      </c>
      <c r="G177" s="23" t="s">
        <v>662</v>
      </c>
      <c r="H177" s="28" t="s">
        <v>644</v>
      </c>
      <c r="I177" s="288" t="s">
        <v>69</v>
      </c>
      <c r="J177" s="462"/>
      <c r="K177" s="457"/>
      <c r="L177" s="451"/>
    </row>
    <row r="178" spans="1:12" s="263" customFormat="1" ht="25.5">
      <c r="A178" s="287">
        <v>45144</v>
      </c>
      <c r="B178" s="256">
        <v>176</v>
      </c>
      <c r="C178" s="285"/>
      <c r="D178" s="272" t="s">
        <v>600</v>
      </c>
      <c r="E178" s="19">
        <v>3</v>
      </c>
      <c r="F178" s="19" t="s">
        <v>673</v>
      </c>
      <c r="G178" s="23" t="s">
        <v>643</v>
      </c>
      <c r="H178" s="28" t="s">
        <v>644</v>
      </c>
      <c r="I178" s="288" t="s">
        <v>69</v>
      </c>
      <c r="J178" s="462"/>
      <c r="K178" s="457"/>
      <c r="L178" s="451"/>
    </row>
    <row r="179" spans="1:12" s="263" customFormat="1" ht="25.5">
      <c r="A179" s="287">
        <v>45144</v>
      </c>
      <c r="B179" s="256">
        <v>177</v>
      </c>
      <c r="C179" s="285"/>
      <c r="D179" s="272" t="s">
        <v>600</v>
      </c>
      <c r="E179" s="19">
        <v>3</v>
      </c>
      <c r="F179" s="19" t="s">
        <v>674</v>
      </c>
      <c r="G179" s="23" t="s">
        <v>601</v>
      </c>
      <c r="H179" s="28" t="s">
        <v>644</v>
      </c>
      <c r="I179" s="288" t="s">
        <v>69</v>
      </c>
      <c r="J179" s="462"/>
      <c r="K179" s="457"/>
      <c r="L179" s="451"/>
    </row>
    <row r="180" spans="1:12" s="263" customFormat="1" ht="25.5">
      <c r="A180" s="287">
        <v>45144</v>
      </c>
      <c r="B180" s="256">
        <v>178</v>
      </c>
      <c r="C180" s="285"/>
      <c r="D180" s="272" t="s">
        <v>600</v>
      </c>
      <c r="E180" s="19">
        <v>3</v>
      </c>
      <c r="F180" s="19" t="s">
        <v>695</v>
      </c>
      <c r="G180" s="23" t="s">
        <v>696</v>
      </c>
      <c r="H180" s="28" t="s">
        <v>644</v>
      </c>
      <c r="I180" s="288" t="s">
        <v>69</v>
      </c>
      <c r="J180" s="462"/>
      <c r="K180" s="457"/>
      <c r="L180" s="451"/>
    </row>
    <row r="181" spans="1:12" s="263" customFormat="1">
      <c r="A181" s="287">
        <v>45092</v>
      </c>
      <c r="B181" s="256">
        <v>179</v>
      </c>
      <c r="C181" s="285" t="s">
        <v>723</v>
      </c>
      <c r="D181" s="272" t="s">
        <v>637</v>
      </c>
      <c r="E181" s="19">
        <v>2</v>
      </c>
      <c r="F181" s="19" t="s">
        <v>721</v>
      </c>
      <c r="G181" s="23" t="s">
        <v>722</v>
      </c>
      <c r="H181" s="28" t="s">
        <v>637</v>
      </c>
      <c r="I181" s="288" t="s">
        <v>69</v>
      </c>
      <c r="J181" s="462"/>
      <c r="K181" s="457"/>
      <c r="L181" s="451" t="s">
        <v>1508</v>
      </c>
    </row>
    <row r="182" spans="1:12" s="263" customFormat="1" ht="25.5">
      <c r="A182" s="272">
        <v>45040</v>
      </c>
      <c r="B182" s="256">
        <v>180</v>
      </c>
      <c r="C182" s="276" t="s">
        <v>660</v>
      </c>
      <c r="D182" s="272" t="s">
        <v>657</v>
      </c>
      <c r="E182" s="278">
        <v>2</v>
      </c>
      <c r="F182" s="252" t="s">
        <v>652</v>
      </c>
      <c r="G182" s="283" t="s">
        <v>653</v>
      </c>
      <c r="H182" s="280" t="s">
        <v>654</v>
      </c>
      <c r="I182" s="288" t="s">
        <v>69</v>
      </c>
      <c r="J182" s="463"/>
      <c r="K182" s="457"/>
      <c r="L182" s="451"/>
    </row>
    <row r="183" spans="1:12" s="263" customFormat="1">
      <c r="A183" s="272">
        <v>45040</v>
      </c>
      <c r="B183" s="256">
        <v>181</v>
      </c>
      <c r="C183" s="282"/>
      <c r="D183" s="272" t="s">
        <v>657</v>
      </c>
      <c r="E183" s="278">
        <v>2</v>
      </c>
      <c r="F183" s="252" t="s">
        <v>655</v>
      </c>
      <c r="G183" s="283" t="s">
        <v>656</v>
      </c>
      <c r="H183" s="280" t="s">
        <v>654</v>
      </c>
      <c r="I183" s="288" t="s">
        <v>69</v>
      </c>
      <c r="J183" s="463"/>
      <c r="K183" s="457"/>
      <c r="L183" s="451"/>
    </row>
    <row r="184" spans="1:12" s="263" customFormat="1" ht="25.5">
      <c r="A184" s="287">
        <v>45092</v>
      </c>
      <c r="B184" s="256">
        <v>182</v>
      </c>
      <c r="C184" s="285"/>
      <c r="D184" s="272" t="s">
        <v>706</v>
      </c>
      <c r="E184" s="19">
        <v>4</v>
      </c>
      <c r="F184" s="19" t="s">
        <v>381</v>
      </c>
      <c r="G184" s="23" t="s">
        <v>135</v>
      </c>
      <c r="H184" s="28" t="s">
        <v>70</v>
      </c>
      <c r="I184" s="288" t="s">
        <v>53</v>
      </c>
      <c r="J184" s="462"/>
      <c r="K184" s="457"/>
      <c r="L184" s="451"/>
    </row>
    <row r="185" spans="1:12" s="263" customFormat="1" ht="25.5">
      <c r="A185" s="287">
        <v>45092</v>
      </c>
      <c r="B185" s="256">
        <v>183</v>
      </c>
      <c r="C185" s="285"/>
      <c r="D185" s="272" t="s">
        <v>706</v>
      </c>
      <c r="E185" s="19">
        <v>4</v>
      </c>
      <c r="F185" s="19" t="s">
        <v>703</v>
      </c>
      <c r="G185" s="23" t="s">
        <v>704</v>
      </c>
      <c r="H185" s="28" t="s">
        <v>705</v>
      </c>
      <c r="I185" s="288" t="s">
        <v>50</v>
      </c>
      <c r="J185" s="462"/>
      <c r="K185" s="457"/>
      <c r="L185" s="451"/>
    </row>
    <row r="186" spans="1:12" s="263" customFormat="1" ht="38.25">
      <c r="A186" s="287">
        <v>45092</v>
      </c>
      <c r="B186" s="256">
        <v>184</v>
      </c>
      <c r="C186" s="285"/>
      <c r="D186" s="272" t="s">
        <v>706</v>
      </c>
      <c r="E186" s="19">
        <v>4</v>
      </c>
      <c r="F186" s="19" t="s">
        <v>707</v>
      </c>
      <c r="G186" s="23" t="s">
        <v>311</v>
      </c>
      <c r="H186" s="28" t="s">
        <v>101</v>
      </c>
      <c r="I186" s="288" t="s">
        <v>53</v>
      </c>
      <c r="J186" s="462"/>
      <c r="K186" s="457"/>
      <c r="L186" s="451"/>
    </row>
    <row r="187" spans="1:12" s="263" customFormat="1" ht="38.25">
      <c r="A187" s="287">
        <v>45092</v>
      </c>
      <c r="B187" s="256">
        <v>185</v>
      </c>
      <c r="C187" s="285"/>
      <c r="D187" s="272" t="s">
        <v>706</v>
      </c>
      <c r="E187" s="19">
        <v>4</v>
      </c>
      <c r="F187" s="19" t="s">
        <v>552</v>
      </c>
      <c r="G187" s="23" t="s">
        <v>553</v>
      </c>
      <c r="H187" s="28" t="s">
        <v>554</v>
      </c>
      <c r="I187" s="288" t="s">
        <v>53</v>
      </c>
      <c r="J187" s="462"/>
      <c r="K187" s="457"/>
      <c r="L187" s="451"/>
    </row>
    <row r="188" spans="1:12" s="263" customFormat="1" ht="38.25">
      <c r="A188" s="287">
        <v>45092</v>
      </c>
      <c r="B188" s="256">
        <v>186</v>
      </c>
      <c r="C188" s="285"/>
      <c r="D188" s="272" t="s">
        <v>706</v>
      </c>
      <c r="E188" s="19">
        <v>4</v>
      </c>
      <c r="F188" s="19" t="s">
        <v>708</v>
      </c>
      <c r="G188" s="23" t="s">
        <v>709</v>
      </c>
      <c r="H188" s="28" t="s">
        <v>101</v>
      </c>
      <c r="I188" s="288" t="s">
        <v>53</v>
      </c>
      <c r="J188" s="462"/>
      <c r="K188" s="457"/>
      <c r="L188" s="451"/>
    </row>
    <row r="189" spans="1:12" s="263" customFormat="1" ht="25.5">
      <c r="A189" s="287">
        <v>45092</v>
      </c>
      <c r="B189" s="256">
        <v>187</v>
      </c>
      <c r="C189" s="285"/>
      <c r="D189" s="272" t="s">
        <v>706</v>
      </c>
      <c r="E189" s="19">
        <v>4</v>
      </c>
      <c r="F189" s="19" t="s">
        <v>291</v>
      </c>
      <c r="G189" s="23" t="s">
        <v>74</v>
      </c>
      <c r="H189" s="28" t="s">
        <v>70</v>
      </c>
      <c r="I189" s="288" t="s">
        <v>75</v>
      </c>
      <c r="J189" s="462"/>
      <c r="K189" s="457"/>
      <c r="L189" s="451"/>
    </row>
    <row r="190" spans="1:12" s="263" customFormat="1" ht="38.25">
      <c r="A190" s="287">
        <v>45092</v>
      </c>
      <c r="B190" s="256">
        <v>188</v>
      </c>
      <c r="C190" s="285"/>
      <c r="D190" s="272" t="s">
        <v>706</v>
      </c>
      <c r="E190" s="19">
        <v>4</v>
      </c>
      <c r="F190" s="19" t="s">
        <v>710</v>
      </c>
      <c r="G190" s="23" t="s">
        <v>119</v>
      </c>
      <c r="H190" s="28" t="s">
        <v>101</v>
      </c>
      <c r="I190" s="288" t="s">
        <v>53</v>
      </c>
      <c r="J190" s="462"/>
      <c r="K190" s="457"/>
      <c r="L190" s="451"/>
    </row>
    <row r="191" spans="1:12" s="263" customFormat="1" ht="38.25">
      <c r="A191" s="287">
        <v>45092</v>
      </c>
      <c r="B191" s="256">
        <v>189</v>
      </c>
      <c r="C191" s="285"/>
      <c r="D191" s="272" t="s">
        <v>706</v>
      </c>
      <c r="E191" s="19">
        <v>4</v>
      </c>
      <c r="F191" s="19" t="s">
        <v>711</v>
      </c>
      <c r="G191" s="23" t="s">
        <v>100</v>
      </c>
      <c r="H191" s="28" t="s">
        <v>101</v>
      </c>
      <c r="I191" s="288" t="s">
        <v>53</v>
      </c>
      <c r="J191" s="462"/>
      <c r="K191" s="457"/>
      <c r="L191" s="451"/>
    </row>
    <row r="192" spans="1:12" s="263" customFormat="1">
      <c r="A192" s="287">
        <v>45117</v>
      </c>
      <c r="B192" s="256">
        <v>190</v>
      </c>
      <c r="C192" s="285"/>
      <c r="D192" s="272" t="s">
        <v>641</v>
      </c>
      <c r="E192" s="19">
        <v>1</v>
      </c>
      <c r="F192" s="19" t="s">
        <v>752</v>
      </c>
      <c r="G192" s="23" t="s">
        <v>751</v>
      </c>
      <c r="H192" s="28" t="s">
        <v>736</v>
      </c>
      <c r="I192" s="288" t="s">
        <v>642</v>
      </c>
      <c r="J192" s="462"/>
      <c r="K192" s="457"/>
      <c r="L192" s="451"/>
    </row>
    <row r="193" spans="1:12" s="263" customFormat="1" ht="38.25">
      <c r="A193" s="287"/>
      <c r="B193" s="256">
        <v>191</v>
      </c>
      <c r="C193" s="285" t="s">
        <v>667</v>
      </c>
      <c r="D193" s="272" t="s">
        <v>96</v>
      </c>
      <c r="E193" s="19">
        <v>1</v>
      </c>
      <c r="F193" s="19" t="s">
        <v>587</v>
      </c>
      <c r="G193" s="23" t="s">
        <v>588</v>
      </c>
      <c r="H193" s="28" t="s">
        <v>133</v>
      </c>
      <c r="I193" s="288" t="s">
        <v>56</v>
      </c>
      <c r="J193" s="462" t="s">
        <v>668</v>
      </c>
      <c r="K193" s="457"/>
      <c r="L193" s="451"/>
    </row>
    <row r="194" spans="1:12" s="263" customFormat="1">
      <c r="A194" s="287">
        <v>45104</v>
      </c>
      <c r="B194" s="256">
        <v>192</v>
      </c>
      <c r="C194" s="285" t="s">
        <v>733</v>
      </c>
      <c r="D194" s="272" t="s">
        <v>732</v>
      </c>
      <c r="E194" s="19">
        <v>4</v>
      </c>
      <c r="F194" s="19" t="s">
        <v>729</v>
      </c>
      <c r="G194" s="23" t="s">
        <v>730</v>
      </c>
      <c r="H194" s="28" t="s">
        <v>734</v>
      </c>
      <c r="I194" s="288" t="s">
        <v>731</v>
      </c>
      <c r="J194" s="462"/>
      <c r="K194" s="457"/>
      <c r="L194" s="451" t="s">
        <v>1508</v>
      </c>
    </row>
    <row r="195" spans="1:12" ht="15.75">
      <c r="A195" s="289"/>
      <c r="B195" s="256">
        <v>193</v>
      </c>
      <c r="C195" s="289"/>
      <c r="D195" s="272" t="s">
        <v>96</v>
      </c>
      <c r="E195" s="19">
        <v>2</v>
      </c>
      <c r="F195" s="281" t="s">
        <v>1061</v>
      </c>
      <c r="G195" s="290" t="s">
        <v>1062</v>
      </c>
      <c r="H195" s="280" t="s">
        <v>59</v>
      </c>
      <c r="I195" s="51" t="s">
        <v>724</v>
      </c>
      <c r="J195" s="464"/>
      <c r="K195" s="465"/>
      <c r="L195" s="465"/>
    </row>
    <row r="196" spans="1:12" s="93" customFormat="1" ht="30.75" customHeight="1">
      <c r="A196" s="132">
        <v>45107</v>
      </c>
      <c r="B196" s="256">
        <v>194</v>
      </c>
      <c r="C196" s="138" t="s">
        <v>539</v>
      </c>
      <c r="D196" s="146" t="s">
        <v>749</v>
      </c>
      <c r="E196" s="133">
        <v>2</v>
      </c>
      <c r="F196" s="133" t="s">
        <v>352</v>
      </c>
      <c r="G196" s="134" t="s">
        <v>735</v>
      </c>
      <c r="H196" s="135" t="s">
        <v>415</v>
      </c>
      <c r="I196" s="136" t="s">
        <v>731</v>
      </c>
      <c r="J196" s="466"/>
      <c r="K196" s="467"/>
      <c r="L196" s="468"/>
    </row>
    <row r="197" spans="1:12" s="93" customFormat="1" ht="30.75" customHeight="1">
      <c r="A197" s="291">
        <v>45097</v>
      </c>
      <c r="B197" s="256">
        <v>195</v>
      </c>
      <c r="C197" s="138"/>
      <c r="D197" s="146" t="s">
        <v>96</v>
      </c>
      <c r="E197" s="133">
        <v>2</v>
      </c>
      <c r="F197" s="133" t="s">
        <v>1073</v>
      </c>
      <c r="G197" s="134" t="s">
        <v>826</v>
      </c>
      <c r="H197" s="135" t="s">
        <v>121</v>
      </c>
      <c r="I197" s="136" t="s">
        <v>56</v>
      </c>
      <c r="J197" s="466"/>
      <c r="K197" s="467"/>
      <c r="L197" s="468"/>
    </row>
    <row r="198" spans="1:12" s="93" customFormat="1" ht="30.75" customHeight="1">
      <c r="A198" s="291">
        <v>45097</v>
      </c>
      <c r="B198" s="256">
        <v>196</v>
      </c>
      <c r="C198" s="138"/>
      <c r="D198" s="146" t="s">
        <v>96</v>
      </c>
      <c r="E198" s="133">
        <v>2</v>
      </c>
      <c r="F198" s="133" t="s">
        <v>587</v>
      </c>
      <c r="G198" s="134" t="s">
        <v>588</v>
      </c>
      <c r="H198" s="135" t="s">
        <v>133</v>
      </c>
      <c r="I198" s="136" t="s">
        <v>56</v>
      </c>
      <c r="J198" s="466"/>
      <c r="K198" s="467"/>
      <c r="L198" s="468"/>
    </row>
    <row r="199" spans="1:12" s="93" customFormat="1" ht="30.75" customHeight="1">
      <c r="A199" s="291">
        <v>45110</v>
      </c>
      <c r="B199" s="256">
        <v>197</v>
      </c>
      <c r="C199" s="138"/>
      <c r="D199" s="146" t="s">
        <v>96</v>
      </c>
      <c r="E199" s="133">
        <v>2</v>
      </c>
      <c r="F199" s="133" t="s">
        <v>744</v>
      </c>
      <c r="G199" s="134" t="s">
        <v>745</v>
      </c>
      <c r="H199" s="135" t="s">
        <v>59</v>
      </c>
      <c r="I199" s="136" t="s">
        <v>159</v>
      </c>
      <c r="J199" s="466"/>
      <c r="K199" s="467"/>
      <c r="L199" s="468"/>
    </row>
    <row r="200" spans="1:12" s="93" customFormat="1" ht="30.75" customHeight="1">
      <c r="A200" s="291">
        <v>45127</v>
      </c>
      <c r="B200" s="256">
        <v>198</v>
      </c>
      <c r="C200" s="138"/>
      <c r="D200" s="146" t="s">
        <v>328</v>
      </c>
      <c r="E200" s="133">
        <v>2</v>
      </c>
      <c r="F200" s="133" t="s">
        <v>968</v>
      </c>
      <c r="G200" s="134" t="s">
        <v>1051</v>
      </c>
      <c r="H200" s="135" t="s">
        <v>755</v>
      </c>
      <c r="I200" s="136" t="s">
        <v>549</v>
      </c>
      <c r="J200" s="466"/>
      <c r="K200" s="467"/>
      <c r="L200" s="468"/>
    </row>
    <row r="201" spans="1:12" s="93" customFormat="1" ht="30.75" customHeight="1">
      <c r="A201" s="291">
        <v>45132</v>
      </c>
      <c r="B201" s="256">
        <v>199</v>
      </c>
      <c r="C201" s="138"/>
      <c r="D201" s="146" t="s">
        <v>1148</v>
      </c>
      <c r="E201" s="133">
        <v>3</v>
      </c>
      <c r="F201" s="133" t="s">
        <v>1045</v>
      </c>
      <c r="G201" s="134" t="s">
        <v>1046</v>
      </c>
      <c r="H201" s="135" t="s">
        <v>1047</v>
      </c>
      <c r="I201" s="136" t="s">
        <v>1048</v>
      </c>
      <c r="J201" s="466"/>
      <c r="K201" s="467"/>
      <c r="L201" s="468" t="s">
        <v>1508</v>
      </c>
    </row>
    <row r="202" spans="1:12" s="93" customFormat="1" ht="30.75" customHeight="1">
      <c r="A202" s="291">
        <v>45132</v>
      </c>
      <c r="B202" s="256">
        <v>200</v>
      </c>
      <c r="C202" s="138"/>
      <c r="D202" s="146" t="s">
        <v>1148</v>
      </c>
      <c r="E202" s="133">
        <v>3</v>
      </c>
      <c r="F202" s="133" t="s">
        <v>1045</v>
      </c>
      <c r="G202" s="134" t="s">
        <v>1046</v>
      </c>
      <c r="H202" s="135" t="s">
        <v>1049</v>
      </c>
      <c r="I202" s="136" t="s">
        <v>1048</v>
      </c>
      <c r="J202" s="466"/>
      <c r="K202" s="467"/>
      <c r="L202" s="468" t="s">
        <v>1508</v>
      </c>
    </row>
    <row r="203" spans="1:12" s="93" customFormat="1" ht="30.75" customHeight="1">
      <c r="A203" s="291">
        <v>45154</v>
      </c>
      <c r="B203" s="256">
        <v>201</v>
      </c>
      <c r="C203" s="138"/>
      <c r="D203" s="146" t="s">
        <v>1089</v>
      </c>
      <c r="E203" s="133">
        <v>2</v>
      </c>
      <c r="F203" s="133" t="s">
        <v>799</v>
      </c>
      <c r="G203" s="134" t="s">
        <v>82</v>
      </c>
      <c r="H203" s="135" t="s">
        <v>1088</v>
      </c>
      <c r="I203" s="136" t="s">
        <v>143</v>
      </c>
      <c r="J203" s="466"/>
      <c r="K203" s="467"/>
      <c r="L203" s="468"/>
    </row>
    <row r="204" spans="1:12" s="93" customFormat="1" ht="38.25" customHeight="1">
      <c r="A204" s="291">
        <v>45110</v>
      </c>
      <c r="B204" s="256">
        <v>202</v>
      </c>
      <c r="C204" s="138"/>
      <c r="D204" s="146" t="s">
        <v>96</v>
      </c>
      <c r="E204" s="133">
        <v>2</v>
      </c>
      <c r="F204" s="133" t="s">
        <v>737</v>
      </c>
      <c r="G204" s="134" t="s">
        <v>738</v>
      </c>
      <c r="H204" s="135" t="s">
        <v>639</v>
      </c>
      <c r="I204" s="136" t="s">
        <v>724</v>
      </c>
      <c r="J204" s="466"/>
      <c r="K204" s="467"/>
      <c r="L204" s="468"/>
    </row>
    <row r="205" spans="1:12" s="93" customFormat="1" ht="38.25" customHeight="1">
      <c r="A205" s="291">
        <v>45110</v>
      </c>
      <c r="B205" s="256">
        <v>203</v>
      </c>
      <c r="C205" s="138"/>
      <c r="D205" s="146" t="s">
        <v>96</v>
      </c>
      <c r="E205" s="133">
        <v>2</v>
      </c>
      <c r="F205" s="133" t="s">
        <v>739</v>
      </c>
      <c r="G205" s="134" t="s">
        <v>740</v>
      </c>
      <c r="H205" s="135" t="s">
        <v>269</v>
      </c>
      <c r="I205" s="136" t="s">
        <v>71</v>
      </c>
      <c r="J205" s="466"/>
      <c r="K205" s="467"/>
      <c r="L205" s="468"/>
    </row>
    <row r="206" spans="1:12" s="93" customFormat="1" ht="38.25" customHeight="1">
      <c r="A206" s="291">
        <v>45176</v>
      </c>
      <c r="B206" s="256">
        <v>204</v>
      </c>
      <c r="C206" s="138" t="s">
        <v>1176</v>
      </c>
      <c r="D206" s="146" t="s">
        <v>96</v>
      </c>
      <c r="E206" s="133">
        <v>1</v>
      </c>
      <c r="F206" s="133" t="s">
        <v>289</v>
      </c>
      <c r="G206" s="134" t="s">
        <v>290</v>
      </c>
      <c r="H206" s="135" t="s">
        <v>121</v>
      </c>
      <c r="I206" s="136" t="s">
        <v>56</v>
      </c>
      <c r="J206" s="466"/>
      <c r="K206" s="467"/>
      <c r="L206" s="468"/>
    </row>
    <row r="207" spans="1:12" s="93" customFormat="1" ht="38.25" customHeight="1">
      <c r="A207" s="291">
        <v>45176</v>
      </c>
      <c r="B207" s="256">
        <v>205</v>
      </c>
      <c r="C207" s="138" t="s">
        <v>1176</v>
      </c>
      <c r="D207" s="146" t="s">
        <v>96</v>
      </c>
      <c r="E207" s="133">
        <v>2</v>
      </c>
      <c r="F207" s="133" t="s">
        <v>1173</v>
      </c>
      <c r="G207" s="134" t="s">
        <v>67</v>
      </c>
      <c r="H207" s="135" t="s">
        <v>757</v>
      </c>
      <c r="I207" s="136" t="s">
        <v>56</v>
      </c>
      <c r="J207" s="466"/>
      <c r="K207" s="467"/>
      <c r="L207" s="468"/>
    </row>
    <row r="208" spans="1:12" s="93" customFormat="1" ht="38.25" customHeight="1">
      <c r="A208" s="291">
        <v>45110</v>
      </c>
      <c r="B208" s="256">
        <v>206</v>
      </c>
      <c r="C208" s="138"/>
      <c r="D208" s="146" t="s">
        <v>96</v>
      </c>
      <c r="E208" s="133">
        <v>2</v>
      </c>
      <c r="F208" s="133" t="s">
        <v>741</v>
      </c>
      <c r="G208" s="134" t="s">
        <v>742</v>
      </c>
      <c r="H208" s="135" t="s">
        <v>743</v>
      </c>
      <c r="I208" s="136" t="s">
        <v>724</v>
      </c>
      <c r="J208" s="466"/>
      <c r="K208" s="467"/>
      <c r="L208" s="468"/>
    </row>
    <row r="209" spans="1:12" s="93" customFormat="1" ht="38.25" customHeight="1">
      <c r="A209" s="291">
        <v>45134</v>
      </c>
      <c r="B209" s="256">
        <v>207</v>
      </c>
      <c r="C209" s="138" t="s">
        <v>1060</v>
      </c>
      <c r="D209" s="146" t="s">
        <v>197</v>
      </c>
      <c r="E209" s="133">
        <v>2</v>
      </c>
      <c r="F209" s="133" t="s">
        <v>1052</v>
      </c>
      <c r="G209" s="134" t="s">
        <v>1053</v>
      </c>
      <c r="H209" s="135" t="s">
        <v>1054</v>
      </c>
      <c r="I209" s="136" t="s">
        <v>1055</v>
      </c>
      <c r="J209" s="466"/>
      <c r="K209" s="467"/>
      <c r="L209" s="468"/>
    </row>
    <row r="210" spans="1:12" s="93" customFormat="1" ht="38.25" customHeight="1">
      <c r="A210" s="291">
        <v>45134</v>
      </c>
      <c r="B210" s="256">
        <v>208</v>
      </c>
      <c r="C210" s="138" t="s">
        <v>1060</v>
      </c>
      <c r="D210" s="146" t="s">
        <v>197</v>
      </c>
      <c r="E210" s="133">
        <v>2</v>
      </c>
      <c r="F210" s="133" t="s">
        <v>1056</v>
      </c>
      <c r="G210" s="134" t="s">
        <v>1057</v>
      </c>
      <c r="H210" s="135" t="s">
        <v>1054</v>
      </c>
      <c r="I210" s="136" t="s">
        <v>1055</v>
      </c>
      <c r="J210" s="466"/>
      <c r="K210" s="467"/>
      <c r="L210" s="468"/>
    </row>
    <row r="211" spans="1:12" s="93" customFormat="1" ht="38.25" customHeight="1">
      <c r="A211" s="291">
        <v>45134</v>
      </c>
      <c r="B211" s="256">
        <v>209</v>
      </c>
      <c r="C211" s="138" t="s">
        <v>1060</v>
      </c>
      <c r="D211" s="146" t="s">
        <v>197</v>
      </c>
      <c r="E211" s="133">
        <v>2</v>
      </c>
      <c r="F211" s="133" t="s">
        <v>1058</v>
      </c>
      <c r="G211" s="134" t="s">
        <v>1059</v>
      </c>
      <c r="H211" s="135" t="s">
        <v>1054</v>
      </c>
      <c r="I211" s="136" t="s">
        <v>1055</v>
      </c>
      <c r="J211" s="466"/>
      <c r="K211" s="467"/>
      <c r="L211" s="468"/>
    </row>
    <row r="212" spans="1:12" s="93" customFormat="1" ht="38.25" customHeight="1">
      <c r="A212" s="291">
        <v>45110</v>
      </c>
      <c r="B212" s="256">
        <v>210</v>
      </c>
      <c r="C212" s="138"/>
      <c r="D212" s="146" t="s">
        <v>96</v>
      </c>
      <c r="E212" s="133">
        <v>2</v>
      </c>
      <c r="F212" s="133" t="s">
        <v>746</v>
      </c>
      <c r="G212" s="134" t="s">
        <v>747</v>
      </c>
      <c r="H212" s="135" t="s">
        <v>603</v>
      </c>
      <c r="I212" s="136" t="s">
        <v>748</v>
      </c>
      <c r="J212" s="466"/>
      <c r="K212" s="467"/>
      <c r="L212" s="468"/>
    </row>
    <row r="213" spans="1:12" s="93" customFormat="1" ht="38.25" customHeight="1">
      <c r="A213" s="291">
        <v>45175</v>
      </c>
      <c r="B213" s="256">
        <v>211</v>
      </c>
      <c r="C213" s="138"/>
      <c r="D213" s="146" t="s">
        <v>1175</v>
      </c>
      <c r="E213" s="133">
        <v>2</v>
      </c>
      <c r="F213" s="133" t="s">
        <v>729</v>
      </c>
      <c r="G213" s="134" t="s">
        <v>730</v>
      </c>
      <c r="H213" s="135" t="s">
        <v>1174</v>
      </c>
      <c r="I213" s="136" t="s">
        <v>731</v>
      </c>
      <c r="J213" s="466"/>
      <c r="K213" s="467"/>
      <c r="L213" s="451" t="s">
        <v>1508</v>
      </c>
    </row>
    <row r="214" spans="1:12" s="93" customFormat="1" ht="38.25" customHeight="1">
      <c r="A214" s="291">
        <v>45176</v>
      </c>
      <c r="B214" s="256">
        <v>212</v>
      </c>
      <c r="C214" s="138"/>
      <c r="D214" s="146" t="s">
        <v>96</v>
      </c>
      <c r="E214" s="133">
        <v>2</v>
      </c>
      <c r="F214" s="133" t="s">
        <v>1177</v>
      </c>
      <c r="G214" s="134" t="s">
        <v>304</v>
      </c>
      <c r="H214" s="135" t="s">
        <v>603</v>
      </c>
      <c r="I214" s="136" t="s">
        <v>56</v>
      </c>
      <c r="J214" s="466"/>
      <c r="K214" s="467"/>
      <c r="L214" s="468"/>
    </row>
    <row r="215" spans="1:12" s="93" customFormat="1" ht="38.25" customHeight="1">
      <c r="A215" s="291">
        <v>45141</v>
      </c>
      <c r="B215" s="256">
        <v>213</v>
      </c>
      <c r="C215" s="138"/>
      <c r="D215" s="146" t="s">
        <v>96</v>
      </c>
      <c r="E215" s="133">
        <v>2</v>
      </c>
      <c r="F215" s="133" t="s">
        <v>1063</v>
      </c>
      <c r="G215" s="134" t="s">
        <v>294</v>
      </c>
      <c r="H215" s="135" t="s">
        <v>295</v>
      </c>
      <c r="I215" s="136" t="s">
        <v>1064</v>
      </c>
      <c r="J215" s="466"/>
      <c r="K215" s="467"/>
      <c r="L215" s="468"/>
    </row>
    <row r="216" spans="1:12" s="93" customFormat="1" ht="38.25" customHeight="1">
      <c r="A216" s="291">
        <v>45187</v>
      </c>
      <c r="B216" s="256">
        <v>214</v>
      </c>
      <c r="C216" s="138"/>
      <c r="D216" s="146" t="s">
        <v>96</v>
      </c>
      <c r="E216" s="133">
        <v>2</v>
      </c>
      <c r="F216" s="133" t="s">
        <v>1186</v>
      </c>
      <c r="G216" s="134" t="s">
        <v>1185</v>
      </c>
      <c r="H216" s="135" t="s">
        <v>59</v>
      </c>
      <c r="I216" s="136" t="s">
        <v>1184</v>
      </c>
      <c r="J216" s="466"/>
      <c r="K216" s="467"/>
      <c r="L216" s="468"/>
    </row>
    <row r="217" spans="1:12" s="93" customFormat="1" ht="38.25" customHeight="1">
      <c r="A217" s="291">
        <v>45187</v>
      </c>
      <c r="B217" s="256">
        <v>215</v>
      </c>
      <c r="C217" s="138"/>
      <c r="D217" s="146" t="s">
        <v>96</v>
      </c>
      <c r="E217" s="133">
        <v>2</v>
      </c>
      <c r="F217" s="133" t="s">
        <v>1181</v>
      </c>
      <c r="G217" s="134" t="s">
        <v>1180</v>
      </c>
      <c r="H217" s="135" t="s">
        <v>59</v>
      </c>
      <c r="I217" s="136" t="s">
        <v>56</v>
      </c>
      <c r="J217" s="466"/>
      <c r="K217" s="467"/>
      <c r="L217" s="468"/>
    </row>
    <row r="218" spans="1:12" s="93" customFormat="1" ht="38.25" customHeight="1">
      <c r="A218" s="291">
        <v>45187</v>
      </c>
      <c r="B218" s="256">
        <v>216</v>
      </c>
      <c r="C218" s="138"/>
      <c r="D218" s="146" t="s">
        <v>96</v>
      </c>
      <c r="E218" s="133">
        <v>2</v>
      </c>
      <c r="F218" s="133" t="s">
        <v>1183</v>
      </c>
      <c r="G218" s="134" t="s">
        <v>1182</v>
      </c>
      <c r="H218" s="135" t="s">
        <v>59</v>
      </c>
      <c r="I218" s="136" t="s">
        <v>56</v>
      </c>
      <c r="J218" s="466"/>
      <c r="K218" s="467"/>
      <c r="L218" s="468"/>
    </row>
    <row r="219" spans="1:12" s="93" customFormat="1" ht="38.25" customHeight="1">
      <c r="A219" s="291">
        <v>45142</v>
      </c>
      <c r="B219" s="256">
        <v>217</v>
      </c>
      <c r="C219" s="138"/>
      <c r="D219" s="146" t="s">
        <v>96</v>
      </c>
      <c r="E219" s="133">
        <v>2</v>
      </c>
      <c r="F219" s="133" t="s">
        <v>1065</v>
      </c>
      <c r="G219" s="134" t="s">
        <v>282</v>
      </c>
      <c r="H219" s="135" t="s">
        <v>59</v>
      </c>
      <c r="I219" s="136" t="s">
        <v>53</v>
      </c>
      <c r="J219" s="469"/>
      <c r="K219" s="470"/>
      <c r="L219" s="467"/>
    </row>
    <row r="220" spans="1:12" s="93" customFormat="1" ht="38.25" customHeight="1">
      <c r="A220" s="291">
        <v>45142</v>
      </c>
      <c r="B220" s="256">
        <v>218</v>
      </c>
      <c r="C220" s="138"/>
      <c r="D220" s="146" t="s">
        <v>96</v>
      </c>
      <c r="E220" s="133">
        <v>2</v>
      </c>
      <c r="F220" s="133" t="s">
        <v>1066</v>
      </c>
      <c r="G220" s="134" t="s">
        <v>284</v>
      </c>
      <c r="H220" s="135" t="s">
        <v>59</v>
      </c>
      <c r="I220" s="136" t="s">
        <v>53</v>
      </c>
      <c r="J220" s="469"/>
      <c r="K220" s="470"/>
      <c r="L220" s="467"/>
    </row>
    <row r="221" spans="1:12" s="93" customFormat="1" ht="38.25" customHeight="1">
      <c r="A221" s="291">
        <v>45142</v>
      </c>
      <c r="B221" s="256">
        <v>219</v>
      </c>
      <c r="C221" s="138"/>
      <c r="D221" s="146" t="s">
        <v>96</v>
      </c>
      <c r="E221" s="133">
        <v>2</v>
      </c>
      <c r="F221" s="133" t="s">
        <v>285</v>
      </c>
      <c r="G221" s="134" t="s">
        <v>286</v>
      </c>
      <c r="H221" s="135" t="s">
        <v>59</v>
      </c>
      <c r="I221" s="136" t="s">
        <v>53</v>
      </c>
      <c r="J221" s="469"/>
      <c r="K221" s="470"/>
      <c r="L221" s="467"/>
    </row>
    <row r="222" spans="1:12" s="93" customFormat="1" ht="38.25" customHeight="1">
      <c r="A222" s="291">
        <v>45190</v>
      </c>
      <c r="B222" s="256">
        <v>220</v>
      </c>
      <c r="C222" s="138"/>
      <c r="D222" s="146" t="s">
        <v>1195</v>
      </c>
      <c r="E222" s="133">
        <v>2</v>
      </c>
      <c r="F222" s="133" t="s">
        <v>1192</v>
      </c>
      <c r="G222" s="134" t="s">
        <v>1193</v>
      </c>
      <c r="H222" s="135" t="s">
        <v>1194</v>
      </c>
      <c r="I222" s="136" t="s">
        <v>549</v>
      </c>
      <c r="J222" s="469"/>
      <c r="K222" s="470"/>
      <c r="L222" s="468" t="s">
        <v>1508</v>
      </c>
    </row>
    <row r="223" spans="1:12" s="93" customFormat="1" ht="38.25" customHeight="1">
      <c r="A223" s="291">
        <v>45202</v>
      </c>
      <c r="B223" s="256">
        <v>221</v>
      </c>
      <c r="C223" s="138"/>
      <c r="D223" s="146" t="s">
        <v>302</v>
      </c>
      <c r="E223" s="133">
        <v>2</v>
      </c>
      <c r="F223" s="133" t="s">
        <v>1056</v>
      </c>
      <c r="G223" s="134" t="s">
        <v>1057</v>
      </c>
      <c r="H223" s="135" t="s">
        <v>1054</v>
      </c>
      <c r="I223" s="136" t="s">
        <v>1055</v>
      </c>
      <c r="J223" s="469"/>
      <c r="K223" s="470" t="s">
        <v>1507</v>
      </c>
      <c r="L223" s="467"/>
    </row>
    <row r="224" spans="1:12" s="93" customFormat="1" ht="38.25" customHeight="1">
      <c r="A224" s="291">
        <v>45202</v>
      </c>
      <c r="B224" s="256">
        <v>222</v>
      </c>
      <c r="C224" s="138"/>
      <c r="D224" s="146" t="s">
        <v>302</v>
      </c>
      <c r="E224" s="133">
        <v>2</v>
      </c>
      <c r="F224" s="133" t="s">
        <v>1058</v>
      </c>
      <c r="G224" s="134" t="s">
        <v>1059</v>
      </c>
      <c r="H224" s="135" t="s">
        <v>1054</v>
      </c>
      <c r="I224" s="136" t="s">
        <v>1055</v>
      </c>
      <c r="J224" s="469"/>
      <c r="K224" s="470" t="s">
        <v>1507</v>
      </c>
      <c r="L224" s="467"/>
    </row>
    <row r="225" spans="1:12" s="93" customFormat="1" ht="38.25" customHeight="1">
      <c r="A225" s="291">
        <v>45185</v>
      </c>
      <c r="B225" s="256">
        <v>223</v>
      </c>
      <c r="C225" s="138"/>
      <c r="D225" s="146" t="s">
        <v>96</v>
      </c>
      <c r="E225" s="133">
        <v>2</v>
      </c>
      <c r="F225" s="133" t="s">
        <v>1188</v>
      </c>
      <c r="G225" s="134" t="s">
        <v>429</v>
      </c>
      <c r="H225" s="135" t="s">
        <v>59</v>
      </c>
      <c r="I225" s="136" t="s">
        <v>56</v>
      </c>
      <c r="J225" s="469">
        <v>45228</v>
      </c>
      <c r="K225" s="470" t="s">
        <v>1507</v>
      </c>
      <c r="L225" s="467"/>
    </row>
    <row r="226" spans="1:12" s="93" customFormat="1" ht="38.25" customHeight="1">
      <c r="A226" s="291">
        <v>45178</v>
      </c>
      <c r="B226" s="256">
        <v>224</v>
      </c>
      <c r="C226" s="138"/>
      <c r="D226" s="146" t="s">
        <v>96</v>
      </c>
      <c r="E226" s="133">
        <v>1</v>
      </c>
      <c r="F226" s="133" t="s">
        <v>1178</v>
      </c>
      <c r="G226" s="134" t="s">
        <v>1179</v>
      </c>
      <c r="H226" s="135" t="s">
        <v>716</v>
      </c>
      <c r="I226" s="136" t="s">
        <v>53</v>
      </c>
      <c r="J226" s="469">
        <v>45219</v>
      </c>
      <c r="K226" s="470"/>
      <c r="L226" s="467"/>
    </row>
    <row r="227" spans="1:12" s="93" customFormat="1" ht="30">
      <c r="A227" s="291">
        <v>45191</v>
      </c>
      <c r="B227" s="256">
        <v>225</v>
      </c>
      <c r="C227" s="138"/>
      <c r="D227" s="146" t="s">
        <v>96</v>
      </c>
      <c r="E227" s="133">
        <v>2</v>
      </c>
      <c r="F227" s="133" t="s">
        <v>1197</v>
      </c>
      <c r="G227" s="134" t="s">
        <v>273</v>
      </c>
      <c r="H227" s="135" t="s">
        <v>1198</v>
      </c>
      <c r="I227" s="136" t="s">
        <v>56</v>
      </c>
      <c r="J227" s="469">
        <v>45223</v>
      </c>
      <c r="K227" s="470"/>
      <c r="L227" s="467"/>
    </row>
    <row r="228" spans="1:12" s="93" customFormat="1" ht="38.25" customHeight="1">
      <c r="A228" s="291">
        <v>45208</v>
      </c>
      <c r="B228" s="256">
        <v>226</v>
      </c>
      <c r="C228" s="138" t="s">
        <v>1213</v>
      </c>
      <c r="D228" s="146" t="s">
        <v>96</v>
      </c>
      <c r="E228" s="133">
        <v>2</v>
      </c>
      <c r="F228" s="133" t="s">
        <v>1186</v>
      </c>
      <c r="G228" s="134" t="s">
        <v>1185</v>
      </c>
      <c r="H228" s="135" t="s">
        <v>59</v>
      </c>
      <c r="I228" s="136" t="s">
        <v>1184</v>
      </c>
      <c r="J228" s="469">
        <v>45223</v>
      </c>
      <c r="K228" s="470"/>
      <c r="L228" s="467"/>
    </row>
    <row r="229" spans="1:12" s="93" customFormat="1" ht="38.25" customHeight="1">
      <c r="A229" s="291">
        <v>45218</v>
      </c>
      <c r="B229" s="256">
        <v>227</v>
      </c>
      <c r="C229" s="138"/>
      <c r="D229" s="146" t="s">
        <v>1148</v>
      </c>
      <c r="E229" s="133">
        <v>3</v>
      </c>
      <c r="F229" s="133" t="s">
        <v>1204</v>
      </c>
      <c r="G229" s="134" t="s">
        <v>1203</v>
      </c>
      <c r="H229" s="135" t="s">
        <v>97</v>
      </c>
      <c r="I229" s="136" t="s">
        <v>1226</v>
      </c>
      <c r="J229" s="471">
        <v>45230</v>
      </c>
      <c r="K229" s="470" t="s">
        <v>1507</v>
      </c>
      <c r="L229" s="467"/>
    </row>
    <row r="230" spans="1:12" s="93" customFormat="1" ht="38.25" customHeight="1">
      <c r="A230" s="291">
        <v>45218</v>
      </c>
      <c r="B230" s="256">
        <v>228</v>
      </c>
      <c r="C230" s="138"/>
      <c r="D230" s="146" t="s">
        <v>1148</v>
      </c>
      <c r="E230" s="133">
        <v>4</v>
      </c>
      <c r="F230" s="133" t="s">
        <v>1205</v>
      </c>
      <c r="G230" s="134" t="s">
        <v>1203</v>
      </c>
      <c r="H230" s="135" t="s">
        <v>97</v>
      </c>
      <c r="I230" s="136" t="s">
        <v>1227</v>
      </c>
      <c r="J230" s="471">
        <v>45230</v>
      </c>
      <c r="K230" s="470" t="s">
        <v>1507</v>
      </c>
      <c r="L230" s="467"/>
    </row>
    <row r="231" spans="1:12" s="93" customFormat="1" ht="38.25" customHeight="1">
      <c r="A231" s="291">
        <v>45218</v>
      </c>
      <c r="B231" s="256">
        <v>229</v>
      </c>
      <c r="C231" s="138"/>
      <c r="D231" s="146" t="s">
        <v>1148</v>
      </c>
      <c r="E231" s="133">
        <v>1</v>
      </c>
      <c r="F231" s="133" t="s">
        <v>1229</v>
      </c>
      <c r="G231" s="134" t="s">
        <v>1230</v>
      </c>
      <c r="H231" s="135" t="s">
        <v>97</v>
      </c>
      <c r="I231" s="136" t="s">
        <v>143</v>
      </c>
      <c r="J231" s="471">
        <v>45230</v>
      </c>
      <c r="K231" s="470"/>
      <c r="L231" s="467"/>
    </row>
    <row r="232" spans="1:12" s="93" customFormat="1" ht="38.25" customHeight="1">
      <c r="A232" s="291">
        <v>45191</v>
      </c>
      <c r="B232" s="256">
        <v>230</v>
      </c>
      <c r="C232" s="138"/>
      <c r="D232" s="146" t="s">
        <v>96</v>
      </c>
      <c r="E232" s="133">
        <v>2</v>
      </c>
      <c r="F232" s="133" t="s">
        <v>1199</v>
      </c>
      <c r="G232" s="134" t="s">
        <v>1200</v>
      </c>
      <c r="H232" s="135" t="s">
        <v>1201</v>
      </c>
      <c r="I232" s="136" t="s">
        <v>350</v>
      </c>
      <c r="J232" s="471">
        <v>45234</v>
      </c>
      <c r="K232" s="470"/>
      <c r="L232" s="467"/>
    </row>
    <row r="233" spans="1:12" s="93" customFormat="1" ht="38.25" customHeight="1">
      <c r="A233" s="291">
        <v>45198</v>
      </c>
      <c r="B233" s="256">
        <v>231</v>
      </c>
      <c r="C233" s="138"/>
      <c r="D233" s="146" t="s">
        <v>96</v>
      </c>
      <c r="E233" s="133">
        <v>2</v>
      </c>
      <c r="F233" s="133" t="s">
        <v>1208</v>
      </c>
      <c r="G233" s="134" t="s">
        <v>1209</v>
      </c>
      <c r="H233" s="135" t="s">
        <v>59</v>
      </c>
      <c r="I233" s="136" t="s">
        <v>56</v>
      </c>
      <c r="J233" s="472">
        <v>45236</v>
      </c>
      <c r="K233" s="470"/>
      <c r="L233" s="467"/>
    </row>
    <row r="234" spans="1:12" s="93" customFormat="1" ht="38.25" customHeight="1">
      <c r="A234" s="291">
        <v>45185</v>
      </c>
      <c r="B234" s="256">
        <v>232</v>
      </c>
      <c r="C234" s="138"/>
      <c r="D234" s="146" t="s">
        <v>96</v>
      </c>
      <c r="E234" s="133">
        <v>2</v>
      </c>
      <c r="F234" s="133" t="s">
        <v>1189</v>
      </c>
      <c r="G234" s="134" t="s">
        <v>1190</v>
      </c>
      <c r="H234" s="135" t="s">
        <v>59</v>
      </c>
      <c r="I234" s="136" t="s">
        <v>712</v>
      </c>
      <c r="J234" s="472">
        <v>45239</v>
      </c>
      <c r="K234" s="470"/>
      <c r="L234" s="467"/>
    </row>
    <row r="235" spans="1:12" s="93" customFormat="1" ht="38.25" customHeight="1">
      <c r="A235" s="291">
        <v>45218</v>
      </c>
      <c r="B235" s="256">
        <v>233</v>
      </c>
      <c r="C235" s="315" t="s">
        <v>1241</v>
      </c>
      <c r="D235" s="146" t="s">
        <v>1148</v>
      </c>
      <c r="E235" s="133">
        <v>4</v>
      </c>
      <c r="F235" s="133" t="s">
        <v>1221</v>
      </c>
      <c r="G235" s="134" t="s">
        <v>1223</v>
      </c>
      <c r="H235" s="135" t="s">
        <v>1228</v>
      </c>
      <c r="I235" s="136" t="s">
        <v>143</v>
      </c>
      <c r="J235" s="471">
        <v>45239</v>
      </c>
      <c r="K235" s="470"/>
      <c r="L235" s="468" t="s">
        <v>1508</v>
      </c>
    </row>
    <row r="236" spans="1:12" s="93" customFormat="1" ht="38.25" customHeight="1">
      <c r="A236" s="291">
        <v>45218</v>
      </c>
      <c r="B236" s="256">
        <v>234</v>
      </c>
      <c r="C236" s="315" t="s">
        <v>1241</v>
      </c>
      <c r="D236" s="146" t="s">
        <v>1148</v>
      </c>
      <c r="E236" s="133">
        <v>4</v>
      </c>
      <c r="F236" s="133" t="s">
        <v>1222</v>
      </c>
      <c r="G236" s="134" t="s">
        <v>1223</v>
      </c>
      <c r="H236" s="135" t="s">
        <v>1228</v>
      </c>
      <c r="I236" s="136" t="s">
        <v>143</v>
      </c>
      <c r="J236" s="471">
        <v>45239</v>
      </c>
      <c r="K236" s="470"/>
      <c r="L236" s="468" t="s">
        <v>1508</v>
      </c>
    </row>
    <row r="237" spans="1:12" s="93" customFormat="1" ht="38.25" customHeight="1">
      <c r="A237" s="291">
        <v>45239</v>
      </c>
      <c r="B237" s="256">
        <v>235</v>
      </c>
      <c r="C237" s="138" t="s">
        <v>1251</v>
      </c>
      <c r="D237" s="146" t="s">
        <v>1234</v>
      </c>
      <c r="E237" s="133">
        <v>2</v>
      </c>
      <c r="F237" s="133" t="s">
        <v>1235</v>
      </c>
      <c r="G237" s="134" t="s">
        <v>1248</v>
      </c>
      <c r="H237" s="135" t="s">
        <v>1249</v>
      </c>
      <c r="I237" s="136" t="s">
        <v>1250</v>
      </c>
      <c r="J237" s="472">
        <v>45246</v>
      </c>
      <c r="K237" s="470" t="s">
        <v>1507</v>
      </c>
      <c r="L237" s="467"/>
    </row>
    <row r="238" spans="1:12" s="93" customFormat="1" ht="38.25" customHeight="1">
      <c r="A238" s="291">
        <v>45202</v>
      </c>
      <c r="B238" s="256">
        <v>236</v>
      </c>
      <c r="C238" s="138"/>
      <c r="D238" s="146" t="s">
        <v>96</v>
      </c>
      <c r="E238" s="133">
        <v>1</v>
      </c>
      <c r="F238" s="133" t="s">
        <v>1211</v>
      </c>
      <c r="G238" s="134" t="s">
        <v>1212</v>
      </c>
      <c r="H238" s="135"/>
      <c r="I238" s="136" t="s">
        <v>56</v>
      </c>
      <c r="J238" s="472">
        <v>45246</v>
      </c>
      <c r="K238" s="470"/>
      <c r="L238" s="467"/>
    </row>
    <row r="239" spans="1:12" s="93" customFormat="1" ht="38.25" customHeight="1">
      <c r="A239" s="291">
        <v>45243</v>
      </c>
      <c r="B239" s="256">
        <v>237</v>
      </c>
      <c r="C239" s="138"/>
      <c r="D239" s="146" t="s">
        <v>96</v>
      </c>
      <c r="E239" s="133">
        <v>1</v>
      </c>
      <c r="F239" s="133" t="s">
        <v>1231</v>
      </c>
      <c r="G239" s="134" t="s">
        <v>1187</v>
      </c>
      <c r="H239" s="135" t="s">
        <v>49</v>
      </c>
      <c r="I239" s="136" t="s">
        <v>56</v>
      </c>
      <c r="J239" s="472"/>
      <c r="K239" s="470" t="s">
        <v>1507</v>
      </c>
      <c r="L239" s="467"/>
    </row>
    <row r="240" spans="1:12" s="93" customFormat="1" ht="38.25" customHeight="1">
      <c r="A240" s="291">
        <v>45245</v>
      </c>
      <c r="B240" s="256">
        <v>238</v>
      </c>
      <c r="C240" s="138" t="s">
        <v>1269</v>
      </c>
      <c r="D240" s="63" t="s">
        <v>80</v>
      </c>
      <c r="E240" s="133">
        <v>2</v>
      </c>
      <c r="F240" s="133" t="s">
        <v>1265</v>
      </c>
      <c r="G240" s="134" t="s">
        <v>82</v>
      </c>
      <c r="H240" s="135" t="s">
        <v>1255</v>
      </c>
      <c r="I240" s="136" t="s">
        <v>1266</v>
      </c>
      <c r="J240" s="472">
        <v>45258</v>
      </c>
      <c r="K240" s="470" t="s">
        <v>1507</v>
      </c>
      <c r="L240" s="467"/>
    </row>
    <row r="241" spans="1:12" s="93" customFormat="1" ht="30">
      <c r="A241" s="291">
        <v>45244</v>
      </c>
      <c r="B241" s="256">
        <v>239</v>
      </c>
      <c r="C241" s="138" t="s">
        <v>1268</v>
      </c>
      <c r="D241" s="146" t="s">
        <v>1267</v>
      </c>
      <c r="E241" s="133">
        <v>2</v>
      </c>
      <c r="F241" s="133" t="s">
        <v>1261</v>
      </c>
      <c r="G241" s="134" t="s">
        <v>1262</v>
      </c>
      <c r="H241" s="135" t="s">
        <v>1263</v>
      </c>
      <c r="I241" s="136" t="s">
        <v>1264</v>
      </c>
      <c r="J241" s="472">
        <v>45264</v>
      </c>
      <c r="K241" s="470" t="s">
        <v>1507</v>
      </c>
      <c r="L241" s="467"/>
    </row>
    <row r="242" spans="1:12" s="93" customFormat="1" ht="38.25" customHeight="1">
      <c r="A242" s="291">
        <v>45240</v>
      </c>
      <c r="B242" s="256">
        <v>240</v>
      </c>
      <c r="C242" s="138"/>
      <c r="D242" s="146" t="s">
        <v>96</v>
      </c>
      <c r="E242" s="133">
        <v>2</v>
      </c>
      <c r="F242" s="133" t="s">
        <v>1259</v>
      </c>
      <c r="G242" s="134" t="s">
        <v>1260</v>
      </c>
      <c r="H242" s="135" t="s">
        <v>1258</v>
      </c>
      <c r="I242" s="136" t="s">
        <v>71</v>
      </c>
      <c r="J242" s="472">
        <v>45266</v>
      </c>
      <c r="K242" s="470"/>
      <c r="L242" s="467"/>
    </row>
    <row r="243" spans="1:12" s="93" customFormat="1" ht="38.25" customHeight="1">
      <c r="A243" s="291">
        <v>45240</v>
      </c>
      <c r="B243" s="256">
        <v>241</v>
      </c>
      <c r="C243" s="138"/>
      <c r="D243" s="146" t="s">
        <v>96</v>
      </c>
      <c r="E243" s="133">
        <v>2</v>
      </c>
      <c r="F243" s="133" t="s">
        <v>1257</v>
      </c>
      <c r="G243" s="134" t="s">
        <v>628</v>
      </c>
      <c r="H243" s="135" t="s">
        <v>1258</v>
      </c>
      <c r="I243" s="136" t="s">
        <v>71</v>
      </c>
      <c r="J243" s="472">
        <v>45267</v>
      </c>
      <c r="K243" s="470" t="s">
        <v>1507</v>
      </c>
      <c r="L243" s="467"/>
    </row>
    <row r="244" spans="1:12" s="93" customFormat="1" ht="38.25" customHeight="1">
      <c r="A244" s="291">
        <v>45243</v>
      </c>
      <c r="B244" s="256">
        <v>242</v>
      </c>
      <c r="C244" s="138"/>
      <c r="D244" s="146" t="s">
        <v>96</v>
      </c>
      <c r="E244" s="133">
        <v>1</v>
      </c>
      <c r="F244" s="133" t="s">
        <v>715</v>
      </c>
      <c r="G244" s="134" t="s">
        <v>714</v>
      </c>
      <c r="H244" s="135" t="s">
        <v>713</v>
      </c>
      <c r="I244" s="136" t="s">
        <v>712</v>
      </c>
      <c r="J244" s="472">
        <v>45272</v>
      </c>
      <c r="K244" s="470" t="s">
        <v>1507</v>
      </c>
      <c r="L244" s="467"/>
    </row>
    <row r="245" spans="1:12" s="93" customFormat="1" ht="38.25" customHeight="1">
      <c r="A245" s="291">
        <v>45243</v>
      </c>
      <c r="B245" s="256">
        <v>243</v>
      </c>
      <c r="C245" s="138"/>
      <c r="D245" s="146" t="s">
        <v>96</v>
      </c>
      <c r="E245" s="133">
        <v>1</v>
      </c>
      <c r="F245" s="133" t="s">
        <v>1254</v>
      </c>
      <c r="G245" s="134" t="s">
        <v>1253</v>
      </c>
      <c r="H245" s="135" t="s">
        <v>1252</v>
      </c>
      <c r="I245" s="136" t="s">
        <v>53</v>
      </c>
      <c r="J245" s="472">
        <v>45272</v>
      </c>
      <c r="K245" s="470" t="s">
        <v>1507</v>
      </c>
      <c r="L245" s="467"/>
    </row>
    <row r="246" spans="1:12" s="93" customFormat="1" ht="38.25" customHeight="1">
      <c r="A246" s="291">
        <v>45243</v>
      </c>
      <c r="B246" s="256">
        <v>244</v>
      </c>
      <c r="C246" s="138"/>
      <c r="D246" s="146" t="s">
        <v>96</v>
      </c>
      <c r="E246" s="133">
        <v>1</v>
      </c>
      <c r="F246" s="133" t="s">
        <v>1207</v>
      </c>
      <c r="G246" s="134" t="s">
        <v>1206</v>
      </c>
      <c r="H246" s="135" t="s">
        <v>1150</v>
      </c>
      <c r="I246" s="136" t="s">
        <v>56</v>
      </c>
      <c r="J246" s="472">
        <v>45272</v>
      </c>
      <c r="K246" s="470"/>
      <c r="L246" s="467"/>
    </row>
    <row r="247" spans="1:12" s="93" customFormat="1" ht="38.25" customHeight="1">
      <c r="A247" s="291">
        <v>45254</v>
      </c>
      <c r="B247" s="256">
        <v>245</v>
      </c>
      <c r="C247" s="138"/>
      <c r="D247" s="146" t="s">
        <v>197</v>
      </c>
      <c r="E247" s="133">
        <v>1</v>
      </c>
      <c r="F247" s="133" t="s">
        <v>1052</v>
      </c>
      <c r="G247" s="134" t="s">
        <v>1053</v>
      </c>
      <c r="H247" s="135" t="s">
        <v>1054</v>
      </c>
      <c r="I247" s="136" t="s">
        <v>1055</v>
      </c>
      <c r="J247" s="472">
        <v>45272</v>
      </c>
      <c r="K247" s="470" t="s">
        <v>1507</v>
      </c>
      <c r="L247" s="467"/>
    </row>
    <row r="248" spans="1:12" s="93" customFormat="1" ht="38.25" customHeight="1">
      <c r="A248" s="291">
        <v>45257</v>
      </c>
      <c r="B248" s="256">
        <v>246</v>
      </c>
      <c r="C248" s="138"/>
      <c r="D248" s="146" t="s">
        <v>96</v>
      </c>
      <c r="E248" s="133">
        <v>1</v>
      </c>
      <c r="F248" s="133" t="s">
        <v>1207</v>
      </c>
      <c r="G248" s="134" t="s">
        <v>1206</v>
      </c>
      <c r="H248" s="135" t="s">
        <v>1150</v>
      </c>
      <c r="I248" s="136" t="s">
        <v>56</v>
      </c>
      <c r="J248" s="472">
        <v>45272</v>
      </c>
      <c r="K248" s="470" t="s">
        <v>1507</v>
      </c>
      <c r="L248" s="467"/>
    </row>
    <row r="249" spans="1:12" s="93" customFormat="1" ht="38.25" customHeight="1">
      <c r="A249" s="291">
        <v>45258</v>
      </c>
      <c r="B249" s="256">
        <v>247</v>
      </c>
      <c r="C249" s="138"/>
      <c r="D249" s="146" t="s">
        <v>96</v>
      </c>
      <c r="E249" s="133">
        <v>1</v>
      </c>
      <c r="F249" s="133" t="s">
        <v>715</v>
      </c>
      <c r="G249" s="134" t="s">
        <v>714</v>
      </c>
      <c r="H249" s="135" t="s">
        <v>713</v>
      </c>
      <c r="I249" s="136" t="s">
        <v>712</v>
      </c>
      <c r="J249" s="472">
        <v>45272</v>
      </c>
      <c r="K249" s="470" t="s">
        <v>1507</v>
      </c>
      <c r="L249" s="467"/>
    </row>
    <row r="250" spans="1:12" s="93" customFormat="1" ht="38.25" customHeight="1">
      <c r="A250" s="291">
        <v>45248</v>
      </c>
      <c r="B250" s="256">
        <v>248</v>
      </c>
      <c r="C250" s="138"/>
      <c r="D250" s="146" t="s">
        <v>96</v>
      </c>
      <c r="E250" s="133">
        <v>4</v>
      </c>
      <c r="F250" s="133" t="s">
        <v>1271</v>
      </c>
      <c r="G250" s="134" t="s">
        <v>693</v>
      </c>
      <c r="H250" s="135" t="s">
        <v>1272</v>
      </c>
      <c r="I250" s="136" t="s">
        <v>53</v>
      </c>
      <c r="J250" s="472">
        <v>45274</v>
      </c>
      <c r="K250" s="470" t="s">
        <v>1507</v>
      </c>
      <c r="L250" s="467" t="s">
        <v>1558</v>
      </c>
    </row>
    <row r="251" spans="1:12" s="93" customFormat="1" ht="38.25" customHeight="1">
      <c r="A251" s="291">
        <v>45246</v>
      </c>
      <c r="B251" s="256">
        <v>249</v>
      </c>
      <c r="C251" s="138"/>
      <c r="D251" s="146" t="s">
        <v>70</v>
      </c>
      <c r="E251" s="133">
        <v>7</v>
      </c>
      <c r="F251" s="133" t="s">
        <v>677</v>
      </c>
      <c r="G251" s="134" t="s">
        <v>678</v>
      </c>
      <c r="H251" s="135" t="s">
        <v>70</v>
      </c>
      <c r="I251" s="136" t="s">
        <v>143</v>
      </c>
      <c r="J251" s="472"/>
      <c r="K251" s="473" t="s">
        <v>1377</v>
      </c>
      <c r="L251" s="467"/>
    </row>
    <row r="252" spans="1:12" s="93" customFormat="1" ht="38.25" customHeight="1">
      <c r="A252" s="291">
        <v>45257</v>
      </c>
      <c r="B252" s="256">
        <v>250</v>
      </c>
      <c r="C252" s="138"/>
      <c r="D252" s="146" t="s">
        <v>96</v>
      </c>
      <c r="E252" s="133">
        <v>2</v>
      </c>
      <c r="F252" s="133" t="s">
        <v>1280</v>
      </c>
      <c r="G252" s="134" t="s">
        <v>1281</v>
      </c>
      <c r="H252" s="135" t="s">
        <v>59</v>
      </c>
      <c r="I252" s="136" t="s">
        <v>56</v>
      </c>
      <c r="J252" s="472"/>
      <c r="K252" s="470"/>
      <c r="L252" s="467"/>
    </row>
    <row r="253" spans="1:12" s="93" customFormat="1" ht="38.25" customHeight="1">
      <c r="A253" s="291">
        <v>45259</v>
      </c>
      <c r="B253" s="256">
        <v>251</v>
      </c>
      <c r="C253" s="138"/>
      <c r="D253" s="146" t="s">
        <v>1294</v>
      </c>
      <c r="E253" s="133">
        <v>1</v>
      </c>
      <c r="F253" s="133" t="s">
        <v>1287</v>
      </c>
      <c r="G253" s="134" t="s">
        <v>1288</v>
      </c>
      <c r="H253" s="135" t="s">
        <v>1295</v>
      </c>
      <c r="I253" s="136" t="s">
        <v>1289</v>
      </c>
      <c r="J253" s="472"/>
      <c r="K253" s="470"/>
      <c r="L253" s="506" t="s">
        <v>1508</v>
      </c>
    </row>
    <row r="254" spans="1:12" s="93" customFormat="1" ht="38.25" customHeight="1">
      <c r="A254" s="291">
        <v>45259</v>
      </c>
      <c r="B254" s="256">
        <v>252</v>
      </c>
      <c r="C254" s="138"/>
      <c r="D254" s="146" t="s">
        <v>1294</v>
      </c>
      <c r="E254" s="133">
        <v>1</v>
      </c>
      <c r="F254" s="133" t="s">
        <v>1287</v>
      </c>
      <c r="G254" s="134" t="s">
        <v>1288</v>
      </c>
      <c r="H254" s="135" t="s">
        <v>1295</v>
      </c>
      <c r="I254" s="136" t="s">
        <v>1290</v>
      </c>
      <c r="J254" s="472"/>
      <c r="K254" s="470"/>
      <c r="L254" s="506" t="s">
        <v>1508</v>
      </c>
    </row>
    <row r="255" spans="1:12" s="93" customFormat="1" ht="38.25" customHeight="1">
      <c r="A255" s="291">
        <v>45259</v>
      </c>
      <c r="B255" s="256">
        <v>253</v>
      </c>
      <c r="C255" s="138"/>
      <c r="D255" s="146" t="s">
        <v>1294</v>
      </c>
      <c r="E255" s="133">
        <v>1</v>
      </c>
      <c r="F255" s="133" t="s">
        <v>1287</v>
      </c>
      <c r="G255" s="134" t="s">
        <v>1288</v>
      </c>
      <c r="H255" s="135" t="s">
        <v>1295</v>
      </c>
      <c r="I255" s="136" t="s">
        <v>1291</v>
      </c>
      <c r="J255" s="472"/>
      <c r="K255" s="470"/>
      <c r="L255" s="506" t="s">
        <v>1508</v>
      </c>
    </row>
    <row r="256" spans="1:12" s="93" customFormat="1" ht="38.25" customHeight="1">
      <c r="A256" s="291">
        <v>45259</v>
      </c>
      <c r="B256" s="256">
        <v>254</v>
      </c>
      <c r="C256" s="138"/>
      <c r="D256" s="146" t="s">
        <v>1294</v>
      </c>
      <c r="E256" s="133">
        <v>1</v>
      </c>
      <c r="F256" s="133" t="s">
        <v>1287</v>
      </c>
      <c r="G256" s="134" t="s">
        <v>1288</v>
      </c>
      <c r="H256" s="135" t="s">
        <v>1295</v>
      </c>
      <c r="I256" s="136" t="s">
        <v>1292</v>
      </c>
      <c r="J256" s="472"/>
      <c r="K256" s="470"/>
      <c r="L256" s="506" t="s">
        <v>1508</v>
      </c>
    </row>
    <row r="257" spans="1:12" s="93" customFormat="1" ht="38.25" customHeight="1">
      <c r="A257" s="291">
        <v>45259</v>
      </c>
      <c r="B257" s="256">
        <v>255</v>
      </c>
      <c r="C257" s="138"/>
      <c r="D257" s="146" t="s">
        <v>1294</v>
      </c>
      <c r="E257" s="133">
        <v>1</v>
      </c>
      <c r="F257" s="133" t="s">
        <v>1287</v>
      </c>
      <c r="G257" s="134" t="s">
        <v>1288</v>
      </c>
      <c r="H257" s="135" t="s">
        <v>1232</v>
      </c>
      <c r="I257" s="136" t="s">
        <v>1293</v>
      </c>
      <c r="J257" s="472"/>
      <c r="K257" s="470"/>
      <c r="L257" s="506" t="s">
        <v>1508</v>
      </c>
    </row>
    <row r="258" spans="1:12" s="93" customFormat="1" ht="38.25" customHeight="1">
      <c r="A258" s="291">
        <v>45259</v>
      </c>
      <c r="B258" s="256">
        <v>256</v>
      </c>
      <c r="C258" s="138"/>
      <c r="D258" s="146" t="s">
        <v>413</v>
      </c>
      <c r="E258" s="133">
        <v>2</v>
      </c>
      <c r="F258" s="133" t="s">
        <v>1285</v>
      </c>
      <c r="G258" s="134" t="s">
        <v>1286</v>
      </c>
      <c r="H258" s="135" t="s">
        <v>1232</v>
      </c>
      <c r="I258" s="136" t="s">
        <v>549</v>
      </c>
      <c r="J258" s="472"/>
      <c r="K258" s="443" t="s">
        <v>1557</v>
      </c>
      <c r="L258" s="523" t="s">
        <v>1558</v>
      </c>
    </row>
    <row r="259" spans="1:12" s="93" customFormat="1" ht="38.25" customHeight="1">
      <c r="A259" s="291">
        <v>45257</v>
      </c>
      <c r="B259" s="256">
        <v>257</v>
      </c>
      <c r="C259" s="138"/>
      <c r="D259" s="146" t="s">
        <v>96</v>
      </c>
      <c r="E259" s="133">
        <v>2</v>
      </c>
      <c r="F259" s="133" t="s">
        <v>1282</v>
      </c>
      <c r="G259" s="134" t="s">
        <v>617</v>
      </c>
      <c r="H259" s="135" t="s">
        <v>59</v>
      </c>
      <c r="I259" s="136" t="s">
        <v>56</v>
      </c>
      <c r="J259" s="472">
        <v>45289</v>
      </c>
      <c r="K259" s="470"/>
      <c r="L259" s="467"/>
    </row>
    <row r="260" spans="1:12" s="93" customFormat="1" ht="38.25" customHeight="1">
      <c r="A260" s="291">
        <v>45254</v>
      </c>
      <c r="B260" s="256">
        <v>258</v>
      </c>
      <c r="C260" s="138"/>
      <c r="D260" s="146" t="s">
        <v>96</v>
      </c>
      <c r="E260" s="133">
        <v>2</v>
      </c>
      <c r="F260" s="133" t="s">
        <v>1276</v>
      </c>
      <c r="G260" s="134" t="s">
        <v>1277</v>
      </c>
      <c r="H260" s="135" t="s">
        <v>121</v>
      </c>
      <c r="I260" s="136" t="s">
        <v>56</v>
      </c>
      <c r="J260" s="472">
        <v>45295</v>
      </c>
      <c r="K260" s="443" t="s">
        <v>1557</v>
      </c>
      <c r="L260" s="523" t="s">
        <v>1558</v>
      </c>
    </row>
    <row r="261" spans="1:12" s="93" customFormat="1" ht="38.25" customHeight="1">
      <c r="A261" s="291"/>
      <c r="B261" s="256">
        <v>259</v>
      </c>
      <c r="C261" s="138"/>
      <c r="D261" s="146" t="s">
        <v>96</v>
      </c>
      <c r="E261" s="133">
        <v>2</v>
      </c>
      <c r="F261" s="133" t="s">
        <v>1067</v>
      </c>
      <c r="G261" s="134" t="s">
        <v>1068</v>
      </c>
      <c r="H261" s="135" t="s">
        <v>603</v>
      </c>
      <c r="I261" s="136" t="s">
        <v>56</v>
      </c>
      <c r="J261" s="472">
        <v>45296</v>
      </c>
      <c r="K261" s="470"/>
      <c r="L261" s="467"/>
    </row>
    <row r="262" spans="1:12" s="93" customFormat="1" ht="38.25" customHeight="1">
      <c r="A262" s="291">
        <v>45285</v>
      </c>
      <c r="B262" s="256">
        <v>260</v>
      </c>
      <c r="C262" s="138"/>
      <c r="D262" s="146" t="s">
        <v>1234</v>
      </c>
      <c r="E262" s="133">
        <v>2</v>
      </c>
      <c r="F262" s="133" t="s">
        <v>1303</v>
      </c>
      <c r="G262" s="134" t="s">
        <v>1304</v>
      </c>
      <c r="H262" s="135" t="s">
        <v>1232</v>
      </c>
      <c r="I262" s="136" t="s">
        <v>549</v>
      </c>
      <c r="J262" s="472">
        <v>45299</v>
      </c>
      <c r="K262" s="470"/>
      <c r="L262" s="506" t="s">
        <v>1508</v>
      </c>
    </row>
    <row r="263" spans="1:12" s="93" customFormat="1" ht="38.25" customHeight="1">
      <c r="A263" s="291">
        <v>45293</v>
      </c>
      <c r="B263" s="256">
        <v>261</v>
      </c>
      <c r="C263" s="138" t="s">
        <v>1307</v>
      </c>
      <c r="D263" s="146" t="s">
        <v>80</v>
      </c>
      <c r="E263" s="133">
        <v>2</v>
      </c>
      <c r="F263" s="133" t="s">
        <v>1299</v>
      </c>
      <c r="G263" s="134" t="s">
        <v>84</v>
      </c>
      <c r="H263" s="135" t="s">
        <v>1300</v>
      </c>
      <c r="I263" s="136" t="s">
        <v>1306</v>
      </c>
      <c r="J263" s="472">
        <v>45300</v>
      </c>
      <c r="K263" s="443" t="s">
        <v>1557</v>
      </c>
      <c r="L263" s="523" t="s">
        <v>1558</v>
      </c>
    </row>
    <row r="264" spans="1:12" s="93" customFormat="1" ht="38.25" customHeight="1">
      <c r="A264" s="291">
        <v>45254</v>
      </c>
      <c r="B264" s="256">
        <v>262</v>
      </c>
      <c r="C264" s="138"/>
      <c r="D264" s="146" t="s">
        <v>96</v>
      </c>
      <c r="E264" s="133">
        <v>4</v>
      </c>
      <c r="F264" s="133" t="s">
        <v>1278</v>
      </c>
      <c r="G264" s="134" t="s">
        <v>1279</v>
      </c>
      <c r="H264" s="135" t="s">
        <v>121</v>
      </c>
      <c r="I264" s="136" t="s">
        <v>1274</v>
      </c>
      <c r="J264" s="472">
        <v>45306</v>
      </c>
      <c r="K264" s="470"/>
      <c r="L264" s="467"/>
    </row>
    <row r="265" spans="1:12" s="93" customFormat="1" ht="38.25" customHeight="1">
      <c r="A265" s="291">
        <v>45295</v>
      </c>
      <c r="B265" s="256">
        <v>263</v>
      </c>
      <c r="C265" s="138"/>
      <c r="D265" s="146" t="s">
        <v>96</v>
      </c>
      <c r="E265" s="133">
        <v>1</v>
      </c>
      <c r="F265" s="133" t="s">
        <v>1310</v>
      </c>
      <c r="G265" s="134" t="s">
        <v>1311</v>
      </c>
      <c r="H265" s="135" t="s">
        <v>49</v>
      </c>
      <c r="I265" s="136" t="s">
        <v>56</v>
      </c>
      <c r="J265" s="472">
        <v>45306</v>
      </c>
      <c r="K265" s="470"/>
      <c r="L265" s="467"/>
    </row>
    <row r="266" spans="1:12" s="93" customFormat="1" ht="38.25" customHeight="1">
      <c r="A266" s="291">
        <v>45271</v>
      </c>
      <c r="B266" s="256">
        <v>264</v>
      </c>
      <c r="C266" s="138"/>
      <c r="D266" s="146" t="s">
        <v>96</v>
      </c>
      <c r="E266" s="133">
        <v>2</v>
      </c>
      <c r="F266" s="133" t="s">
        <v>1283</v>
      </c>
      <c r="G266" s="134" t="s">
        <v>1284</v>
      </c>
      <c r="H266" s="135" t="s">
        <v>59</v>
      </c>
      <c r="I266" s="136" t="s">
        <v>720</v>
      </c>
      <c r="J266" s="472">
        <v>45310</v>
      </c>
      <c r="K266" s="443" t="s">
        <v>1557</v>
      </c>
      <c r="L266" s="523" t="s">
        <v>1558</v>
      </c>
    </row>
    <row r="267" spans="1:12" s="93" customFormat="1" ht="38.25" customHeight="1">
      <c r="A267" s="291"/>
      <c r="B267" s="256">
        <v>265</v>
      </c>
      <c r="C267" s="138"/>
      <c r="D267" s="146" t="s">
        <v>96</v>
      </c>
      <c r="E267" s="133">
        <v>2</v>
      </c>
      <c r="F267" s="133" t="s">
        <v>1276</v>
      </c>
      <c r="G267" s="134" t="s">
        <v>1277</v>
      </c>
      <c r="H267" s="135" t="s">
        <v>121</v>
      </c>
      <c r="I267" s="136" t="s">
        <v>56</v>
      </c>
      <c r="J267" s="472">
        <v>45313</v>
      </c>
      <c r="K267" s="443" t="s">
        <v>1557</v>
      </c>
      <c r="L267" s="523" t="s">
        <v>1558</v>
      </c>
    </row>
    <row r="268" spans="1:12" s="93" customFormat="1" ht="38.25" customHeight="1">
      <c r="A268" s="291">
        <v>45295</v>
      </c>
      <c r="B268" s="256">
        <v>266</v>
      </c>
      <c r="C268" s="138"/>
      <c r="D268" s="146" t="s">
        <v>96</v>
      </c>
      <c r="E268" s="133">
        <v>2</v>
      </c>
      <c r="F268" s="133" t="s">
        <v>1309</v>
      </c>
      <c r="G268" s="134" t="s">
        <v>747</v>
      </c>
      <c r="H268" s="135" t="s">
        <v>603</v>
      </c>
      <c r="I268" s="136" t="s">
        <v>748</v>
      </c>
      <c r="J268" s="472">
        <v>45315</v>
      </c>
      <c r="K268" s="443" t="s">
        <v>1557</v>
      </c>
      <c r="L268" s="523" t="s">
        <v>1558</v>
      </c>
    </row>
    <row r="269" spans="1:12" s="93" customFormat="1" ht="38.25" customHeight="1">
      <c r="A269" s="291">
        <v>45286</v>
      </c>
      <c r="B269" s="256">
        <v>267</v>
      </c>
      <c r="C269" s="138"/>
      <c r="D269" s="146" t="s">
        <v>1305</v>
      </c>
      <c r="E269" s="133">
        <v>2</v>
      </c>
      <c r="F269" s="133" t="s">
        <v>1261</v>
      </c>
      <c r="G269" s="134" t="s">
        <v>1262</v>
      </c>
      <c r="H269" s="135" t="s">
        <v>1263</v>
      </c>
      <c r="I269" s="136" t="s">
        <v>1264</v>
      </c>
      <c r="J269" s="472">
        <v>45341</v>
      </c>
      <c r="K269" s="443" t="s">
        <v>1557</v>
      </c>
      <c r="L269" s="523" t="s">
        <v>1558</v>
      </c>
    </row>
    <row r="270" spans="1:12" s="93" customFormat="1" ht="38.25" customHeight="1">
      <c r="A270" s="291">
        <v>45309</v>
      </c>
      <c r="B270" s="256">
        <v>268</v>
      </c>
      <c r="C270" s="138"/>
      <c r="D270" s="146" t="s">
        <v>80</v>
      </c>
      <c r="E270" s="133">
        <v>2</v>
      </c>
      <c r="F270" s="133" t="s">
        <v>1316</v>
      </c>
      <c r="G270" s="134" t="s">
        <v>84</v>
      </c>
      <c r="H270" s="135" t="s">
        <v>1317</v>
      </c>
      <c r="I270" s="136" t="s">
        <v>578</v>
      </c>
      <c r="J270" s="472">
        <v>45341</v>
      </c>
      <c r="K270" s="443" t="s">
        <v>1557</v>
      </c>
      <c r="L270" s="523" t="s">
        <v>1558</v>
      </c>
    </row>
    <row r="271" spans="1:12" s="93" customFormat="1" ht="38.25" customHeight="1">
      <c r="A271" s="291">
        <v>45309</v>
      </c>
      <c r="B271" s="256">
        <v>269</v>
      </c>
      <c r="C271" s="138"/>
      <c r="D271" s="146" t="s">
        <v>80</v>
      </c>
      <c r="E271" s="133">
        <v>2</v>
      </c>
      <c r="F271" s="133" t="s">
        <v>1327</v>
      </c>
      <c r="G271" s="134" t="s">
        <v>84</v>
      </c>
      <c r="H271" s="135" t="s">
        <v>1328</v>
      </c>
      <c r="I271" s="136" t="s">
        <v>53</v>
      </c>
      <c r="J271" s="472">
        <v>45341</v>
      </c>
      <c r="K271" s="443" t="s">
        <v>1557</v>
      </c>
      <c r="L271" s="523" t="s">
        <v>1558</v>
      </c>
    </row>
    <row r="272" spans="1:12" s="93" customFormat="1" ht="38.25" customHeight="1">
      <c r="A272" s="291">
        <v>45079</v>
      </c>
      <c r="B272" s="256">
        <v>270</v>
      </c>
      <c r="C272" s="138" t="s">
        <v>339</v>
      </c>
      <c r="D272" s="146" t="s">
        <v>338</v>
      </c>
      <c r="E272" s="133">
        <v>1</v>
      </c>
      <c r="F272" s="133" t="s">
        <v>1243</v>
      </c>
      <c r="G272" s="134" t="s">
        <v>619</v>
      </c>
      <c r="H272" s="135" t="s">
        <v>122</v>
      </c>
      <c r="I272" s="136" t="s">
        <v>549</v>
      </c>
      <c r="J272" s="472"/>
      <c r="K272" s="443" t="s">
        <v>1557</v>
      </c>
      <c r="L272" s="523" t="s">
        <v>1558</v>
      </c>
    </row>
    <row r="273" spans="1:12" s="93" customFormat="1" ht="38.25" customHeight="1">
      <c r="A273" s="291">
        <v>45079</v>
      </c>
      <c r="B273" s="256">
        <v>271</v>
      </c>
      <c r="C273" s="138" t="s">
        <v>339</v>
      </c>
      <c r="D273" s="146" t="s">
        <v>338</v>
      </c>
      <c r="E273" s="133">
        <v>1</v>
      </c>
      <c r="F273" s="133" t="s">
        <v>1244</v>
      </c>
      <c r="G273" s="134" t="s">
        <v>618</v>
      </c>
      <c r="H273" s="135" t="s">
        <v>122</v>
      </c>
      <c r="I273" s="136" t="s">
        <v>549</v>
      </c>
      <c r="J273" s="472"/>
      <c r="K273" s="443" t="s">
        <v>1557</v>
      </c>
      <c r="L273" s="523" t="s">
        <v>1558</v>
      </c>
    </row>
    <row r="274" spans="1:12" s="93" customFormat="1" ht="38.25" customHeight="1">
      <c r="A274" s="291">
        <v>45142</v>
      </c>
      <c r="B274" s="256">
        <v>272</v>
      </c>
      <c r="C274" s="138" t="s">
        <v>339</v>
      </c>
      <c r="D274" s="146" t="s">
        <v>338</v>
      </c>
      <c r="E274" s="133">
        <v>1</v>
      </c>
      <c r="F274" s="133" t="s">
        <v>1245</v>
      </c>
      <c r="G274" s="134" t="s">
        <v>1069</v>
      </c>
      <c r="H274" s="135" t="s">
        <v>122</v>
      </c>
      <c r="I274" s="136" t="s">
        <v>549</v>
      </c>
      <c r="J274" s="472"/>
      <c r="K274" s="443" t="s">
        <v>1557</v>
      </c>
      <c r="L274" s="523" t="s">
        <v>1558</v>
      </c>
    </row>
    <row r="275" spans="1:12" s="93" customFormat="1" ht="38.25" customHeight="1">
      <c r="A275" s="291">
        <v>45142</v>
      </c>
      <c r="B275" s="256">
        <v>273</v>
      </c>
      <c r="C275" s="138" t="s">
        <v>339</v>
      </c>
      <c r="D275" s="146" t="s">
        <v>338</v>
      </c>
      <c r="E275" s="133">
        <v>1</v>
      </c>
      <c r="F275" s="133" t="s">
        <v>1246</v>
      </c>
      <c r="G275" s="134" t="s">
        <v>1070</v>
      </c>
      <c r="H275" s="135" t="s">
        <v>122</v>
      </c>
      <c r="I275" s="136" t="s">
        <v>549</v>
      </c>
      <c r="J275" s="472"/>
      <c r="K275" s="443" t="s">
        <v>1557</v>
      </c>
      <c r="L275" s="523" t="s">
        <v>1558</v>
      </c>
    </row>
    <row r="276" spans="1:12" s="93" customFormat="1" ht="38.25" customHeight="1">
      <c r="A276" s="291">
        <v>45142</v>
      </c>
      <c r="B276" s="256">
        <v>274</v>
      </c>
      <c r="C276" s="138" t="s">
        <v>339</v>
      </c>
      <c r="D276" s="146" t="s">
        <v>338</v>
      </c>
      <c r="E276" s="133">
        <v>1</v>
      </c>
      <c r="F276" s="133" t="s">
        <v>1247</v>
      </c>
      <c r="G276" s="134" t="s">
        <v>1071</v>
      </c>
      <c r="H276" s="135" t="s">
        <v>122</v>
      </c>
      <c r="I276" s="136" t="s">
        <v>549</v>
      </c>
      <c r="J276" s="472"/>
      <c r="K276" s="443" t="s">
        <v>1557</v>
      </c>
      <c r="L276" s="523" t="s">
        <v>1558</v>
      </c>
    </row>
    <row r="277" spans="1:12" s="93" customFormat="1" ht="38.25" customHeight="1">
      <c r="A277" s="291">
        <v>45142</v>
      </c>
      <c r="B277" s="256">
        <v>275</v>
      </c>
      <c r="C277" s="138" t="s">
        <v>339</v>
      </c>
      <c r="D277" s="146" t="s">
        <v>338</v>
      </c>
      <c r="E277" s="133">
        <v>1</v>
      </c>
      <c r="F277" s="133" t="s">
        <v>1242</v>
      </c>
      <c r="G277" s="134" t="s">
        <v>1072</v>
      </c>
      <c r="H277" s="135" t="s">
        <v>122</v>
      </c>
      <c r="I277" s="136" t="s">
        <v>549</v>
      </c>
      <c r="J277" s="472"/>
      <c r="K277" s="443" t="s">
        <v>1557</v>
      </c>
      <c r="L277" s="523" t="s">
        <v>1558</v>
      </c>
    </row>
    <row r="278" spans="1:12" s="93" customFormat="1" ht="38.25" customHeight="1">
      <c r="A278" s="291">
        <v>45248</v>
      </c>
      <c r="B278" s="256">
        <v>276</v>
      </c>
      <c r="C278" s="138"/>
      <c r="D278" s="146" t="s">
        <v>96</v>
      </c>
      <c r="E278" s="133">
        <v>2</v>
      </c>
      <c r="F278" s="133" t="s">
        <v>1270</v>
      </c>
      <c r="G278" s="134" t="s">
        <v>638</v>
      </c>
      <c r="H278" s="135" t="s">
        <v>49</v>
      </c>
      <c r="I278" s="136" t="s">
        <v>63</v>
      </c>
      <c r="J278" s="472"/>
      <c r="K278" s="443" t="s">
        <v>1557</v>
      </c>
      <c r="L278" s="523" t="s">
        <v>1558</v>
      </c>
    </row>
    <row r="279" spans="1:12" s="93" customFormat="1" ht="38.25" customHeight="1">
      <c r="A279" s="291">
        <v>45272</v>
      </c>
      <c r="B279" s="256">
        <v>277</v>
      </c>
      <c r="C279" s="138"/>
      <c r="D279" s="146" t="s">
        <v>96</v>
      </c>
      <c r="E279" s="133">
        <v>2</v>
      </c>
      <c r="F279" s="133" t="s">
        <v>1296</v>
      </c>
      <c r="G279" s="134" t="s">
        <v>309</v>
      </c>
      <c r="H279" s="135" t="s">
        <v>59</v>
      </c>
      <c r="I279" s="136" t="s">
        <v>56</v>
      </c>
      <c r="J279" s="472"/>
      <c r="K279" s="470"/>
      <c r="L279" s="467"/>
    </row>
    <row r="280" spans="1:12" s="93" customFormat="1" ht="38.25" customHeight="1">
      <c r="A280" s="291">
        <v>45313</v>
      </c>
      <c r="B280" s="256">
        <v>278</v>
      </c>
      <c r="C280" s="138"/>
      <c r="D280" s="146" t="s">
        <v>96</v>
      </c>
      <c r="E280" s="133">
        <v>1</v>
      </c>
      <c r="F280" s="133" t="s">
        <v>1310</v>
      </c>
      <c r="G280" s="134" t="s">
        <v>1311</v>
      </c>
      <c r="H280" s="135" t="s">
        <v>49</v>
      </c>
      <c r="I280" s="136" t="s">
        <v>56</v>
      </c>
      <c r="J280" s="472"/>
      <c r="K280" s="470"/>
      <c r="L280" s="467"/>
    </row>
    <row r="281" spans="1:12" s="93" customFormat="1" ht="38.25" customHeight="1">
      <c r="A281" s="291">
        <v>45313</v>
      </c>
      <c r="B281" s="256">
        <v>279</v>
      </c>
      <c r="C281" s="138"/>
      <c r="D281" s="146" t="s">
        <v>96</v>
      </c>
      <c r="E281" s="133">
        <v>2</v>
      </c>
      <c r="F281" s="133" t="s">
        <v>1067</v>
      </c>
      <c r="G281" s="134" t="s">
        <v>1068</v>
      </c>
      <c r="H281" s="135" t="s">
        <v>603</v>
      </c>
      <c r="I281" s="136" t="s">
        <v>56</v>
      </c>
      <c r="J281" s="472"/>
      <c r="K281" s="470"/>
      <c r="L281" s="467"/>
    </row>
    <row r="282" spans="1:12" s="93" customFormat="1" ht="38.25" customHeight="1">
      <c r="A282" s="291">
        <v>45309</v>
      </c>
      <c r="B282" s="256">
        <v>280</v>
      </c>
      <c r="C282" s="138" t="s">
        <v>1370</v>
      </c>
      <c r="D282" s="146" t="s">
        <v>1348</v>
      </c>
      <c r="E282" s="133">
        <v>2</v>
      </c>
      <c r="F282" s="133" t="s">
        <v>1343</v>
      </c>
      <c r="G282" s="134" t="s">
        <v>1344</v>
      </c>
      <c r="H282" s="135" t="s">
        <v>1345</v>
      </c>
      <c r="I282" s="136" t="s">
        <v>731</v>
      </c>
      <c r="J282" s="472">
        <v>45367</v>
      </c>
      <c r="K282" s="443" t="s">
        <v>1557</v>
      </c>
      <c r="L282" s="523" t="s">
        <v>1558</v>
      </c>
    </row>
    <row r="283" spans="1:12" s="93" customFormat="1" ht="38.25" customHeight="1">
      <c r="A283" s="291">
        <v>45309</v>
      </c>
      <c r="B283" s="256">
        <v>281</v>
      </c>
      <c r="C283" s="138" t="s">
        <v>1370</v>
      </c>
      <c r="D283" s="146" t="s">
        <v>1348</v>
      </c>
      <c r="E283" s="133">
        <v>2</v>
      </c>
      <c r="F283" s="133" t="s">
        <v>1346</v>
      </c>
      <c r="G283" s="134" t="s">
        <v>1347</v>
      </c>
      <c r="H283" s="135" t="s">
        <v>1345</v>
      </c>
      <c r="I283" s="136" t="s">
        <v>731</v>
      </c>
      <c r="J283" s="472">
        <v>45367</v>
      </c>
      <c r="K283" s="443" t="s">
        <v>1557</v>
      </c>
      <c r="L283" s="523" t="s">
        <v>1558</v>
      </c>
    </row>
    <row r="284" spans="1:12" s="93" customFormat="1" ht="67.5" customHeight="1">
      <c r="A284" s="291">
        <v>45355</v>
      </c>
      <c r="B284" s="256">
        <v>282</v>
      </c>
      <c r="C284" s="138" t="s">
        <v>1362</v>
      </c>
      <c r="D284" s="146" t="s">
        <v>1361</v>
      </c>
      <c r="E284" s="133">
        <v>2</v>
      </c>
      <c r="F284" s="133" t="s">
        <v>1358</v>
      </c>
      <c r="G284" s="134" t="s">
        <v>1359</v>
      </c>
      <c r="H284" s="135" t="s">
        <v>1360</v>
      </c>
      <c r="I284" s="136" t="s">
        <v>143</v>
      </c>
      <c r="J284" s="472"/>
      <c r="K284" s="470"/>
      <c r="L284" s="507" t="s">
        <v>1508</v>
      </c>
    </row>
    <row r="285" spans="1:12" s="93" customFormat="1" ht="38.25" customHeight="1">
      <c r="A285" s="291">
        <v>45295</v>
      </c>
      <c r="B285" s="256">
        <v>283</v>
      </c>
      <c r="C285" s="138"/>
      <c r="D285" s="146" t="s">
        <v>96</v>
      </c>
      <c r="E285" s="133">
        <v>2</v>
      </c>
      <c r="F285" s="133" t="s">
        <v>1324</v>
      </c>
      <c r="G285" s="134" t="s">
        <v>1313</v>
      </c>
      <c r="H285" s="135" t="s">
        <v>1325</v>
      </c>
      <c r="I285" s="136" t="s">
        <v>1308</v>
      </c>
      <c r="J285" s="472"/>
      <c r="K285" s="470"/>
      <c r="L285" s="508" t="s">
        <v>1508</v>
      </c>
    </row>
    <row r="286" spans="1:12" s="93" customFormat="1" ht="38.25" customHeight="1">
      <c r="A286" s="291">
        <v>45295</v>
      </c>
      <c r="B286" s="256">
        <v>284</v>
      </c>
      <c r="C286" s="138"/>
      <c r="D286" s="146" t="s">
        <v>96</v>
      </c>
      <c r="E286" s="133">
        <v>2</v>
      </c>
      <c r="F286" s="133" t="s">
        <v>1326</v>
      </c>
      <c r="G286" s="134" t="s">
        <v>1313</v>
      </c>
      <c r="H286" s="135" t="s">
        <v>1314</v>
      </c>
      <c r="I286" s="136" t="s">
        <v>56</v>
      </c>
      <c r="J286" s="472"/>
      <c r="K286" s="470"/>
      <c r="L286" s="508" t="s">
        <v>1508</v>
      </c>
    </row>
    <row r="287" spans="1:12" s="93" customFormat="1" ht="38.25" customHeight="1">
      <c r="A287" s="291">
        <v>45295</v>
      </c>
      <c r="B287" s="256">
        <v>285</v>
      </c>
      <c r="C287" s="138"/>
      <c r="D287" s="146" t="s">
        <v>96</v>
      </c>
      <c r="E287" s="133">
        <v>2</v>
      </c>
      <c r="F287" s="133" t="s">
        <v>1312</v>
      </c>
      <c r="G287" s="134" t="s">
        <v>1313</v>
      </c>
      <c r="H287" s="135" t="s">
        <v>1314</v>
      </c>
      <c r="I287" s="136" t="s">
        <v>50</v>
      </c>
      <c r="J287" s="472"/>
      <c r="K287" s="470"/>
      <c r="L287" s="508" t="s">
        <v>1508</v>
      </c>
    </row>
    <row r="288" spans="1:12" s="93" customFormat="1" ht="38.25" customHeight="1">
      <c r="A288" s="291">
        <v>45254</v>
      </c>
      <c r="B288" s="256">
        <v>286</v>
      </c>
      <c r="C288" s="138"/>
      <c r="D288" s="146" t="s">
        <v>96</v>
      </c>
      <c r="E288" s="133">
        <v>1</v>
      </c>
      <c r="F288" s="133" t="s">
        <v>1365</v>
      </c>
      <c r="G288" s="134" t="s">
        <v>1364</v>
      </c>
      <c r="H288" s="135" t="s">
        <v>49</v>
      </c>
      <c r="I288" s="136" t="s">
        <v>56</v>
      </c>
      <c r="J288" s="472"/>
      <c r="K288" s="470"/>
      <c r="L288" s="508" t="s">
        <v>1508</v>
      </c>
    </row>
    <row r="289" spans="1:12" s="93" customFormat="1" ht="38.25" customHeight="1">
      <c r="A289" s="291">
        <v>45315</v>
      </c>
      <c r="B289" s="256">
        <v>287</v>
      </c>
      <c r="C289" s="138"/>
      <c r="D289" s="146" t="s">
        <v>96</v>
      </c>
      <c r="E289" s="133">
        <v>2</v>
      </c>
      <c r="F289" s="133" t="s">
        <v>1341</v>
      </c>
      <c r="G289" s="134" t="s">
        <v>1342</v>
      </c>
      <c r="H289" s="135" t="s">
        <v>603</v>
      </c>
      <c r="I289" s="136" t="s">
        <v>56</v>
      </c>
      <c r="J289" s="472"/>
      <c r="K289" s="470"/>
      <c r="L289" s="508" t="s">
        <v>1508</v>
      </c>
    </row>
    <row r="290" spans="1:12" ht="35.25" customHeight="1">
      <c r="A290" s="1002" t="s">
        <v>1800</v>
      </c>
      <c r="B290" s="1003"/>
      <c r="C290" s="1003"/>
      <c r="D290" s="1003"/>
      <c r="E290" s="1004"/>
      <c r="F290" s="566"/>
      <c r="G290" s="564"/>
      <c r="H290" s="564"/>
      <c r="I290" s="566"/>
      <c r="J290" s="559"/>
      <c r="K290" s="567"/>
      <c r="L290" s="567"/>
    </row>
    <row r="291" spans="1:12" s="93" customFormat="1" ht="38.25" customHeight="1">
      <c r="A291" s="471">
        <v>45313</v>
      </c>
      <c r="B291" s="574">
        <v>288</v>
      </c>
      <c r="C291" s="573"/>
      <c r="D291" s="467" t="s">
        <v>96</v>
      </c>
      <c r="E291" s="443">
        <v>2</v>
      </c>
      <c r="F291" s="443" t="s">
        <v>1322</v>
      </c>
      <c r="G291" s="570" t="s">
        <v>1323</v>
      </c>
      <c r="H291" s="571" t="s">
        <v>603</v>
      </c>
      <c r="I291" s="572" t="s">
        <v>75</v>
      </c>
      <c r="J291" s="472">
        <v>45383</v>
      </c>
      <c r="K291" s="470"/>
      <c r="L291" s="508"/>
    </row>
    <row r="292" spans="1:12" s="93" customFormat="1" ht="38.25" customHeight="1">
      <c r="A292" s="440">
        <v>45306</v>
      </c>
      <c r="B292" s="574">
        <v>289</v>
      </c>
      <c r="C292" s="441"/>
      <c r="D292" s="442" t="s">
        <v>96</v>
      </c>
      <c r="E292" s="434">
        <v>2</v>
      </c>
      <c r="F292" s="434" t="s">
        <v>1320</v>
      </c>
      <c r="G292" s="435" t="s">
        <v>1321</v>
      </c>
      <c r="H292" s="436" t="s">
        <v>603</v>
      </c>
      <c r="I292" s="575" t="s">
        <v>56</v>
      </c>
      <c r="J292" s="576">
        <v>45391</v>
      </c>
      <c r="K292" s="470"/>
      <c r="L292" s="508" t="s">
        <v>1508</v>
      </c>
    </row>
    <row r="293" spans="1:12" s="93" customFormat="1" ht="38.25" customHeight="1">
      <c r="A293" s="440">
        <v>45378</v>
      </c>
      <c r="B293" s="574">
        <v>290</v>
      </c>
      <c r="C293" s="441"/>
      <c r="D293" s="442" t="s">
        <v>96</v>
      </c>
      <c r="E293" s="434">
        <v>2</v>
      </c>
      <c r="F293" s="434" t="s">
        <v>1393</v>
      </c>
      <c r="G293" s="435" t="s">
        <v>1394</v>
      </c>
      <c r="H293" s="436" t="s">
        <v>59</v>
      </c>
      <c r="I293" s="575" t="s">
        <v>56</v>
      </c>
      <c r="J293" s="576">
        <v>45391</v>
      </c>
      <c r="K293" s="470"/>
      <c r="L293" s="508" t="s">
        <v>1508</v>
      </c>
    </row>
    <row r="294" spans="1:12" s="93" customFormat="1" ht="37.5" customHeight="1">
      <c r="A294" s="440">
        <v>45356</v>
      </c>
      <c r="B294" s="574">
        <v>291</v>
      </c>
      <c r="C294" s="441"/>
      <c r="D294" s="442" t="s">
        <v>96</v>
      </c>
      <c r="E294" s="434">
        <v>2</v>
      </c>
      <c r="F294" s="434" t="s">
        <v>1177</v>
      </c>
      <c r="G294" s="435" t="s">
        <v>66</v>
      </c>
      <c r="H294" s="436" t="s">
        <v>59</v>
      </c>
      <c r="I294" s="575" t="s">
        <v>56</v>
      </c>
      <c r="J294" s="576">
        <v>45391</v>
      </c>
      <c r="K294" s="470"/>
      <c r="L294" s="508" t="s">
        <v>1508</v>
      </c>
    </row>
    <row r="295" spans="1:12" s="93" customFormat="1" ht="53.25" customHeight="1">
      <c r="A295" s="440">
        <v>45349</v>
      </c>
      <c r="B295" s="574">
        <v>292</v>
      </c>
      <c r="C295" s="542" t="s">
        <v>1414</v>
      </c>
      <c r="D295" s="442" t="s">
        <v>80</v>
      </c>
      <c r="E295" s="434">
        <v>2</v>
      </c>
      <c r="F295" s="434" t="s">
        <v>1340</v>
      </c>
      <c r="G295" s="435" t="s">
        <v>84</v>
      </c>
      <c r="H295" s="436" t="s">
        <v>1339</v>
      </c>
      <c r="I295" s="575" t="s">
        <v>53</v>
      </c>
      <c r="J295" s="576">
        <v>45392</v>
      </c>
      <c r="K295" s="443" t="s">
        <v>1557</v>
      </c>
      <c r="L295" s="523" t="s">
        <v>1558</v>
      </c>
    </row>
    <row r="296" spans="1:12" s="93" customFormat="1" ht="81" customHeight="1">
      <c r="A296" s="440">
        <v>45345</v>
      </c>
      <c r="B296" s="574">
        <v>293</v>
      </c>
      <c r="C296" s="542" t="s">
        <v>1414</v>
      </c>
      <c r="D296" s="442" t="s">
        <v>80</v>
      </c>
      <c r="E296" s="577">
        <v>2</v>
      </c>
      <c r="F296" s="578" t="s">
        <v>1349</v>
      </c>
      <c r="G296" s="434" t="s">
        <v>184</v>
      </c>
      <c r="H296" s="579" t="s">
        <v>1350</v>
      </c>
      <c r="I296" s="580" t="s">
        <v>53</v>
      </c>
      <c r="J296" s="576">
        <v>45392</v>
      </c>
      <c r="K296" s="443" t="s">
        <v>1557</v>
      </c>
      <c r="L296" s="523" t="s">
        <v>1558</v>
      </c>
    </row>
    <row r="297" spans="1:12" s="93" customFormat="1" ht="46.5" customHeight="1">
      <c r="A297" s="440"/>
      <c r="B297" s="574">
        <v>294</v>
      </c>
      <c r="C297" s="441" t="s">
        <v>1403</v>
      </c>
      <c r="D297" s="442" t="s">
        <v>1399</v>
      </c>
      <c r="E297" s="434">
        <v>2</v>
      </c>
      <c r="F297" s="434" t="s">
        <v>1397</v>
      </c>
      <c r="G297" s="435" t="s">
        <v>791</v>
      </c>
      <c r="H297" s="436" t="s">
        <v>49</v>
      </c>
      <c r="I297" s="575" t="s">
        <v>1398</v>
      </c>
      <c r="J297" s="576">
        <v>45392</v>
      </c>
      <c r="K297" s="470"/>
      <c r="L297" s="508" t="s">
        <v>1508</v>
      </c>
    </row>
    <row r="298" spans="1:12" s="93" customFormat="1" ht="46.5" customHeight="1">
      <c r="A298" s="440"/>
      <c r="B298" s="574">
        <v>295</v>
      </c>
      <c r="C298" s="441" t="s">
        <v>1403</v>
      </c>
      <c r="D298" s="442" t="s">
        <v>1399</v>
      </c>
      <c r="E298" s="434">
        <v>2</v>
      </c>
      <c r="F298" s="434" t="s">
        <v>1400</v>
      </c>
      <c r="G298" s="435" t="s">
        <v>1402</v>
      </c>
      <c r="H298" s="436" t="s">
        <v>49</v>
      </c>
      <c r="I298" s="575" t="s">
        <v>578</v>
      </c>
      <c r="J298" s="576">
        <v>45392</v>
      </c>
      <c r="K298" s="470"/>
      <c r="L298" s="507" t="s">
        <v>1508</v>
      </c>
    </row>
    <row r="299" spans="1:12" s="93" customFormat="1" ht="46.5" customHeight="1">
      <c r="A299" s="440"/>
      <c r="B299" s="574">
        <v>296</v>
      </c>
      <c r="C299" s="441" t="s">
        <v>1403</v>
      </c>
      <c r="D299" s="442" t="s">
        <v>1399</v>
      </c>
      <c r="E299" s="434">
        <v>2</v>
      </c>
      <c r="F299" s="434" t="s">
        <v>1401</v>
      </c>
      <c r="G299" s="435" t="s">
        <v>1402</v>
      </c>
      <c r="H299" s="436" t="s">
        <v>49</v>
      </c>
      <c r="I299" s="575" t="s">
        <v>578</v>
      </c>
      <c r="J299" s="576">
        <v>45392</v>
      </c>
      <c r="K299" s="470"/>
      <c r="L299" s="507" t="s">
        <v>1508</v>
      </c>
    </row>
    <row r="300" spans="1:12" s="93" customFormat="1" ht="46.5" customHeight="1">
      <c r="A300" s="440"/>
      <c r="B300" s="574">
        <v>297</v>
      </c>
      <c r="C300" s="441" t="s">
        <v>1405</v>
      </c>
      <c r="D300" s="441" t="s">
        <v>1374</v>
      </c>
      <c r="E300" s="441">
        <v>2</v>
      </c>
      <c r="F300" s="442" t="s">
        <v>1285</v>
      </c>
      <c r="G300" s="434" t="s">
        <v>1371</v>
      </c>
      <c r="H300" s="434" t="s">
        <v>1338</v>
      </c>
      <c r="I300" s="435" t="s">
        <v>549</v>
      </c>
      <c r="J300" s="576">
        <v>45393</v>
      </c>
      <c r="K300" s="443" t="s">
        <v>1557</v>
      </c>
      <c r="L300" s="523" t="s">
        <v>1558</v>
      </c>
    </row>
    <row r="301" spans="1:12" s="93" customFormat="1" ht="46.5" customHeight="1">
      <c r="A301" s="440"/>
      <c r="B301" s="574">
        <v>298</v>
      </c>
      <c r="C301" s="441" t="s">
        <v>1405</v>
      </c>
      <c r="D301" s="441" t="s">
        <v>1374</v>
      </c>
      <c r="E301" s="441">
        <v>2</v>
      </c>
      <c r="F301" s="442" t="s">
        <v>1285</v>
      </c>
      <c r="G301" s="434" t="s">
        <v>1372</v>
      </c>
      <c r="H301" s="434" t="s">
        <v>1338</v>
      </c>
      <c r="I301" s="435" t="s">
        <v>549</v>
      </c>
      <c r="J301" s="576">
        <v>45393</v>
      </c>
      <c r="K301" s="443" t="s">
        <v>1557</v>
      </c>
      <c r="L301" s="523" t="s">
        <v>1558</v>
      </c>
    </row>
    <row r="302" spans="1:12" s="93" customFormat="1" ht="46.5" customHeight="1">
      <c r="A302" s="440"/>
      <c r="B302" s="574">
        <v>299</v>
      </c>
      <c r="C302" s="441" t="s">
        <v>1405</v>
      </c>
      <c r="D302" s="441" t="s">
        <v>1374</v>
      </c>
      <c r="E302" s="441">
        <v>2</v>
      </c>
      <c r="F302" s="442" t="s">
        <v>1285</v>
      </c>
      <c r="G302" s="434" t="s">
        <v>1373</v>
      </c>
      <c r="H302" s="434" t="s">
        <v>413</v>
      </c>
      <c r="I302" s="435" t="s">
        <v>549</v>
      </c>
      <c r="J302" s="576">
        <v>45393</v>
      </c>
      <c r="K302" s="443" t="s">
        <v>1557</v>
      </c>
      <c r="L302" s="523" t="s">
        <v>1558</v>
      </c>
    </row>
    <row r="303" spans="1:12" s="93" customFormat="1" ht="47.25" customHeight="1">
      <c r="A303" s="440">
        <v>45369</v>
      </c>
      <c r="B303" s="574">
        <v>300</v>
      </c>
      <c r="C303" s="441"/>
      <c r="D303" s="442" t="s">
        <v>80</v>
      </c>
      <c r="E303" s="434">
        <v>2</v>
      </c>
      <c r="F303" s="434" t="s">
        <v>1379</v>
      </c>
      <c r="G303" s="435" t="s">
        <v>1375</v>
      </c>
      <c r="H303" s="436" t="s">
        <v>1376</v>
      </c>
      <c r="I303" s="575" t="s">
        <v>53</v>
      </c>
      <c r="J303" s="576"/>
      <c r="K303" s="443" t="s">
        <v>1557</v>
      </c>
      <c r="L303" s="523" t="s">
        <v>1558</v>
      </c>
    </row>
    <row r="304" spans="1:12" s="93" customFormat="1" ht="47.25" customHeight="1">
      <c r="A304" s="440">
        <v>45306</v>
      </c>
      <c r="B304" s="574">
        <v>301</v>
      </c>
      <c r="C304" s="441"/>
      <c r="D304" s="442" t="s">
        <v>96</v>
      </c>
      <c r="E304" s="434">
        <v>2</v>
      </c>
      <c r="F304" s="434" t="s">
        <v>1318</v>
      </c>
      <c r="G304" s="435" t="s">
        <v>1319</v>
      </c>
      <c r="H304" s="436" t="s">
        <v>603</v>
      </c>
      <c r="I304" s="575" t="s">
        <v>53</v>
      </c>
      <c r="J304" s="576">
        <v>45402</v>
      </c>
      <c r="K304" s="443"/>
      <c r="L304" s="508" t="s">
        <v>1508</v>
      </c>
    </row>
    <row r="305" spans="1:12" s="93" customFormat="1" ht="47.25" customHeight="1">
      <c r="A305" s="440">
        <v>45369</v>
      </c>
      <c r="B305" s="574">
        <v>302</v>
      </c>
      <c r="C305" s="441" t="s">
        <v>1406</v>
      </c>
      <c r="D305" s="442" t="s">
        <v>96</v>
      </c>
      <c r="E305" s="434">
        <v>1</v>
      </c>
      <c r="F305" s="434" t="s">
        <v>1383</v>
      </c>
      <c r="G305" s="435" t="s">
        <v>1384</v>
      </c>
      <c r="H305" s="436" t="s">
        <v>603</v>
      </c>
      <c r="I305" s="575" t="s">
        <v>71</v>
      </c>
      <c r="J305" s="576">
        <v>45405</v>
      </c>
      <c r="K305" s="443"/>
      <c r="L305" s="508" t="s">
        <v>1508</v>
      </c>
    </row>
    <row r="306" spans="1:12" s="93" customFormat="1" ht="47.25" customHeight="1">
      <c r="A306" s="440">
        <v>45369</v>
      </c>
      <c r="B306" s="574">
        <v>303</v>
      </c>
      <c r="C306" s="441" t="s">
        <v>1406</v>
      </c>
      <c r="D306" s="442" t="s">
        <v>96</v>
      </c>
      <c r="E306" s="434">
        <v>1</v>
      </c>
      <c r="F306" s="434" t="s">
        <v>1385</v>
      </c>
      <c r="G306" s="435" t="s">
        <v>1384</v>
      </c>
      <c r="H306" s="436" t="s">
        <v>603</v>
      </c>
      <c r="I306" s="575" t="s">
        <v>50</v>
      </c>
      <c r="J306" s="576">
        <v>45405</v>
      </c>
      <c r="K306" s="443" t="s">
        <v>1557</v>
      </c>
      <c r="L306" s="523" t="s">
        <v>1558</v>
      </c>
    </row>
    <row r="307" spans="1:12" s="93" customFormat="1" ht="53.25" customHeight="1">
      <c r="A307" s="440">
        <v>45402</v>
      </c>
      <c r="B307" s="574">
        <v>304</v>
      </c>
      <c r="C307" s="491" t="s">
        <v>1437</v>
      </c>
      <c r="D307" s="442" t="s">
        <v>197</v>
      </c>
      <c r="E307" s="434">
        <v>3</v>
      </c>
      <c r="F307" s="434" t="s">
        <v>1427</v>
      </c>
      <c r="G307" s="435" t="s">
        <v>1428</v>
      </c>
      <c r="H307" s="436" t="s">
        <v>1429</v>
      </c>
      <c r="I307" s="575" t="s">
        <v>53</v>
      </c>
      <c r="J307" s="576">
        <v>45406</v>
      </c>
      <c r="K307" s="443"/>
      <c r="L307" s="508" t="s">
        <v>1508</v>
      </c>
    </row>
    <row r="308" spans="1:12" s="581" customFormat="1" ht="54" customHeight="1">
      <c r="A308" s="569">
        <v>45405</v>
      </c>
      <c r="B308" s="574">
        <v>305</v>
      </c>
      <c r="C308" s="492" t="s">
        <v>1435</v>
      </c>
      <c r="D308" s="442" t="s">
        <v>96</v>
      </c>
      <c r="E308" s="443">
        <v>1</v>
      </c>
      <c r="F308" s="558" t="s">
        <v>1433</v>
      </c>
      <c r="G308" s="570" t="s">
        <v>1434</v>
      </c>
      <c r="H308" s="571" t="s">
        <v>59</v>
      </c>
      <c r="I308" s="443" t="s">
        <v>748</v>
      </c>
      <c r="J308" s="582">
        <v>45408</v>
      </c>
      <c r="K308" s="443" t="s">
        <v>1557</v>
      </c>
      <c r="L308" s="523" t="s">
        <v>1558</v>
      </c>
    </row>
    <row r="309" spans="1:12" s="581" customFormat="1" ht="54" customHeight="1">
      <c r="A309" s="1005" t="s">
        <v>1801</v>
      </c>
      <c r="B309" s="1006"/>
      <c r="C309" s="1006"/>
      <c r="D309" s="1007"/>
      <c r="E309" s="561">
        <f>SUM(E291:E308)</f>
        <v>34</v>
      </c>
      <c r="F309" s="568"/>
      <c r="G309" s="565"/>
      <c r="H309" s="562"/>
      <c r="I309" s="568"/>
      <c r="J309" s="563"/>
      <c r="K309" s="568"/>
      <c r="L309" s="560"/>
    </row>
    <row r="310" spans="1:12" ht="35.25" customHeight="1">
      <c r="A310" s="1002" t="s">
        <v>1802</v>
      </c>
      <c r="B310" s="1003"/>
      <c r="C310" s="1003"/>
      <c r="D310" s="1003"/>
      <c r="E310" s="1004"/>
      <c r="F310" s="566"/>
      <c r="G310" s="564"/>
      <c r="H310" s="564"/>
      <c r="I310" s="566"/>
      <c r="J310" s="559"/>
      <c r="K310" s="567"/>
      <c r="L310" s="567"/>
    </row>
    <row r="311" spans="1:12" s="93" customFormat="1" ht="47.25" customHeight="1">
      <c r="A311" s="440"/>
      <c r="B311" s="574">
        <v>306</v>
      </c>
      <c r="C311" s="441"/>
      <c r="D311" s="442" t="s">
        <v>1305</v>
      </c>
      <c r="E311" s="434">
        <v>1</v>
      </c>
      <c r="F311" s="434" t="s">
        <v>1329</v>
      </c>
      <c r="G311" s="435" t="s">
        <v>1332</v>
      </c>
      <c r="H311" s="436" t="s">
        <v>1335</v>
      </c>
      <c r="I311" s="575" t="s">
        <v>1357</v>
      </c>
      <c r="J311" s="576">
        <v>45419</v>
      </c>
      <c r="K311" s="443" t="s">
        <v>1557</v>
      </c>
      <c r="L311" s="523" t="s">
        <v>1558</v>
      </c>
    </row>
    <row r="312" spans="1:12" s="93" customFormat="1" ht="47.25" customHeight="1">
      <c r="A312" s="440"/>
      <c r="B312" s="574">
        <v>307</v>
      </c>
      <c r="C312" s="441"/>
      <c r="D312" s="442" t="s">
        <v>1305</v>
      </c>
      <c r="E312" s="434">
        <v>1</v>
      </c>
      <c r="F312" s="434" t="s">
        <v>1331</v>
      </c>
      <c r="G312" s="435" t="s">
        <v>1334</v>
      </c>
      <c r="H312" s="436" t="s">
        <v>1335</v>
      </c>
      <c r="I312" s="575" t="s">
        <v>1357</v>
      </c>
      <c r="J312" s="576">
        <v>45419</v>
      </c>
      <c r="K312" s="443" t="s">
        <v>1557</v>
      </c>
      <c r="L312" s="523" t="s">
        <v>1558</v>
      </c>
    </row>
    <row r="313" spans="1:12" s="93" customFormat="1" ht="47.25" customHeight="1">
      <c r="A313" s="440"/>
      <c r="B313" s="574">
        <v>308</v>
      </c>
      <c r="C313" s="441"/>
      <c r="D313" s="442" t="s">
        <v>1305</v>
      </c>
      <c r="E313" s="434">
        <v>1</v>
      </c>
      <c r="F313" s="434" t="s">
        <v>1355</v>
      </c>
      <c r="G313" s="435" t="s">
        <v>1353</v>
      </c>
      <c r="H313" s="436" t="s">
        <v>1335</v>
      </c>
      <c r="I313" s="575" t="s">
        <v>1357</v>
      </c>
      <c r="J313" s="576">
        <v>45420</v>
      </c>
      <c r="K313" s="443" t="s">
        <v>1557</v>
      </c>
      <c r="L313" s="523" t="s">
        <v>1558</v>
      </c>
    </row>
    <row r="314" spans="1:12" s="93" customFormat="1" ht="47.25" customHeight="1">
      <c r="A314" s="440"/>
      <c r="B314" s="574">
        <v>309</v>
      </c>
      <c r="C314" s="441"/>
      <c r="D314" s="442" t="s">
        <v>1305</v>
      </c>
      <c r="E314" s="434">
        <v>1</v>
      </c>
      <c r="F314" s="434" t="s">
        <v>1356</v>
      </c>
      <c r="G314" s="435" t="s">
        <v>1354</v>
      </c>
      <c r="H314" s="436" t="s">
        <v>1335</v>
      </c>
      <c r="I314" s="575" t="s">
        <v>1357</v>
      </c>
      <c r="J314" s="576">
        <v>45421</v>
      </c>
      <c r="K314" s="443" t="s">
        <v>1557</v>
      </c>
      <c r="L314" s="523" t="s">
        <v>1558</v>
      </c>
    </row>
    <row r="315" spans="1:12" s="93" customFormat="1" ht="53.25" customHeight="1">
      <c r="A315" s="440">
        <v>45383</v>
      </c>
      <c r="B315" s="574">
        <v>310</v>
      </c>
      <c r="C315" s="491" t="s">
        <v>1413</v>
      </c>
      <c r="D315" s="442" t="s">
        <v>80</v>
      </c>
      <c r="E315" s="434">
        <v>1</v>
      </c>
      <c r="F315" s="434" t="s">
        <v>1390</v>
      </c>
      <c r="G315" s="435" t="s">
        <v>84</v>
      </c>
      <c r="H315" s="436" t="s">
        <v>1388</v>
      </c>
      <c r="I315" s="575" t="s">
        <v>1387</v>
      </c>
      <c r="J315" s="576">
        <v>45427</v>
      </c>
      <c r="K315" s="443" t="s">
        <v>1557</v>
      </c>
      <c r="L315" s="523" t="s">
        <v>1558</v>
      </c>
    </row>
    <row r="316" spans="1:12" s="93" customFormat="1" ht="53.25" customHeight="1">
      <c r="A316" s="440">
        <v>45383</v>
      </c>
      <c r="B316" s="574">
        <v>311</v>
      </c>
      <c r="C316" s="491" t="s">
        <v>1413</v>
      </c>
      <c r="D316" s="442" t="s">
        <v>80</v>
      </c>
      <c r="E316" s="434">
        <v>1</v>
      </c>
      <c r="F316" s="434" t="s">
        <v>1391</v>
      </c>
      <c r="G316" s="435" t="s">
        <v>84</v>
      </c>
      <c r="H316" s="436" t="s">
        <v>1389</v>
      </c>
      <c r="I316" s="575" t="s">
        <v>1387</v>
      </c>
      <c r="J316" s="576">
        <v>45427</v>
      </c>
      <c r="K316" s="443" t="s">
        <v>1557</v>
      </c>
      <c r="L316" s="523" t="s">
        <v>1558</v>
      </c>
    </row>
    <row r="317" spans="1:12" s="93" customFormat="1" ht="47.25" customHeight="1">
      <c r="A317" s="440">
        <v>45425</v>
      </c>
      <c r="B317" s="574">
        <v>312</v>
      </c>
      <c r="C317" s="441"/>
      <c r="D317" s="442" t="s">
        <v>657</v>
      </c>
      <c r="E317" s="434">
        <v>1</v>
      </c>
      <c r="F317" s="434" t="s">
        <v>1458</v>
      </c>
      <c r="G317" s="435" t="s">
        <v>1404</v>
      </c>
      <c r="H317" s="436" t="s">
        <v>1232</v>
      </c>
      <c r="I317" s="575" t="s">
        <v>53</v>
      </c>
      <c r="J317" s="576">
        <v>45427</v>
      </c>
      <c r="K317" s="443" t="s">
        <v>1557</v>
      </c>
      <c r="L317" s="523" t="s">
        <v>1558</v>
      </c>
    </row>
    <row r="318" spans="1:12" s="93" customFormat="1" ht="47.25" customHeight="1">
      <c r="A318" s="440">
        <v>45425</v>
      </c>
      <c r="B318" s="574">
        <v>313</v>
      </c>
      <c r="C318" s="441"/>
      <c r="D318" s="442" t="s">
        <v>641</v>
      </c>
      <c r="E318" s="434">
        <v>1</v>
      </c>
      <c r="F318" s="434" t="s">
        <v>1459</v>
      </c>
      <c r="G318" s="435" t="s">
        <v>1436</v>
      </c>
      <c r="H318" s="436" t="s">
        <v>1232</v>
      </c>
      <c r="I318" s="575" t="s">
        <v>53</v>
      </c>
      <c r="J318" s="576">
        <v>45427</v>
      </c>
      <c r="K318" s="443" t="s">
        <v>1557</v>
      </c>
      <c r="L318" s="523" t="s">
        <v>1558</v>
      </c>
    </row>
    <row r="319" spans="1:12" s="93" customFormat="1" ht="54" customHeight="1">
      <c r="A319" s="440">
        <v>45355</v>
      </c>
      <c r="B319" s="574">
        <v>314</v>
      </c>
      <c r="C319" s="441"/>
      <c r="D319" s="442" t="s">
        <v>96</v>
      </c>
      <c r="E319" s="434">
        <v>2</v>
      </c>
      <c r="F319" s="434" t="s">
        <v>1368</v>
      </c>
      <c r="G319" s="435" t="s">
        <v>1369</v>
      </c>
      <c r="H319" s="436" t="s">
        <v>603</v>
      </c>
      <c r="I319" s="575" t="s">
        <v>56</v>
      </c>
      <c r="J319" s="576">
        <v>45429</v>
      </c>
      <c r="K319" s="443"/>
      <c r="L319" s="508" t="s">
        <v>1508</v>
      </c>
    </row>
    <row r="320" spans="1:12" s="93" customFormat="1" ht="47.25" customHeight="1">
      <c r="A320" s="440"/>
      <c r="B320" s="574">
        <v>315</v>
      </c>
      <c r="C320" s="441"/>
      <c r="D320" s="442" t="s">
        <v>1305</v>
      </c>
      <c r="E320" s="434">
        <v>1</v>
      </c>
      <c r="F320" s="434" t="s">
        <v>1330</v>
      </c>
      <c r="G320" s="435" t="s">
        <v>1333</v>
      </c>
      <c r="H320" s="436" t="s">
        <v>1335</v>
      </c>
      <c r="I320" s="575" t="s">
        <v>1357</v>
      </c>
      <c r="J320" s="576">
        <v>45430</v>
      </c>
      <c r="K320" s="443" t="s">
        <v>1557</v>
      </c>
      <c r="L320" s="523" t="s">
        <v>1558</v>
      </c>
    </row>
    <row r="321" spans="1:12" s="93" customFormat="1" ht="47.25" customHeight="1">
      <c r="A321" s="440">
        <v>45356</v>
      </c>
      <c r="B321" s="574">
        <v>316</v>
      </c>
      <c r="C321" s="441"/>
      <c r="D321" s="442" t="s">
        <v>96</v>
      </c>
      <c r="E321" s="434">
        <v>2</v>
      </c>
      <c r="F321" s="434" t="s">
        <v>1363</v>
      </c>
      <c r="G321" s="435" t="s">
        <v>1068</v>
      </c>
      <c r="H321" s="436" t="s">
        <v>603</v>
      </c>
      <c r="I321" s="575" t="s">
        <v>56</v>
      </c>
      <c r="J321" s="576">
        <v>45434</v>
      </c>
      <c r="K321" s="443"/>
      <c r="L321" s="508" t="s">
        <v>1508</v>
      </c>
    </row>
    <row r="322" spans="1:12" s="93" customFormat="1" ht="47.25" customHeight="1">
      <c r="A322" s="440">
        <v>45286</v>
      </c>
      <c r="B322" s="574">
        <v>317</v>
      </c>
      <c r="C322" s="441"/>
      <c r="D322" s="442" t="s">
        <v>96</v>
      </c>
      <c r="E322" s="434">
        <v>2</v>
      </c>
      <c r="F322" s="434" t="s">
        <v>1407</v>
      </c>
      <c r="G322" s="435" t="s">
        <v>1408</v>
      </c>
      <c r="H322" s="436" t="s">
        <v>603</v>
      </c>
      <c r="I322" s="575" t="s">
        <v>53</v>
      </c>
      <c r="J322" s="576">
        <v>45434</v>
      </c>
      <c r="K322" s="443"/>
      <c r="L322" s="508" t="s">
        <v>1508</v>
      </c>
    </row>
    <row r="323" spans="1:12" s="93" customFormat="1" ht="54" customHeight="1">
      <c r="A323" s="440">
        <v>45433</v>
      </c>
      <c r="B323" s="574">
        <v>318</v>
      </c>
      <c r="C323" s="492" t="s">
        <v>1446</v>
      </c>
      <c r="D323" s="442" t="s">
        <v>1470</v>
      </c>
      <c r="E323" s="434">
        <v>2</v>
      </c>
      <c r="F323" s="434" t="s">
        <v>1467</v>
      </c>
      <c r="G323" s="435" t="s">
        <v>1469</v>
      </c>
      <c r="H323" s="436" t="s">
        <v>1468</v>
      </c>
      <c r="I323" s="575" t="s">
        <v>53</v>
      </c>
      <c r="J323" s="576">
        <v>45439</v>
      </c>
      <c r="K323" s="443" t="s">
        <v>1507</v>
      </c>
      <c r="L323" s="508"/>
    </row>
    <row r="324" spans="1:12" s="93" customFormat="1" ht="47.25" customHeight="1">
      <c r="A324" s="440">
        <v>45355</v>
      </c>
      <c r="B324" s="574">
        <v>319</v>
      </c>
      <c r="C324" s="492" t="s">
        <v>1446</v>
      </c>
      <c r="D324" s="442" t="s">
        <v>96</v>
      </c>
      <c r="E324" s="434">
        <v>1</v>
      </c>
      <c r="F324" s="434" t="s">
        <v>1447</v>
      </c>
      <c r="G324" s="435" t="s">
        <v>1394</v>
      </c>
      <c r="H324" s="436" t="s">
        <v>59</v>
      </c>
      <c r="I324" s="575" t="s">
        <v>56</v>
      </c>
      <c r="J324" s="576">
        <v>45439</v>
      </c>
      <c r="K324" s="443"/>
      <c r="L324" s="508" t="s">
        <v>1508</v>
      </c>
    </row>
    <row r="325" spans="1:12" s="581" customFormat="1" ht="54" customHeight="1">
      <c r="A325" s="569">
        <v>45345</v>
      </c>
      <c r="B325" s="574">
        <v>320</v>
      </c>
      <c r="D325" s="442" t="s">
        <v>96</v>
      </c>
      <c r="E325" s="443">
        <v>2</v>
      </c>
      <c r="F325" s="443" t="s">
        <v>1063</v>
      </c>
      <c r="G325" s="570" t="s">
        <v>294</v>
      </c>
      <c r="H325" s="571" t="s">
        <v>295</v>
      </c>
      <c r="I325" s="443" t="s">
        <v>53</v>
      </c>
      <c r="J325" s="576">
        <v>45439</v>
      </c>
      <c r="K325" s="443"/>
      <c r="L325" s="508" t="s">
        <v>1508</v>
      </c>
    </row>
    <row r="326" spans="1:12" s="93" customFormat="1" ht="47.25" customHeight="1">
      <c r="A326" s="440">
        <v>45356</v>
      </c>
      <c r="B326" s="574">
        <v>321</v>
      </c>
      <c r="C326" s="492" t="s">
        <v>1446</v>
      </c>
      <c r="D326" s="442" t="s">
        <v>96</v>
      </c>
      <c r="E326" s="434">
        <v>1</v>
      </c>
      <c r="F326" s="434" t="s">
        <v>1393</v>
      </c>
      <c r="G326" s="435" t="s">
        <v>1394</v>
      </c>
      <c r="H326" s="436" t="s">
        <v>59</v>
      </c>
      <c r="I326" s="575" t="s">
        <v>56</v>
      </c>
      <c r="J326" s="576">
        <v>45439</v>
      </c>
      <c r="K326" s="443" t="s">
        <v>1557</v>
      </c>
      <c r="L326" s="523" t="s">
        <v>1558</v>
      </c>
    </row>
    <row r="327" spans="1:12" s="93" customFormat="1" ht="54" customHeight="1">
      <c r="A327" s="440">
        <v>45373</v>
      </c>
      <c r="B327" s="574">
        <v>322</v>
      </c>
      <c r="C327" s="441"/>
      <c r="D327" s="442" t="s">
        <v>96</v>
      </c>
      <c r="E327" s="434">
        <v>6</v>
      </c>
      <c r="F327" s="434" t="s">
        <v>1395</v>
      </c>
      <c r="G327" s="435" t="s">
        <v>1396</v>
      </c>
      <c r="H327" s="436" t="s">
        <v>52</v>
      </c>
      <c r="I327" s="575" t="s">
        <v>53</v>
      </c>
      <c r="J327" s="576">
        <v>45439</v>
      </c>
      <c r="K327" s="443"/>
      <c r="L327" s="508" t="s">
        <v>1508</v>
      </c>
    </row>
    <row r="328" spans="1:12" s="93" customFormat="1" ht="47.25" customHeight="1">
      <c r="A328" s="440">
        <v>45355</v>
      </c>
      <c r="B328" s="574">
        <v>323</v>
      </c>
      <c r="C328" s="441"/>
      <c r="D328" s="442" t="s">
        <v>96</v>
      </c>
      <c r="E328" s="434">
        <v>2</v>
      </c>
      <c r="F328" s="434" t="s">
        <v>1366</v>
      </c>
      <c r="G328" s="435" t="s">
        <v>1367</v>
      </c>
      <c r="H328" s="436" t="s">
        <v>59</v>
      </c>
      <c r="I328" s="575" t="s">
        <v>56</v>
      </c>
      <c r="J328" s="576">
        <v>45441</v>
      </c>
      <c r="K328" s="443"/>
      <c r="L328" s="508" t="s">
        <v>1508</v>
      </c>
    </row>
    <row r="329" spans="1:12" s="581" customFormat="1" ht="54" customHeight="1">
      <c r="A329" s="1005" t="s">
        <v>1801</v>
      </c>
      <c r="B329" s="1006"/>
      <c r="C329" s="1006"/>
      <c r="D329" s="1007"/>
      <c r="E329" s="561">
        <f>SUM(E311:E328)</f>
        <v>29</v>
      </c>
      <c r="F329" s="568"/>
      <c r="G329" s="565"/>
      <c r="H329" s="562"/>
      <c r="I329" s="568"/>
      <c r="J329" s="563"/>
      <c r="K329" s="568"/>
      <c r="L329" s="560"/>
    </row>
    <row r="330" spans="1:12" ht="35.25" customHeight="1">
      <c r="A330" s="1002" t="s">
        <v>1803</v>
      </c>
      <c r="B330" s="1003"/>
      <c r="C330" s="1003"/>
      <c r="D330" s="1003"/>
      <c r="E330" s="1004"/>
      <c r="F330" s="566"/>
      <c r="G330" s="564"/>
      <c r="H330" s="564"/>
      <c r="I330" s="566"/>
      <c r="J330" s="559"/>
      <c r="K330" s="567"/>
      <c r="L330" s="567"/>
    </row>
    <row r="331" spans="1:12" s="93" customFormat="1" ht="43.5" customHeight="1">
      <c r="A331" s="440">
        <v>45369</v>
      </c>
      <c r="B331" s="574">
        <v>324</v>
      </c>
      <c r="C331" s="441"/>
      <c r="D331" s="442" t="s">
        <v>96</v>
      </c>
      <c r="E331" s="434">
        <v>2</v>
      </c>
      <c r="F331" s="434" t="s">
        <v>1382</v>
      </c>
      <c r="G331" s="435" t="s">
        <v>124</v>
      </c>
      <c r="H331" s="436" t="s">
        <v>59</v>
      </c>
      <c r="I331" s="575" t="s">
        <v>56</v>
      </c>
      <c r="J331" s="576">
        <v>45444</v>
      </c>
      <c r="K331" s="443"/>
      <c r="L331" s="508" t="s">
        <v>1508</v>
      </c>
    </row>
    <row r="332" spans="1:12" s="93" customFormat="1" ht="54" customHeight="1">
      <c r="A332" s="440">
        <v>45437</v>
      </c>
      <c r="B332" s="574">
        <v>325</v>
      </c>
      <c r="C332" s="492" t="s">
        <v>1446</v>
      </c>
      <c r="D332" s="442" t="s">
        <v>96</v>
      </c>
      <c r="E332" s="434" t="s">
        <v>1505</v>
      </c>
      <c r="F332" s="434" t="s">
        <v>1322</v>
      </c>
      <c r="G332" s="435" t="s">
        <v>1323</v>
      </c>
      <c r="H332" s="436" t="s">
        <v>603</v>
      </c>
      <c r="I332" s="575" t="s">
        <v>75</v>
      </c>
      <c r="J332" s="576">
        <v>45444</v>
      </c>
      <c r="K332" s="443" t="s">
        <v>1557</v>
      </c>
      <c r="L332" s="523" t="s">
        <v>1558</v>
      </c>
    </row>
    <row r="333" spans="1:12" s="93" customFormat="1" ht="54" customHeight="1">
      <c r="A333" s="440">
        <v>45349</v>
      </c>
      <c r="B333" s="574">
        <v>326</v>
      </c>
      <c r="C333" s="583"/>
      <c r="D333" s="442" t="s">
        <v>96</v>
      </c>
      <c r="E333" s="434">
        <v>2</v>
      </c>
      <c r="F333" s="434" t="s">
        <v>1351</v>
      </c>
      <c r="G333" s="435" t="s">
        <v>1352</v>
      </c>
      <c r="H333" s="436" t="s">
        <v>603</v>
      </c>
      <c r="I333" s="575" t="s">
        <v>56</v>
      </c>
      <c r="J333" s="576">
        <v>45451</v>
      </c>
      <c r="K333" s="443"/>
      <c r="L333" s="508" t="s">
        <v>1508</v>
      </c>
    </row>
    <row r="334" spans="1:12" s="93" customFormat="1" ht="54" customHeight="1">
      <c r="A334" s="440">
        <v>45419</v>
      </c>
      <c r="B334" s="574">
        <v>327</v>
      </c>
      <c r="C334" s="583"/>
      <c r="D334" s="442" t="s">
        <v>96</v>
      </c>
      <c r="E334" s="434">
        <v>2</v>
      </c>
      <c r="F334" s="434" t="s">
        <v>1440</v>
      </c>
      <c r="G334" s="435" t="s">
        <v>1441</v>
      </c>
      <c r="H334" s="436" t="s">
        <v>49</v>
      </c>
      <c r="I334" s="575" t="s">
        <v>56</v>
      </c>
      <c r="J334" s="576">
        <v>45450</v>
      </c>
      <c r="K334" s="443"/>
      <c r="L334" s="508" t="s">
        <v>1508</v>
      </c>
    </row>
    <row r="335" spans="1:12" s="93" customFormat="1" ht="48.75" customHeight="1">
      <c r="A335" s="440">
        <v>45369</v>
      </c>
      <c r="B335" s="574">
        <v>328</v>
      </c>
      <c r="C335" s="441"/>
      <c r="D335" s="442" t="s">
        <v>96</v>
      </c>
      <c r="E335" s="434">
        <v>2</v>
      </c>
      <c r="F335" s="434" t="s">
        <v>1380</v>
      </c>
      <c r="G335" s="435" t="s">
        <v>1381</v>
      </c>
      <c r="H335" s="436" t="s">
        <v>59</v>
      </c>
      <c r="I335" s="575" t="s">
        <v>53</v>
      </c>
      <c r="J335" s="576">
        <v>45454</v>
      </c>
      <c r="K335" s="443"/>
      <c r="L335" s="508" t="s">
        <v>1508</v>
      </c>
    </row>
    <row r="336" spans="1:12" s="93" customFormat="1" ht="46.5" customHeight="1">
      <c r="A336" s="440">
        <v>45446</v>
      </c>
      <c r="B336" s="574">
        <v>329</v>
      </c>
      <c r="C336" s="441"/>
      <c r="D336" s="442" t="s">
        <v>96</v>
      </c>
      <c r="E336" s="434">
        <v>2</v>
      </c>
      <c r="F336" s="434" t="s">
        <v>1510</v>
      </c>
      <c r="G336" s="435" t="s">
        <v>154</v>
      </c>
      <c r="H336" s="436" t="s">
        <v>1511</v>
      </c>
      <c r="I336" s="575" t="s">
        <v>53</v>
      </c>
      <c r="J336" s="576">
        <v>45458</v>
      </c>
      <c r="K336" s="443"/>
      <c r="L336" s="508" t="s">
        <v>1508</v>
      </c>
    </row>
    <row r="337" spans="1:12" s="93" customFormat="1" ht="46.5" customHeight="1">
      <c r="A337" s="440">
        <v>45453</v>
      </c>
      <c r="B337" s="574">
        <v>330</v>
      </c>
      <c r="C337" s="441" t="s">
        <v>1533</v>
      </c>
      <c r="D337" s="442" t="s">
        <v>1470</v>
      </c>
      <c r="E337" s="434">
        <v>2</v>
      </c>
      <c r="F337" s="434" t="s">
        <v>1467</v>
      </c>
      <c r="G337" s="435" t="s">
        <v>1469</v>
      </c>
      <c r="H337" s="436" t="s">
        <v>1468</v>
      </c>
      <c r="I337" s="575" t="s">
        <v>53</v>
      </c>
      <c r="J337" s="576">
        <v>45462</v>
      </c>
      <c r="K337" s="443" t="s">
        <v>1557</v>
      </c>
      <c r="L337" s="523" t="s">
        <v>1558</v>
      </c>
    </row>
    <row r="338" spans="1:12" s="93" customFormat="1" ht="46.5" customHeight="1">
      <c r="A338" s="440">
        <v>45355</v>
      </c>
      <c r="B338" s="574">
        <v>331</v>
      </c>
      <c r="C338" s="441"/>
      <c r="D338" s="442" t="s">
        <v>96</v>
      </c>
      <c r="E338" s="434">
        <v>2</v>
      </c>
      <c r="F338" s="434" t="s">
        <v>1409</v>
      </c>
      <c r="G338" s="435" t="s">
        <v>1410</v>
      </c>
      <c r="H338" s="436" t="s">
        <v>59</v>
      </c>
      <c r="I338" s="575" t="s">
        <v>56</v>
      </c>
      <c r="J338" s="576">
        <v>45469</v>
      </c>
      <c r="K338" s="443"/>
      <c r="L338" s="508" t="s">
        <v>1508</v>
      </c>
    </row>
    <row r="339" spans="1:12" s="93" customFormat="1" ht="46.5" customHeight="1">
      <c r="A339" s="440">
        <v>45455</v>
      </c>
      <c r="B339" s="574">
        <v>332</v>
      </c>
      <c r="C339" s="441"/>
      <c r="D339" s="442" t="s">
        <v>96</v>
      </c>
      <c r="E339" s="434">
        <v>2</v>
      </c>
      <c r="F339" s="434" t="s">
        <v>1568</v>
      </c>
      <c r="G339" s="435" t="s">
        <v>1412</v>
      </c>
      <c r="H339" s="436" t="s">
        <v>59</v>
      </c>
      <c r="I339" s="575" t="s">
        <v>56</v>
      </c>
      <c r="J339" s="576">
        <v>45469</v>
      </c>
      <c r="K339" s="443"/>
      <c r="L339" s="508" t="s">
        <v>1508</v>
      </c>
    </row>
    <row r="340" spans="1:12" s="93" customFormat="1" ht="46.5" customHeight="1">
      <c r="A340" s="440">
        <v>45468</v>
      </c>
      <c r="B340" s="574">
        <v>333</v>
      </c>
      <c r="C340" s="441"/>
      <c r="D340" s="442" t="s">
        <v>96</v>
      </c>
      <c r="E340" s="434">
        <v>6</v>
      </c>
      <c r="F340" s="434" t="s">
        <v>1560</v>
      </c>
      <c r="G340" s="435" t="s">
        <v>1396</v>
      </c>
      <c r="H340" s="436" t="s">
        <v>96</v>
      </c>
      <c r="I340" s="575" t="s">
        <v>53</v>
      </c>
      <c r="J340" s="576">
        <v>45470</v>
      </c>
      <c r="K340" s="443"/>
      <c r="L340" s="508" t="s">
        <v>1508</v>
      </c>
    </row>
    <row r="341" spans="1:12" s="93" customFormat="1" ht="46.5" customHeight="1">
      <c r="A341" s="440">
        <v>45419</v>
      </c>
      <c r="B341" s="574">
        <v>334</v>
      </c>
      <c r="C341" s="441"/>
      <c r="D341" s="442" t="s">
        <v>96</v>
      </c>
      <c r="E341" s="434">
        <v>2</v>
      </c>
      <c r="F341" s="434" t="s">
        <v>1411</v>
      </c>
      <c r="G341" s="435" t="s">
        <v>1412</v>
      </c>
      <c r="H341" s="436" t="s">
        <v>59</v>
      </c>
      <c r="I341" s="575" t="s">
        <v>56</v>
      </c>
      <c r="J341" s="576">
        <v>45471</v>
      </c>
      <c r="K341" s="443"/>
      <c r="L341" s="508" t="s">
        <v>1508</v>
      </c>
    </row>
    <row r="342" spans="1:12" s="93" customFormat="1" ht="46.5" customHeight="1">
      <c r="A342" s="440">
        <v>45449</v>
      </c>
      <c r="B342" s="574">
        <v>335</v>
      </c>
      <c r="C342" s="441" t="s">
        <v>603</v>
      </c>
      <c r="D342" s="442" t="s">
        <v>96</v>
      </c>
      <c r="E342" s="434">
        <v>1</v>
      </c>
      <c r="F342" s="434" t="s">
        <v>1322</v>
      </c>
      <c r="G342" s="435" t="s">
        <v>1323</v>
      </c>
      <c r="H342" s="436" t="s">
        <v>603</v>
      </c>
      <c r="I342" s="575" t="s">
        <v>75</v>
      </c>
      <c r="J342" s="576">
        <v>45471</v>
      </c>
      <c r="K342" s="443"/>
      <c r="L342" s="508" t="s">
        <v>1508</v>
      </c>
    </row>
    <row r="343" spans="1:12" s="581" customFormat="1" ht="54" customHeight="1">
      <c r="A343" s="1005" t="s">
        <v>1801</v>
      </c>
      <c r="B343" s="1006"/>
      <c r="C343" s="1006"/>
      <c r="D343" s="1007"/>
      <c r="E343" s="561">
        <f>SUM(E333:E342)</f>
        <v>23</v>
      </c>
      <c r="F343" s="568"/>
      <c r="G343" s="565"/>
      <c r="H343" s="562"/>
      <c r="I343" s="568"/>
      <c r="J343" s="563"/>
      <c r="K343" s="568"/>
      <c r="L343" s="560"/>
    </row>
    <row r="344" spans="1:12" ht="35.25" customHeight="1">
      <c r="A344" s="1002" t="s">
        <v>1804</v>
      </c>
      <c r="B344" s="1003"/>
      <c r="C344" s="1003"/>
      <c r="D344" s="1003"/>
      <c r="E344" s="1004"/>
      <c r="F344" s="566"/>
      <c r="G344" s="564"/>
      <c r="H344" s="564"/>
      <c r="I344" s="566"/>
      <c r="J344" s="559"/>
      <c r="K344" s="567"/>
      <c r="L344" s="567"/>
    </row>
    <row r="345" spans="1:12" s="93" customFormat="1" ht="46.5" customHeight="1">
      <c r="A345" s="440">
        <v>45453</v>
      </c>
      <c r="B345" s="574">
        <v>336</v>
      </c>
      <c r="C345" s="492" t="s">
        <v>1446</v>
      </c>
      <c r="D345" s="442" t="s">
        <v>1263</v>
      </c>
      <c r="E345" s="434">
        <v>2</v>
      </c>
      <c r="F345" s="434" t="s">
        <v>1486</v>
      </c>
      <c r="G345" s="435" t="s">
        <v>1487</v>
      </c>
      <c r="H345" s="436" t="s">
        <v>1232</v>
      </c>
      <c r="I345" s="575" t="s">
        <v>53</v>
      </c>
      <c r="J345" s="576">
        <v>45474</v>
      </c>
      <c r="K345" s="443"/>
      <c r="L345" s="508" t="s">
        <v>1508</v>
      </c>
    </row>
    <row r="346" spans="1:12" s="93" customFormat="1" ht="46.5" customHeight="1">
      <c r="A346" s="440">
        <v>45453</v>
      </c>
      <c r="B346" s="574">
        <v>337</v>
      </c>
      <c r="C346" s="492" t="s">
        <v>1446</v>
      </c>
      <c r="D346" s="442" t="s">
        <v>1263</v>
      </c>
      <c r="E346" s="434">
        <v>2</v>
      </c>
      <c r="F346" s="434" t="s">
        <v>1495</v>
      </c>
      <c r="G346" s="435" t="s">
        <v>1496</v>
      </c>
      <c r="H346" s="436" t="s">
        <v>1232</v>
      </c>
      <c r="I346" s="575" t="s">
        <v>53</v>
      </c>
      <c r="J346" s="576">
        <v>45474</v>
      </c>
      <c r="K346" s="443"/>
      <c r="L346" s="508" t="s">
        <v>1508</v>
      </c>
    </row>
    <row r="347" spans="1:12" s="93" customFormat="1" ht="47.25" customHeight="1">
      <c r="A347" s="440">
        <v>45453</v>
      </c>
      <c r="B347" s="574">
        <v>338</v>
      </c>
      <c r="C347" s="441"/>
      <c r="D347" s="442" t="s">
        <v>1263</v>
      </c>
      <c r="E347" s="434">
        <v>1</v>
      </c>
      <c r="F347" s="434" t="s">
        <v>1482</v>
      </c>
      <c r="G347" s="435" t="s">
        <v>1483</v>
      </c>
      <c r="H347" s="436" t="s">
        <v>1232</v>
      </c>
      <c r="I347" s="575" t="s">
        <v>1308</v>
      </c>
      <c r="J347" s="576">
        <v>45474</v>
      </c>
      <c r="K347" s="443"/>
      <c r="L347" s="508" t="s">
        <v>1508</v>
      </c>
    </row>
    <row r="348" spans="1:12" s="93" customFormat="1" ht="46.5" customHeight="1">
      <c r="A348" s="440">
        <v>45453</v>
      </c>
      <c r="B348" s="574">
        <v>339</v>
      </c>
      <c r="C348" s="441"/>
      <c r="D348" s="442" t="s">
        <v>1263</v>
      </c>
      <c r="E348" s="434">
        <v>1</v>
      </c>
      <c r="F348" s="434" t="s">
        <v>1489</v>
      </c>
      <c r="G348" s="435" t="s">
        <v>1490</v>
      </c>
      <c r="H348" s="436" t="s">
        <v>1232</v>
      </c>
      <c r="I348" s="575" t="s">
        <v>1308</v>
      </c>
      <c r="J348" s="576">
        <v>45474</v>
      </c>
      <c r="K348" s="443"/>
      <c r="L348" s="508" t="s">
        <v>1508</v>
      </c>
    </row>
    <row r="349" spans="1:12" s="93" customFormat="1" ht="46.5" customHeight="1">
      <c r="A349" s="440">
        <v>45453</v>
      </c>
      <c r="B349" s="574">
        <v>340</v>
      </c>
      <c r="C349" s="441"/>
      <c r="D349" s="442" t="s">
        <v>1263</v>
      </c>
      <c r="E349" s="434">
        <v>1</v>
      </c>
      <c r="F349" s="434" t="s">
        <v>1492</v>
      </c>
      <c r="G349" s="435" t="s">
        <v>1493</v>
      </c>
      <c r="H349" s="436" t="s">
        <v>1232</v>
      </c>
      <c r="I349" s="575" t="s">
        <v>1308</v>
      </c>
      <c r="J349" s="576">
        <v>45474</v>
      </c>
      <c r="K349" s="443"/>
      <c r="L349" s="508" t="s">
        <v>1508</v>
      </c>
    </row>
    <row r="350" spans="1:12" s="93" customFormat="1" ht="57.75" customHeight="1">
      <c r="A350" s="440">
        <v>45469</v>
      </c>
      <c r="B350" s="574">
        <v>341</v>
      </c>
      <c r="C350" s="441"/>
      <c r="D350" s="442" t="s">
        <v>80</v>
      </c>
      <c r="E350" s="434">
        <v>2</v>
      </c>
      <c r="F350" s="434" t="s">
        <v>1548</v>
      </c>
      <c r="G350" s="435" t="s">
        <v>1592</v>
      </c>
      <c r="H350" s="436" t="s">
        <v>1563</v>
      </c>
      <c r="I350" s="575" t="s">
        <v>53</v>
      </c>
      <c r="J350" s="576">
        <v>45481</v>
      </c>
      <c r="K350" s="443" t="s">
        <v>1557</v>
      </c>
      <c r="L350" s="523" t="s">
        <v>1558</v>
      </c>
    </row>
    <row r="351" spans="1:12" s="93" customFormat="1" ht="57.75" customHeight="1">
      <c r="A351" s="440">
        <v>45469</v>
      </c>
      <c r="B351" s="574">
        <v>342</v>
      </c>
      <c r="C351" s="441"/>
      <c r="D351" s="442" t="s">
        <v>80</v>
      </c>
      <c r="E351" s="434">
        <v>2</v>
      </c>
      <c r="F351" s="434" t="s">
        <v>1562</v>
      </c>
      <c r="G351" s="435" t="s">
        <v>1592</v>
      </c>
      <c r="H351" s="436" t="s">
        <v>1563</v>
      </c>
      <c r="I351" s="575" t="s">
        <v>53</v>
      </c>
      <c r="J351" s="576">
        <v>45481</v>
      </c>
      <c r="K351" s="443" t="s">
        <v>1557</v>
      </c>
      <c r="L351" s="523" t="s">
        <v>1558</v>
      </c>
    </row>
    <row r="352" spans="1:12" s="93" customFormat="1" ht="57.75" customHeight="1">
      <c r="A352" s="440">
        <v>45419</v>
      </c>
      <c r="B352" s="574">
        <v>343</v>
      </c>
      <c r="C352" s="441"/>
      <c r="D352" s="442" t="s">
        <v>96</v>
      </c>
      <c r="E352" s="434">
        <v>2</v>
      </c>
      <c r="F352" s="434" t="s">
        <v>1442</v>
      </c>
      <c r="G352" s="435" t="s">
        <v>1443</v>
      </c>
      <c r="H352" s="436" t="s">
        <v>1444</v>
      </c>
      <c r="I352" s="575" t="s">
        <v>50</v>
      </c>
      <c r="J352" s="576">
        <v>45484</v>
      </c>
      <c r="K352" s="443"/>
      <c r="L352" s="508" t="s">
        <v>1508</v>
      </c>
    </row>
    <row r="353" spans="1:12" s="93" customFormat="1" ht="50.25" customHeight="1">
      <c r="A353" s="440">
        <v>45420</v>
      </c>
      <c r="B353" s="574">
        <v>344</v>
      </c>
      <c r="C353" s="441"/>
      <c r="D353" s="442" t="s">
        <v>96</v>
      </c>
      <c r="E353" s="434">
        <v>2</v>
      </c>
      <c r="F353" s="434" t="s">
        <v>1448</v>
      </c>
      <c r="G353" s="435" t="s">
        <v>1443</v>
      </c>
      <c r="H353" s="436" t="s">
        <v>1444</v>
      </c>
      <c r="I353" s="575" t="s">
        <v>1308</v>
      </c>
      <c r="J353" s="576">
        <v>45486</v>
      </c>
      <c r="K353" s="443"/>
      <c r="L353" s="508" t="s">
        <v>1508</v>
      </c>
    </row>
    <row r="354" spans="1:12" s="93" customFormat="1" ht="50.25" customHeight="1">
      <c r="A354" s="440">
        <v>45468</v>
      </c>
      <c r="B354" s="574">
        <v>345</v>
      </c>
      <c r="C354" s="441"/>
      <c r="D354" s="442" t="s">
        <v>96</v>
      </c>
      <c r="E354" s="434">
        <v>2</v>
      </c>
      <c r="F354" s="434" t="s">
        <v>1365</v>
      </c>
      <c r="G354" s="435" t="s">
        <v>1561</v>
      </c>
      <c r="H354" s="436" t="s">
        <v>49</v>
      </c>
      <c r="I354" s="575" t="s">
        <v>56</v>
      </c>
      <c r="J354" s="576">
        <v>45488</v>
      </c>
      <c r="K354" s="443"/>
      <c r="L354" s="508" t="s">
        <v>1508</v>
      </c>
    </row>
    <row r="355" spans="1:12" s="93" customFormat="1" ht="50.25" customHeight="1">
      <c r="A355" s="440">
        <v>45471</v>
      </c>
      <c r="B355" s="574">
        <v>346</v>
      </c>
      <c r="C355" s="441"/>
      <c r="D355" s="442" t="s">
        <v>1594</v>
      </c>
      <c r="E355" s="434">
        <v>2</v>
      </c>
      <c r="F355" s="434" t="s">
        <v>1593</v>
      </c>
      <c r="G355" s="435" t="s">
        <v>147</v>
      </c>
      <c r="H355" s="436" t="s">
        <v>59</v>
      </c>
      <c r="I355" s="575" t="s">
        <v>53</v>
      </c>
      <c r="J355" s="576">
        <v>45495</v>
      </c>
      <c r="K355" s="443"/>
      <c r="L355" s="508" t="s">
        <v>1508</v>
      </c>
    </row>
    <row r="356" spans="1:12" s="93" customFormat="1" ht="50.25" customHeight="1">
      <c r="A356" s="440">
        <v>45419</v>
      </c>
      <c r="B356" s="574">
        <v>347</v>
      </c>
      <c r="C356" s="441"/>
      <c r="D356" s="442" t="s">
        <v>96</v>
      </c>
      <c r="E356" s="434">
        <v>2</v>
      </c>
      <c r="F356" s="434" t="s">
        <v>1445</v>
      </c>
      <c r="G356" s="435" t="s">
        <v>1443</v>
      </c>
      <c r="H356" s="436" t="s">
        <v>1444</v>
      </c>
      <c r="I356" s="575" t="s">
        <v>71</v>
      </c>
      <c r="J356" s="576">
        <v>45497</v>
      </c>
      <c r="K356" s="443"/>
      <c r="L356" s="508" t="s">
        <v>1508</v>
      </c>
    </row>
    <row r="357" spans="1:12" s="93" customFormat="1" ht="50.25" customHeight="1">
      <c r="A357" s="440">
        <v>45493</v>
      </c>
      <c r="B357" s="574">
        <v>348</v>
      </c>
      <c r="C357" s="441"/>
      <c r="D357" s="442" t="s">
        <v>1305</v>
      </c>
      <c r="E357" s="434">
        <v>1</v>
      </c>
      <c r="F357" s="434" t="s">
        <v>1608</v>
      </c>
      <c r="G357" s="435" t="s">
        <v>1483</v>
      </c>
      <c r="H357" s="436" t="s">
        <v>59</v>
      </c>
      <c r="I357" s="575" t="s">
        <v>1498</v>
      </c>
      <c r="J357" s="576">
        <v>45499</v>
      </c>
      <c r="K357" s="443" t="s">
        <v>1557</v>
      </c>
      <c r="L357" s="523" t="s">
        <v>1558</v>
      </c>
    </row>
    <row r="358" spans="1:12" s="93" customFormat="1" ht="50.25" customHeight="1">
      <c r="A358" s="440">
        <v>45493</v>
      </c>
      <c r="B358" s="574">
        <v>349</v>
      </c>
      <c r="C358" s="441"/>
      <c r="D358" s="442" t="s">
        <v>1305</v>
      </c>
      <c r="E358" s="434">
        <v>1</v>
      </c>
      <c r="F358" s="434" t="s">
        <v>1609</v>
      </c>
      <c r="G358" s="435" t="s">
        <v>1487</v>
      </c>
      <c r="H358" s="436" t="s">
        <v>59</v>
      </c>
      <c r="I358" s="575" t="s">
        <v>1498</v>
      </c>
      <c r="J358" s="576">
        <v>45499</v>
      </c>
      <c r="K358" s="443" t="s">
        <v>1557</v>
      </c>
      <c r="L358" s="523" t="s">
        <v>1558</v>
      </c>
    </row>
    <row r="359" spans="1:12" s="93" customFormat="1" ht="50.25" customHeight="1">
      <c r="A359" s="440">
        <v>45493</v>
      </c>
      <c r="B359" s="574">
        <v>350</v>
      </c>
      <c r="C359" s="441"/>
      <c r="D359" s="442" t="s">
        <v>1305</v>
      </c>
      <c r="E359" s="434">
        <v>1</v>
      </c>
      <c r="F359" s="434" t="s">
        <v>1610</v>
      </c>
      <c r="G359" s="435" t="s">
        <v>1490</v>
      </c>
      <c r="H359" s="436" t="s">
        <v>59</v>
      </c>
      <c r="I359" s="575" t="s">
        <v>1498</v>
      </c>
      <c r="J359" s="576">
        <v>45499</v>
      </c>
      <c r="K359" s="443" t="s">
        <v>1557</v>
      </c>
      <c r="L359" s="523" t="s">
        <v>1558</v>
      </c>
    </row>
    <row r="360" spans="1:12" s="93" customFormat="1" ht="50.25" customHeight="1">
      <c r="A360" s="440">
        <v>45493</v>
      </c>
      <c r="B360" s="574">
        <v>351</v>
      </c>
      <c r="C360" s="441"/>
      <c r="D360" s="442" t="s">
        <v>1305</v>
      </c>
      <c r="E360" s="434">
        <v>1</v>
      </c>
      <c r="F360" s="434" t="s">
        <v>1611</v>
      </c>
      <c r="G360" s="435" t="s">
        <v>1493</v>
      </c>
      <c r="H360" s="436" t="s">
        <v>59</v>
      </c>
      <c r="I360" s="575" t="s">
        <v>1498</v>
      </c>
      <c r="J360" s="576">
        <v>45499</v>
      </c>
      <c r="K360" s="443" t="s">
        <v>1557</v>
      </c>
      <c r="L360" s="523" t="s">
        <v>1558</v>
      </c>
    </row>
    <row r="361" spans="1:12" s="93" customFormat="1" ht="50.25" customHeight="1">
      <c r="A361" s="440">
        <v>45493</v>
      </c>
      <c r="B361" s="574">
        <v>352</v>
      </c>
      <c r="C361" s="441"/>
      <c r="D361" s="442" t="s">
        <v>1305</v>
      </c>
      <c r="E361" s="434">
        <v>1</v>
      </c>
      <c r="F361" s="434" t="s">
        <v>1612</v>
      </c>
      <c r="G361" s="435" t="s">
        <v>1496</v>
      </c>
      <c r="H361" s="436" t="s">
        <v>59</v>
      </c>
      <c r="I361" s="575" t="s">
        <v>1498</v>
      </c>
      <c r="J361" s="576">
        <v>45499</v>
      </c>
      <c r="K361" s="443" t="s">
        <v>1557</v>
      </c>
      <c r="L361" s="508" t="s">
        <v>1508</v>
      </c>
    </row>
    <row r="362" spans="1:12" s="93" customFormat="1" ht="50.25" customHeight="1">
      <c r="A362" s="440">
        <v>45493</v>
      </c>
      <c r="B362" s="574">
        <v>353</v>
      </c>
      <c r="C362" s="441"/>
      <c r="D362" s="442" t="s">
        <v>1627</v>
      </c>
      <c r="E362" s="434">
        <v>2</v>
      </c>
      <c r="F362" s="434" t="s">
        <v>1628</v>
      </c>
      <c r="G362" s="435" t="s">
        <v>1626</v>
      </c>
      <c r="H362" s="436" t="s">
        <v>59</v>
      </c>
      <c r="I362" s="575" t="s">
        <v>53</v>
      </c>
      <c r="J362" s="576">
        <v>45500</v>
      </c>
      <c r="K362" s="443"/>
      <c r="L362" s="508" t="s">
        <v>1508</v>
      </c>
    </row>
    <row r="363" spans="1:12" s="93" customFormat="1" ht="48" customHeight="1">
      <c r="A363" s="440">
        <v>45478</v>
      </c>
      <c r="B363" s="574">
        <v>354</v>
      </c>
      <c r="C363" s="441"/>
      <c r="D363" s="442" t="s">
        <v>96</v>
      </c>
      <c r="E363" s="434">
        <v>1</v>
      </c>
      <c r="F363" s="442" t="s">
        <v>1607</v>
      </c>
      <c r="G363" s="434" t="s">
        <v>1613</v>
      </c>
      <c r="H363" s="436" t="s">
        <v>59</v>
      </c>
      <c r="I363" s="435" t="s">
        <v>53</v>
      </c>
      <c r="J363" s="576">
        <v>45503</v>
      </c>
      <c r="K363" s="443" t="s">
        <v>1557</v>
      </c>
      <c r="L363" s="523" t="s">
        <v>1558</v>
      </c>
    </row>
    <row r="364" spans="1:12" s="581" customFormat="1" ht="54" customHeight="1">
      <c r="A364" s="1005" t="s">
        <v>1801</v>
      </c>
      <c r="B364" s="1006"/>
      <c r="C364" s="1006"/>
      <c r="D364" s="1007"/>
      <c r="E364" s="561">
        <f>SUM(E345:E363)</f>
        <v>29</v>
      </c>
      <c r="F364" s="568"/>
      <c r="G364" s="565"/>
      <c r="H364" s="562"/>
      <c r="I364" s="568"/>
      <c r="J364" s="563"/>
      <c r="K364" s="568"/>
      <c r="L364" s="560"/>
    </row>
    <row r="365" spans="1:12" ht="35.25" customHeight="1">
      <c r="A365" s="1002" t="s">
        <v>1805</v>
      </c>
      <c r="B365" s="1003"/>
      <c r="C365" s="1003"/>
      <c r="D365" s="1003"/>
      <c r="E365" s="1004"/>
      <c r="F365" s="566"/>
      <c r="G365" s="564"/>
      <c r="H365" s="564"/>
      <c r="I365" s="566"/>
      <c r="J365" s="559"/>
      <c r="K365" s="567"/>
      <c r="L365" s="567"/>
    </row>
    <row r="366" spans="1:12" s="93" customFormat="1" ht="48" customHeight="1">
      <c r="A366" s="440">
        <v>45497</v>
      </c>
      <c r="B366" s="574">
        <v>355</v>
      </c>
      <c r="C366" s="441"/>
      <c r="D366" s="442" t="s">
        <v>96</v>
      </c>
      <c r="E366" s="434">
        <v>2</v>
      </c>
      <c r="F366" s="442" t="s">
        <v>1363</v>
      </c>
      <c r="G366" s="434" t="s">
        <v>1068</v>
      </c>
      <c r="H366" s="436" t="s">
        <v>603</v>
      </c>
      <c r="I366" s="435" t="s">
        <v>56</v>
      </c>
      <c r="J366" s="576">
        <v>45509</v>
      </c>
      <c r="K366" s="443"/>
      <c r="L366" s="508" t="s">
        <v>1508</v>
      </c>
    </row>
    <row r="367" spans="1:12" s="93" customFormat="1" ht="48" customHeight="1">
      <c r="A367" s="440">
        <v>45496</v>
      </c>
      <c r="B367" s="574">
        <v>356</v>
      </c>
      <c r="C367" s="441"/>
      <c r="D367" s="442" t="s">
        <v>600</v>
      </c>
      <c r="E367" s="434">
        <v>2</v>
      </c>
      <c r="F367" s="442" t="s">
        <v>1619</v>
      </c>
      <c r="G367" s="434" t="s">
        <v>1624</v>
      </c>
      <c r="H367" s="436" t="s">
        <v>1615</v>
      </c>
      <c r="I367" s="435" t="s">
        <v>53</v>
      </c>
      <c r="J367" s="576">
        <v>45513</v>
      </c>
      <c r="K367" s="443" t="s">
        <v>1557</v>
      </c>
      <c r="L367" s="523" t="s">
        <v>1558</v>
      </c>
    </row>
    <row r="368" spans="1:12" s="93" customFormat="1" ht="48" customHeight="1">
      <c r="A368" s="440">
        <v>45496</v>
      </c>
      <c r="B368" s="574">
        <v>357</v>
      </c>
      <c r="C368" s="441"/>
      <c r="D368" s="442" t="s">
        <v>600</v>
      </c>
      <c r="E368" s="434">
        <v>1</v>
      </c>
      <c r="F368" s="442" t="s">
        <v>1617</v>
      </c>
      <c r="G368" s="434" t="s">
        <v>1622</v>
      </c>
      <c r="H368" s="436" t="s">
        <v>1615</v>
      </c>
      <c r="I368" s="435" t="s">
        <v>53</v>
      </c>
      <c r="J368" s="576">
        <v>45516</v>
      </c>
      <c r="K368" s="443" t="s">
        <v>1557</v>
      </c>
      <c r="L368" s="523" t="s">
        <v>1558</v>
      </c>
    </row>
    <row r="369" spans="1:12" s="93" customFormat="1" ht="48" customHeight="1">
      <c r="A369" s="440">
        <v>45496</v>
      </c>
      <c r="B369" s="574">
        <v>358</v>
      </c>
      <c r="C369" s="441"/>
      <c r="D369" s="442" t="s">
        <v>600</v>
      </c>
      <c r="E369" s="434">
        <v>1</v>
      </c>
      <c r="F369" s="442" t="s">
        <v>1618</v>
      </c>
      <c r="G369" s="434" t="s">
        <v>1623</v>
      </c>
      <c r="H369" s="436" t="s">
        <v>1615</v>
      </c>
      <c r="I369" s="435" t="s">
        <v>53</v>
      </c>
      <c r="J369" s="576">
        <v>45516</v>
      </c>
      <c r="K369" s="443" t="s">
        <v>1557</v>
      </c>
      <c r="L369" s="523" t="s">
        <v>1558</v>
      </c>
    </row>
    <row r="370" spans="1:12" s="93" customFormat="1" ht="48" customHeight="1">
      <c r="A370" s="440">
        <v>45496</v>
      </c>
      <c r="B370" s="574">
        <v>359</v>
      </c>
      <c r="C370" s="441"/>
      <c r="D370" s="442" t="s">
        <v>600</v>
      </c>
      <c r="E370" s="434">
        <v>1</v>
      </c>
      <c r="F370" s="442" t="s">
        <v>1614</v>
      </c>
      <c r="G370" s="434" t="s">
        <v>1620</v>
      </c>
      <c r="H370" s="436" t="s">
        <v>1615</v>
      </c>
      <c r="I370" s="435" t="s">
        <v>53</v>
      </c>
      <c r="J370" s="576">
        <v>45516</v>
      </c>
      <c r="K370" s="443" t="s">
        <v>1557</v>
      </c>
      <c r="L370" s="523" t="s">
        <v>1558</v>
      </c>
    </row>
    <row r="371" spans="1:12" s="93" customFormat="1" ht="48" customHeight="1">
      <c r="A371" s="440">
        <v>45500</v>
      </c>
      <c r="B371" s="574">
        <v>360</v>
      </c>
      <c r="C371" s="441"/>
      <c r="D371" s="442" t="s">
        <v>96</v>
      </c>
      <c r="E371" s="434">
        <v>1</v>
      </c>
      <c r="F371" s="442" t="s">
        <v>1625</v>
      </c>
      <c r="G371" s="434" t="s">
        <v>95</v>
      </c>
      <c r="H371" s="436" t="s">
        <v>59</v>
      </c>
      <c r="I371" s="435" t="s">
        <v>1604</v>
      </c>
      <c r="J371" s="576">
        <v>45521</v>
      </c>
      <c r="K371" s="443" t="s">
        <v>1557</v>
      </c>
      <c r="L371" s="523" t="s">
        <v>1558</v>
      </c>
    </row>
    <row r="372" spans="1:12" s="93" customFormat="1" ht="49.5">
      <c r="A372" s="440">
        <v>45496</v>
      </c>
      <c r="B372" s="574">
        <v>361</v>
      </c>
      <c r="C372" s="584" t="s">
        <v>1662</v>
      </c>
      <c r="D372" s="442" t="s">
        <v>600</v>
      </c>
      <c r="E372" s="434">
        <v>1</v>
      </c>
      <c r="F372" s="442" t="s">
        <v>1616</v>
      </c>
      <c r="G372" s="434" t="s">
        <v>1621</v>
      </c>
      <c r="H372" s="436" t="s">
        <v>1615</v>
      </c>
      <c r="I372" s="436" t="s">
        <v>53</v>
      </c>
      <c r="J372" s="576">
        <v>45521</v>
      </c>
      <c r="K372" s="443" t="s">
        <v>1557</v>
      </c>
      <c r="L372" s="523" t="s">
        <v>1558</v>
      </c>
    </row>
    <row r="373" spans="1:12" s="93" customFormat="1" ht="48" customHeight="1">
      <c r="A373" s="440">
        <v>45507</v>
      </c>
      <c r="B373" s="574">
        <v>362</v>
      </c>
      <c r="C373" s="441"/>
      <c r="D373" s="442" t="s">
        <v>1640</v>
      </c>
      <c r="E373" s="434">
        <v>2</v>
      </c>
      <c r="F373" s="442" t="s">
        <v>1633</v>
      </c>
      <c r="G373" s="434" t="s">
        <v>1634</v>
      </c>
      <c r="H373" s="436" t="s">
        <v>1635</v>
      </c>
      <c r="I373" s="435" t="s">
        <v>50</v>
      </c>
      <c r="J373" s="576">
        <v>45521</v>
      </c>
      <c r="K373" s="443"/>
      <c r="L373" s="508" t="s">
        <v>1508</v>
      </c>
    </row>
    <row r="374" spans="1:12" s="93" customFormat="1" ht="48" customHeight="1">
      <c r="A374" s="440">
        <v>45507</v>
      </c>
      <c r="B374" s="574">
        <v>363</v>
      </c>
      <c r="C374" s="441"/>
      <c r="D374" s="442" t="s">
        <v>1640</v>
      </c>
      <c r="E374" s="434">
        <v>2</v>
      </c>
      <c r="F374" s="442" t="s">
        <v>1636</v>
      </c>
      <c r="G374" s="434" t="s">
        <v>1637</v>
      </c>
      <c r="H374" s="436" t="s">
        <v>1635</v>
      </c>
      <c r="I374" s="435" t="s">
        <v>1274</v>
      </c>
      <c r="J374" s="576">
        <v>45521</v>
      </c>
      <c r="K374" s="443"/>
      <c r="L374" s="508" t="s">
        <v>1508</v>
      </c>
    </row>
    <row r="375" spans="1:12" s="93" customFormat="1" ht="48" customHeight="1">
      <c r="A375" s="440">
        <v>45507</v>
      </c>
      <c r="B375" s="574">
        <v>364</v>
      </c>
      <c r="C375" s="441"/>
      <c r="D375" s="442" t="s">
        <v>1640</v>
      </c>
      <c r="E375" s="434">
        <v>2</v>
      </c>
      <c r="F375" s="442" t="s">
        <v>1638</v>
      </c>
      <c r="G375" s="434" t="s">
        <v>1639</v>
      </c>
      <c r="H375" s="436" t="s">
        <v>1635</v>
      </c>
      <c r="I375" s="435" t="s">
        <v>71</v>
      </c>
      <c r="J375" s="576">
        <v>45521</v>
      </c>
      <c r="K375" s="443"/>
      <c r="L375" s="508" t="s">
        <v>1508</v>
      </c>
    </row>
    <row r="376" spans="1:12" s="93" customFormat="1" ht="48" customHeight="1">
      <c r="A376" s="440">
        <v>45509</v>
      </c>
      <c r="B376" s="574">
        <v>365</v>
      </c>
      <c r="C376" s="441"/>
      <c r="D376" s="442" t="s">
        <v>1640</v>
      </c>
      <c r="E376" s="434">
        <v>2</v>
      </c>
      <c r="F376" s="442" t="s">
        <v>1646</v>
      </c>
      <c r="G376" s="434" t="s">
        <v>1647</v>
      </c>
      <c r="H376" s="436" t="s">
        <v>1635</v>
      </c>
      <c r="I376" s="435" t="s">
        <v>71</v>
      </c>
      <c r="J376" s="576">
        <v>45521</v>
      </c>
      <c r="K376" s="443"/>
      <c r="L376" s="508" t="s">
        <v>1508</v>
      </c>
    </row>
    <row r="377" spans="1:12" s="93" customFormat="1" ht="48" customHeight="1">
      <c r="A377" s="440">
        <v>45509</v>
      </c>
      <c r="B377" s="574">
        <v>366</v>
      </c>
      <c r="C377" s="441"/>
      <c r="D377" s="442" t="s">
        <v>1640</v>
      </c>
      <c r="E377" s="434">
        <v>2</v>
      </c>
      <c r="F377" s="442" t="s">
        <v>1648</v>
      </c>
      <c r="G377" s="434" t="s">
        <v>1649</v>
      </c>
      <c r="H377" s="436" t="s">
        <v>1635</v>
      </c>
      <c r="I377" s="435" t="s">
        <v>71</v>
      </c>
      <c r="J377" s="576">
        <v>45521</v>
      </c>
      <c r="K377" s="443"/>
      <c r="L377" s="508" t="s">
        <v>1508</v>
      </c>
    </row>
    <row r="378" spans="1:12" s="93" customFormat="1" ht="48" customHeight="1">
      <c r="A378" s="440">
        <v>45509</v>
      </c>
      <c r="B378" s="574">
        <v>367</v>
      </c>
      <c r="C378" s="441"/>
      <c r="D378" s="442" t="s">
        <v>1640</v>
      </c>
      <c r="E378" s="434">
        <v>2</v>
      </c>
      <c r="F378" s="442" t="s">
        <v>1650</v>
      </c>
      <c r="G378" s="434" t="s">
        <v>1651</v>
      </c>
      <c r="H378" s="436" t="s">
        <v>1635</v>
      </c>
      <c r="I378" s="435" t="s">
        <v>71</v>
      </c>
      <c r="J378" s="576">
        <v>45521</v>
      </c>
      <c r="K378" s="443"/>
      <c r="L378" s="508" t="s">
        <v>1508</v>
      </c>
    </row>
    <row r="379" spans="1:12" s="93" customFormat="1" ht="48" customHeight="1">
      <c r="A379" s="440">
        <v>45509</v>
      </c>
      <c r="B379" s="574">
        <v>368</v>
      </c>
      <c r="C379" s="441"/>
      <c r="D379" s="442" t="s">
        <v>1640</v>
      </c>
      <c r="E379" s="434">
        <v>2</v>
      </c>
      <c r="F379" s="442" t="s">
        <v>1652</v>
      </c>
      <c r="G379" s="434" t="s">
        <v>1653</v>
      </c>
      <c r="H379" s="436" t="s">
        <v>1635</v>
      </c>
      <c r="I379" s="435" t="s">
        <v>71</v>
      </c>
      <c r="J379" s="576">
        <v>45521</v>
      </c>
      <c r="K379" s="443"/>
      <c r="L379" s="508" t="s">
        <v>1508</v>
      </c>
    </row>
    <row r="380" spans="1:12" s="93" customFormat="1" ht="42" customHeight="1">
      <c r="A380" s="440">
        <v>45511</v>
      </c>
      <c r="B380" s="574">
        <v>369</v>
      </c>
      <c r="C380" s="441"/>
      <c r="D380" s="442" t="s">
        <v>96</v>
      </c>
      <c r="E380" s="434">
        <v>1</v>
      </c>
      <c r="F380" s="442" t="s">
        <v>1606</v>
      </c>
      <c r="G380" s="434" t="s">
        <v>1605</v>
      </c>
      <c r="H380" s="436" t="s">
        <v>59</v>
      </c>
      <c r="I380" s="436" t="s">
        <v>53</v>
      </c>
      <c r="J380" s="576">
        <v>45524</v>
      </c>
      <c r="K380" s="443"/>
      <c r="L380" s="508" t="s">
        <v>1508</v>
      </c>
    </row>
    <row r="381" spans="1:12" s="93" customFormat="1" ht="42" customHeight="1">
      <c r="A381" s="440">
        <v>45517</v>
      </c>
      <c r="B381" s="574">
        <v>370</v>
      </c>
      <c r="C381" s="441"/>
      <c r="D381" s="442" t="s">
        <v>96</v>
      </c>
      <c r="E381" s="434">
        <v>3</v>
      </c>
      <c r="F381" s="442" t="s">
        <v>1560</v>
      </c>
      <c r="G381" s="434" t="s">
        <v>1396</v>
      </c>
      <c r="H381" s="436" t="s">
        <v>52</v>
      </c>
      <c r="I381" s="436" t="s">
        <v>53</v>
      </c>
      <c r="J381" s="576">
        <v>45524</v>
      </c>
      <c r="K381" s="443"/>
      <c r="L381" s="508" t="s">
        <v>1508</v>
      </c>
    </row>
    <row r="382" spans="1:12" s="93" customFormat="1" ht="42" customHeight="1">
      <c r="A382" s="440">
        <v>45511</v>
      </c>
      <c r="B382" s="574">
        <v>371</v>
      </c>
      <c r="C382" s="441" t="s">
        <v>1663</v>
      </c>
      <c r="D382" s="442" t="s">
        <v>600</v>
      </c>
      <c r="E382" s="434">
        <v>1</v>
      </c>
      <c r="F382" s="442" t="s">
        <v>1629</v>
      </c>
      <c r="G382" s="434" t="s">
        <v>1630</v>
      </c>
      <c r="H382" s="436" t="s">
        <v>1615</v>
      </c>
      <c r="I382" s="436" t="s">
        <v>53</v>
      </c>
      <c r="J382" s="576">
        <v>45530</v>
      </c>
      <c r="K382" s="443" t="s">
        <v>1557</v>
      </c>
      <c r="L382" s="523" t="s">
        <v>1558</v>
      </c>
    </row>
    <row r="383" spans="1:12" s="93" customFormat="1" ht="42" customHeight="1">
      <c r="A383" s="440">
        <v>45506</v>
      </c>
      <c r="B383" s="574">
        <v>372</v>
      </c>
      <c r="C383" s="441"/>
      <c r="D383" s="442" t="s">
        <v>96</v>
      </c>
      <c r="E383" s="434">
        <v>4</v>
      </c>
      <c r="F383" s="442" t="s">
        <v>1631</v>
      </c>
      <c r="G383" s="434" t="s">
        <v>1632</v>
      </c>
      <c r="H383" s="436" t="s">
        <v>59</v>
      </c>
      <c r="I383" s="436" t="s">
        <v>56</v>
      </c>
      <c r="J383" s="576">
        <v>45532</v>
      </c>
      <c r="K383" s="443"/>
      <c r="L383" s="508" t="s">
        <v>1508</v>
      </c>
    </row>
    <row r="384" spans="1:12" s="93" customFormat="1" ht="42" customHeight="1">
      <c r="A384" s="440">
        <v>45519</v>
      </c>
      <c r="B384" s="574">
        <v>373</v>
      </c>
      <c r="C384" s="441"/>
      <c r="D384" s="442" t="s">
        <v>96</v>
      </c>
      <c r="E384" s="434">
        <v>2</v>
      </c>
      <c r="F384" s="442" t="s">
        <v>1366</v>
      </c>
      <c r="G384" s="434" t="s">
        <v>1367</v>
      </c>
      <c r="H384" s="436" t="s">
        <v>59</v>
      </c>
      <c r="I384" s="436" t="s">
        <v>56</v>
      </c>
      <c r="J384" s="576">
        <v>45533</v>
      </c>
      <c r="K384" s="443"/>
      <c r="L384" s="508" t="s">
        <v>1508</v>
      </c>
    </row>
    <row r="385" spans="1:12" s="93" customFormat="1" ht="42" customHeight="1">
      <c r="A385" s="440">
        <v>45521</v>
      </c>
      <c r="B385" s="574">
        <v>374</v>
      </c>
      <c r="C385" s="441"/>
      <c r="D385" s="442" t="s">
        <v>1640</v>
      </c>
      <c r="E385" s="434">
        <v>2</v>
      </c>
      <c r="F385" s="442" t="s">
        <v>1657</v>
      </c>
      <c r="G385" s="434" t="s">
        <v>1658</v>
      </c>
      <c r="H385" s="436" t="s">
        <v>1635</v>
      </c>
      <c r="I385" s="436" t="s">
        <v>1274</v>
      </c>
      <c r="J385" s="576">
        <v>45533</v>
      </c>
      <c r="K385" s="443"/>
      <c r="L385" s="508" t="s">
        <v>1508</v>
      </c>
    </row>
    <row r="386" spans="1:12" s="93" customFormat="1" ht="42" customHeight="1">
      <c r="A386" s="440">
        <v>45521</v>
      </c>
      <c r="B386" s="574">
        <v>375</v>
      </c>
      <c r="C386" s="441"/>
      <c r="D386" s="442" t="s">
        <v>1640</v>
      </c>
      <c r="E386" s="434">
        <v>2</v>
      </c>
      <c r="F386" s="442" t="s">
        <v>1659</v>
      </c>
      <c r="G386" s="434" t="s">
        <v>1660</v>
      </c>
      <c r="H386" s="436" t="s">
        <v>59</v>
      </c>
      <c r="I386" s="436" t="s">
        <v>1274</v>
      </c>
      <c r="J386" s="576">
        <v>45533</v>
      </c>
      <c r="K386" s="443"/>
      <c r="L386" s="508" t="s">
        <v>1508</v>
      </c>
    </row>
    <row r="387" spans="1:12" s="93" customFormat="1" ht="42" customHeight="1">
      <c r="A387" s="440">
        <v>45519</v>
      </c>
      <c r="B387" s="574">
        <v>376</v>
      </c>
      <c r="C387" s="441" t="s">
        <v>1661</v>
      </c>
      <c r="D387" s="442" t="s">
        <v>641</v>
      </c>
      <c r="E387" s="434">
        <v>2</v>
      </c>
      <c r="F387" s="442" t="s">
        <v>1655</v>
      </c>
      <c r="G387" s="434" t="s">
        <v>1654</v>
      </c>
      <c r="H387" s="436" t="s">
        <v>1232</v>
      </c>
      <c r="I387" s="436" t="s">
        <v>53</v>
      </c>
      <c r="J387" s="576">
        <v>45534</v>
      </c>
      <c r="K387" s="443"/>
      <c r="L387" s="508" t="s">
        <v>1508</v>
      </c>
    </row>
    <row r="388" spans="1:12" s="581" customFormat="1" ht="54" customHeight="1">
      <c r="A388" s="1005" t="s">
        <v>1801</v>
      </c>
      <c r="B388" s="1006"/>
      <c r="C388" s="1006"/>
      <c r="D388" s="1007"/>
      <c r="E388" s="561">
        <f>SUM(E366:E387)</f>
        <v>40</v>
      </c>
      <c r="F388" s="568"/>
      <c r="G388" s="565"/>
      <c r="H388" s="562"/>
      <c r="I388" s="568"/>
      <c r="J388" s="563"/>
      <c r="K388" s="568"/>
      <c r="L388" s="560"/>
    </row>
    <row r="389" spans="1:12" ht="35.25" customHeight="1">
      <c r="A389" s="1002" t="s">
        <v>1806</v>
      </c>
      <c r="B389" s="1003"/>
      <c r="C389" s="1003"/>
      <c r="D389" s="1003"/>
      <c r="E389" s="1004"/>
      <c r="F389" s="566"/>
      <c r="G389" s="564"/>
      <c r="H389" s="564"/>
      <c r="I389" s="566"/>
      <c r="J389" s="559"/>
      <c r="K389" s="567"/>
      <c r="L389" s="567"/>
    </row>
    <row r="390" spans="1:12" s="93" customFormat="1" ht="42" customHeight="1">
      <c r="A390" s="440">
        <v>45519</v>
      </c>
      <c r="B390" s="574">
        <v>377</v>
      </c>
      <c r="C390" s="542" t="s">
        <v>1661</v>
      </c>
      <c r="D390" s="442" t="s">
        <v>641</v>
      </c>
      <c r="E390" s="434">
        <v>2</v>
      </c>
      <c r="F390" s="442" t="s">
        <v>1664</v>
      </c>
      <c r="G390" s="434" t="s">
        <v>1656</v>
      </c>
      <c r="H390" s="436" t="s">
        <v>1232</v>
      </c>
      <c r="I390" s="436" t="s">
        <v>53</v>
      </c>
      <c r="J390" s="576">
        <v>45539</v>
      </c>
      <c r="K390" s="443"/>
      <c r="L390" s="508" t="s">
        <v>1508</v>
      </c>
    </row>
    <row r="391" spans="1:12" s="93" customFormat="1" ht="48" customHeight="1">
      <c r="A391" s="440">
        <v>45530</v>
      </c>
      <c r="B391" s="574">
        <v>378</v>
      </c>
      <c r="C391" s="441"/>
      <c r="D391" s="442" t="s">
        <v>80</v>
      </c>
      <c r="E391" s="434">
        <v>1</v>
      </c>
      <c r="F391" s="442" t="s">
        <v>1675</v>
      </c>
      <c r="G391" s="434" t="s">
        <v>168</v>
      </c>
      <c r="H391" s="436" t="s">
        <v>1645</v>
      </c>
      <c r="I391" s="435" t="s">
        <v>53</v>
      </c>
      <c r="J391" s="576">
        <v>45539</v>
      </c>
      <c r="K391" s="443" t="s">
        <v>1557</v>
      </c>
      <c r="L391" s="508" t="s">
        <v>1508</v>
      </c>
    </row>
    <row r="392" spans="1:12" s="93" customFormat="1" ht="48" customHeight="1">
      <c r="A392" s="440">
        <v>45530</v>
      </c>
      <c r="B392" s="574">
        <v>379</v>
      </c>
      <c r="C392" s="441"/>
      <c r="D392" s="442" t="s">
        <v>80</v>
      </c>
      <c r="E392" s="434">
        <v>1</v>
      </c>
      <c r="F392" s="442" t="s">
        <v>1676</v>
      </c>
      <c r="G392" s="434" t="s">
        <v>171</v>
      </c>
      <c r="H392" s="436" t="s">
        <v>1645</v>
      </c>
      <c r="I392" s="435" t="s">
        <v>53</v>
      </c>
      <c r="J392" s="576">
        <v>45539</v>
      </c>
      <c r="K392" s="443" t="s">
        <v>1557</v>
      </c>
      <c r="L392" s="508" t="s">
        <v>1508</v>
      </c>
    </row>
    <row r="393" spans="1:12" s="93" customFormat="1" ht="42" customHeight="1">
      <c r="A393" s="440">
        <v>45497</v>
      </c>
      <c r="B393" s="574">
        <v>380</v>
      </c>
      <c r="C393" s="441"/>
      <c r="D393" s="442" t="s">
        <v>96</v>
      </c>
      <c r="E393" s="434">
        <v>2</v>
      </c>
      <c r="F393" s="442" t="s">
        <v>1320</v>
      </c>
      <c r="G393" s="434" t="s">
        <v>1321</v>
      </c>
      <c r="H393" s="436" t="s">
        <v>603</v>
      </c>
      <c r="I393" s="436" t="s">
        <v>56</v>
      </c>
      <c r="J393" s="576">
        <v>45540</v>
      </c>
      <c r="K393" s="443"/>
      <c r="L393" s="508" t="s">
        <v>1508</v>
      </c>
    </row>
    <row r="394" spans="1:12" s="93" customFormat="1" ht="48" customHeight="1">
      <c r="A394" s="440">
        <v>45474</v>
      </c>
      <c r="B394" s="574">
        <v>381</v>
      </c>
      <c r="C394" s="441"/>
      <c r="D394" s="442" t="s">
        <v>96</v>
      </c>
      <c r="E394" s="434">
        <v>2</v>
      </c>
      <c r="F394" s="442" t="s">
        <v>1602</v>
      </c>
      <c r="G394" s="434" t="s">
        <v>1603</v>
      </c>
      <c r="H394" s="436" t="s">
        <v>59</v>
      </c>
      <c r="I394" s="435" t="s">
        <v>56</v>
      </c>
      <c r="J394" s="576">
        <v>45540</v>
      </c>
      <c r="K394" s="443"/>
      <c r="L394" s="508" t="s">
        <v>1508</v>
      </c>
    </row>
    <row r="395" spans="1:12" s="93" customFormat="1" ht="48" customHeight="1">
      <c r="A395" s="440">
        <v>45526</v>
      </c>
      <c r="B395" s="574">
        <v>382</v>
      </c>
      <c r="C395" s="441"/>
      <c r="D395" s="442" t="s">
        <v>96</v>
      </c>
      <c r="E395" s="434">
        <v>2</v>
      </c>
      <c r="F395" s="442" t="s">
        <v>1685</v>
      </c>
      <c r="G395" s="434" t="s">
        <v>1686</v>
      </c>
      <c r="H395" s="436" t="s">
        <v>603</v>
      </c>
      <c r="I395" s="435" t="s">
        <v>53</v>
      </c>
      <c r="J395" s="576">
        <v>45542</v>
      </c>
      <c r="K395" s="443" t="s">
        <v>1557</v>
      </c>
      <c r="L395" s="523" t="s">
        <v>1558</v>
      </c>
    </row>
    <row r="396" spans="1:12" s="93" customFormat="1" ht="48" customHeight="1">
      <c r="A396" s="440">
        <v>45489</v>
      </c>
      <c r="B396" s="574">
        <v>383</v>
      </c>
      <c r="C396" s="441"/>
      <c r="D396" s="442" t="s">
        <v>96</v>
      </c>
      <c r="E396" s="434">
        <v>2</v>
      </c>
      <c r="F396" s="442" t="s">
        <v>1351</v>
      </c>
      <c r="G396" s="434" t="s">
        <v>1352</v>
      </c>
      <c r="H396" s="436" t="s">
        <v>59</v>
      </c>
      <c r="I396" s="435" t="s">
        <v>56</v>
      </c>
      <c r="J396" s="576">
        <v>45542</v>
      </c>
      <c r="K396" s="443"/>
      <c r="L396" s="508" t="s">
        <v>1508</v>
      </c>
    </row>
    <row r="397" spans="1:12" s="93" customFormat="1" ht="48" customHeight="1">
      <c r="A397" s="440">
        <v>45538</v>
      </c>
      <c r="B397" s="574">
        <v>384</v>
      </c>
      <c r="C397" s="441"/>
      <c r="D397" s="442" t="s">
        <v>80</v>
      </c>
      <c r="E397" s="434">
        <v>2</v>
      </c>
      <c r="F397" s="442" t="s">
        <v>1684</v>
      </c>
      <c r="G397" s="434" t="s">
        <v>1683</v>
      </c>
      <c r="H397" s="436" t="s">
        <v>1645</v>
      </c>
      <c r="I397" s="435" t="s">
        <v>53</v>
      </c>
      <c r="J397" s="576">
        <v>45544</v>
      </c>
      <c r="K397" s="443" t="s">
        <v>1557</v>
      </c>
      <c r="L397" s="523" t="s">
        <v>1558</v>
      </c>
    </row>
    <row r="398" spans="1:12" s="93" customFormat="1" ht="48" customHeight="1">
      <c r="A398" s="440">
        <v>45541</v>
      </c>
      <c r="B398" s="574">
        <v>385</v>
      </c>
      <c r="C398" s="441"/>
      <c r="D398" s="442" t="s">
        <v>96</v>
      </c>
      <c r="E398" s="434">
        <v>2</v>
      </c>
      <c r="F398" s="442" t="s">
        <v>1066</v>
      </c>
      <c r="G398" s="434" t="s">
        <v>284</v>
      </c>
      <c r="H398" s="436" t="s">
        <v>52</v>
      </c>
      <c r="I398" s="435" t="s">
        <v>56</v>
      </c>
      <c r="J398" s="576">
        <v>45549</v>
      </c>
      <c r="K398" s="443"/>
      <c r="L398" s="508" t="s">
        <v>1508</v>
      </c>
    </row>
    <row r="399" spans="1:12" s="93" customFormat="1" ht="48" customHeight="1">
      <c r="A399" s="440">
        <v>45474</v>
      </c>
      <c r="B399" s="574">
        <v>386</v>
      </c>
      <c r="C399" s="441"/>
      <c r="D399" s="442" t="s">
        <v>96</v>
      </c>
      <c r="E399" s="434">
        <v>2</v>
      </c>
      <c r="F399" s="442" t="s">
        <v>1600</v>
      </c>
      <c r="G399" s="434" t="s">
        <v>1601</v>
      </c>
      <c r="H399" s="436" t="s">
        <v>59</v>
      </c>
      <c r="I399" s="435" t="s">
        <v>56</v>
      </c>
      <c r="J399" s="576">
        <v>45552</v>
      </c>
      <c r="K399" s="443"/>
      <c r="L399" s="508" t="s">
        <v>1508</v>
      </c>
    </row>
    <row r="400" spans="1:12" s="93" customFormat="1" ht="48" customHeight="1">
      <c r="A400" s="440">
        <v>45533</v>
      </c>
      <c r="B400" s="574">
        <v>387</v>
      </c>
      <c r="C400" s="441"/>
      <c r="D400" s="442" t="s">
        <v>96</v>
      </c>
      <c r="E400" s="434">
        <v>2</v>
      </c>
      <c r="F400" s="442" t="s">
        <v>1679</v>
      </c>
      <c r="G400" s="434" t="s">
        <v>617</v>
      </c>
      <c r="H400" s="436" t="s">
        <v>603</v>
      </c>
      <c r="I400" s="435" t="s">
        <v>56</v>
      </c>
      <c r="J400" s="576">
        <v>45552</v>
      </c>
      <c r="K400" s="443"/>
      <c r="L400" s="508" t="s">
        <v>1508</v>
      </c>
    </row>
    <row r="401" spans="1:12" s="93" customFormat="1" ht="48" customHeight="1">
      <c r="A401" s="440">
        <v>45542</v>
      </c>
      <c r="B401" s="574">
        <v>388</v>
      </c>
      <c r="C401" s="441"/>
      <c r="D401" s="442" t="s">
        <v>1635</v>
      </c>
      <c r="E401" s="434">
        <v>2</v>
      </c>
      <c r="F401" s="442" t="s">
        <v>1657</v>
      </c>
      <c r="G401" s="434" t="s">
        <v>1658</v>
      </c>
      <c r="H401" s="436" t="s">
        <v>1635</v>
      </c>
      <c r="I401" s="435" t="s">
        <v>1274</v>
      </c>
      <c r="J401" s="576">
        <v>45545</v>
      </c>
      <c r="K401" s="443"/>
      <c r="L401" s="508" t="s">
        <v>1508</v>
      </c>
    </row>
    <row r="402" spans="1:12" s="93" customFormat="1" ht="48" customHeight="1">
      <c r="A402" s="440">
        <v>45544</v>
      </c>
      <c r="B402" s="574">
        <v>389</v>
      </c>
      <c r="C402" s="585" t="s">
        <v>1694</v>
      </c>
      <c r="D402" s="442" t="s">
        <v>1689</v>
      </c>
      <c r="E402" s="434">
        <v>2</v>
      </c>
      <c r="F402" s="442" t="s">
        <v>1690</v>
      </c>
      <c r="G402" s="434" t="s">
        <v>1691</v>
      </c>
      <c r="H402" s="436" t="s">
        <v>59</v>
      </c>
      <c r="I402" s="435" t="s">
        <v>1055</v>
      </c>
      <c r="J402" s="576">
        <v>45560</v>
      </c>
      <c r="K402" s="443"/>
      <c r="L402" s="508" t="s">
        <v>1508</v>
      </c>
    </row>
    <row r="403" spans="1:12" s="93" customFormat="1" ht="52.5" customHeight="1">
      <c r="A403" s="440">
        <v>45555</v>
      </c>
      <c r="B403" s="574">
        <v>390</v>
      </c>
      <c r="C403" s="491" t="s">
        <v>1731</v>
      </c>
      <c r="D403" s="442" t="s">
        <v>96</v>
      </c>
      <c r="E403" s="434">
        <v>2</v>
      </c>
      <c r="F403" s="442" t="s">
        <v>1066</v>
      </c>
      <c r="G403" s="434" t="s">
        <v>284</v>
      </c>
      <c r="H403" s="436" t="s">
        <v>52</v>
      </c>
      <c r="I403" s="435" t="s">
        <v>56</v>
      </c>
      <c r="J403" s="576">
        <v>45560</v>
      </c>
      <c r="K403" s="443"/>
      <c r="L403" s="508" t="s">
        <v>1508</v>
      </c>
    </row>
    <row r="404" spans="1:12" s="93" customFormat="1" ht="53.25" customHeight="1">
      <c r="A404" s="440">
        <v>45549</v>
      </c>
      <c r="B404" s="574">
        <v>391</v>
      </c>
      <c r="C404" s="585" t="s">
        <v>1730</v>
      </c>
      <c r="D404" s="442" t="s">
        <v>96</v>
      </c>
      <c r="E404" s="434">
        <v>2</v>
      </c>
      <c r="F404" s="442" t="s">
        <v>1707</v>
      </c>
      <c r="G404" s="434" t="s">
        <v>1708</v>
      </c>
      <c r="H404" s="436" t="s">
        <v>603</v>
      </c>
      <c r="I404" s="435" t="s">
        <v>56</v>
      </c>
      <c r="J404" s="586">
        <v>45565</v>
      </c>
      <c r="K404" s="443"/>
      <c r="L404" s="508" t="s">
        <v>1508</v>
      </c>
    </row>
    <row r="405" spans="1:12" s="93" customFormat="1" ht="53.25" customHeight="1">
      <c r="A405" s="440">
        <v>45541</v>
      </c>
      <c r="B405" s="574">
        <v>392</v>
      </c>
      <c r="C405" s="441"/>
      <c r="D405" s="442" t="s">
        <v>96</v>
      </c>
      <c r="E405" s="434">
        <v>2</v>
      </c>
      <c r="F405" s="442" t="s">
        <v>1692</v>
      </c>
      <c r="G405" s="434" t="s">
        <v>1693</v>
      </c>
      <c r="H405" s="436" t="s">
        <v>603</v>
      </c>
      <c r="I405" s="435" t="s">
        <v>56</v>
      </c>
      <c r="J405" s="586">
        <v>45565</v>
      </c>
      <c r="K405" s="443"/>
      <c r="L405" s="508" t="s">
        <v>1508</v>
      </c>
    </row>
    <row r="406" spans="1:12" s="581" customFormat="1" ht="54" customHeight="1">
      <c r="A406" s="1005" t="s">
        <v>1801</v>
      </c>
      <c r="B406" s="1006"/>
      <c r="C406" s="1006"/>
      <c r="D406" s="1007"/>
      <c r="E406" s="561">
        <f>SUM(E390:E405)</f>
        <v>30</v>
      </c>
      <c r="F406" s="568"/>
      <c r="G406" s="565"/>
      <c r="H406" s="562"/>
      <c r="I406" s="568"/>
      <c r="J406" s="563"/>
      <c r="K406" s="568"/>
      <c r="L406" s="560"/>
    </row>
    <row r="407" spans="1:12" ht="35.25" customHeight="1">
      <c r="A407" s="1002" t="s">
        <v>1807</v>
      </c>
      <c r="B407" s="1003"/>
      <c r="C407" s="1003"/>
      <c r="D407" s="1003"/>
      <c r="E407" s="1004"/>
      <c r="F407" s="566"/>
      <c r="G407" s="564"/>
      <c r="H407" s="564"/>
      <c r="I407" s="566"/>
      <c r="J407" s="559"/>
      <c r="K407" s="567"/>
      <c r="L407" s="567"/>
    </row>
    <row r="408" spans="1:12" s="93" customFormat="1" ht="48" customHeight="1">
      <c r="A408" s="440">
        <v>45563</v>
      </c>
      <c r="B408" s="574">
        <v>393</v>
      </c>
      <c r="C408" s="441"/>
      <c r="D408" s="442" t="s">
        <v>96</v>
      </c>
      <c r="E408" s="434">
        <v>2</v>
      </c>
      <c r="F408" s="442" t="s">
        <v>1442</v>
      </c>
      <c r="G408" s="434" t="s">
        <v>1443</v>
      </c>
      <c r="H408" s="436" t="s">
        <v>1444</v>
      </c>
      <c r="I408" s="435" t="s">
        <v>50</v>
      </c>
      <c r="J408" s="586">
        <v>45570</v>
      </c>
      <c r="K408" s="443"/>
      <c r="L408" s="508" t="s">
        <v>1508</v>
      </c>
    </row>
    <row r="409" spans="1:12" s="93" customFormat="1" ht="51" customHeight="1">
      <c r="A409" s="440">
        <v>45552</v>
      </c>
      <c r="B409" s="574">
        <v>394</v>
      </c>
      <c r="C409" s="441"/>
      <c r="D409" s="442" t="s">
        <v>96</v>
      </c>
      <c r="E409" s="434">
        <v>3</v>
      </c>
      <c r="F409" s="442" t="s">
        <v>1711</v>
      </c>
      <c r="G409" s="434" t="s">
        <v>1313</v>
      </c>
      <c r="H409" s="436" t="s">
        <v>1712</v>
      </c>
      <c r="I409" s="435" t="s">
        <v>1732</v>
      </c>
      <c r="J409" s="586">
        <v>45573</v>
      </c>
      <c r="K409" s="443" t="s">
        <v>1507</v>
      </c>
      <c r="L409" s="523" t="s">
        <v>1558</v>
      </c>
    </row>
    <row r="410" spans="1:12" s="93" customFormat="1" ht="45" customHeight="1">
      <c r="A410" s="440">
        <v>45541</v>
      </c>
      <c r="B410" s="574">
        <v>395</v>
      </c>
      <c r="C410" s="441"/>
      <c r="D410" s="442" t="s">
        <v>96</v>
      </c>
      <c r="E410" s="434">
        <v>2</v>
      </c>
      <c r="F410" s="442" t="s">
        <v>1687</v>
      </c>
      <c r="G410" s="434" t="s">
        <v>1688</v>
      </c>
      <c r="H410" s="436" t="s">
        <v>59</v>
      </c>
      <c r="I410" s="435" t="s">
        <v>56</v>
      </c>
      <c r="J410" s="586">
        <v>45575</v>
      </c>
      <c r="K410" s="443"/>
      <c r="L410" s="508" t="s">
        <v>1508</v>
      </c>
    </row>
    <row r="411" spans="1:12" s="93" customFormat="1" ht="42" customHeight="1">
      <c r="A411" s="440">
        <v>45555</v>
      </c>
      <c r="B411" s="574">
        <v>396</v>
      </c>
      <c r="C411" s="441"/>
      <c r="D411" s="442" t="s">
        <v>96</v>
      </c>
      <c r="E411" s="434">
        <v>2</v>
      </c>
      <c r="F411" s="442" t="s">
        <v>1380</v>
      </c>
      <c r="G411" s="434" t="s">
        <v>1381</v>
      </c>
      <c r="H411" s="436" t="s">
        <v>59</v>
      </c>
      <c r="I411" s="435" t="s">
        <v>53</v>
      </c>
      <c r="J411" s="586">
        <v>45575</v>
      </c>
      <c r="K411" s="443"/>
      <c r="L411" s="508" t="s">
        <v>1508</v>
      </c>
    </row>
    <row r="412" spans="1:12" s="93" customFormat="1" ht="52.5" customHeight="1">
      <c r="A412" s="440">
        <v>45562</v>
      </c>
      <c r="B412" s="574">
        <v>397</v>
      </c>
      <c r="C412" s="441"/>
      <c r="D412" s="442" t="s">
        <v>96</v>
      </c>
      <c r="E412" s="434">
        <v>2</v>
      </c>
      <c r="F412" s="442" t="s">
        <v>1560</v>
      </c>
      <c r="G412" s="434" t="s">
        <v>1396</v>
      </c>
      <c r="H412" s="436" t="s">
        <v>52</v>
      </c>
      <c r="I412" s="435" t="s">
        <v>53</v>
      </c>
      <c r="J412" s="586">
        <v>45575</v>
      </c>
      <c r="K412" s="443" t="s">
        <v>1507</v>
      </c>
      <c r="L412" s="523" t="s">
        <v>1558</v>
      </c>
    </row>
    <row r="413" spans="1:12" s="93" customFormat="1" ht="52.5" customHeight="1">
      <c r="A413" s="440">
        <v>45555</v>
      </c>
      <c r="B413" s="574">
        <v>398</v>
      </c>
      <c r="C413" s="491" t="s">
        <v>1731</v>
      </c>
      <c r="D413" s="442" t="s">
        <v>96</v>
      </c>
      <c r="E413" s="434">
        <v>2</v>
      </c>
      <c r="F413" s="442" t="s">
        <v>1351</v>
      </c>
      <c r="G413" s="434" t="s">
        <v>1352</v>
      </c>
      <c r="H413" s="436" t="s">
        <v>603</v>
      </c>
      <c r="I413" s="435" t="s">
        <v>56</v>
      </c>
      <c r="J413" s="586">
        <v>45575</v>
      </c>
      <c r="K413" s="443"/>
      <c r="L413" s="508" t="s">
        <v>1508</v>
      </c>
    </row>
    <row r="414" spans="1:12" s="93" customFormat="1" ht="48" customHeight="1">
      <c r="A414" s="440">
        <v>45555</v>
      </c>
      <c r="B414" s="574">
        <v>399</v>
      </c>
      <c r="C414" s="441"/>
      <c r="D414" s="442" t="s">
        <v>96</v>
      </c>
      <c r="E414" s="434">
        <v>2</v>
      </c>
      <c r="F414" s="442" t="s">
        <v>1318</v>
      </c>
      <c r="G414" s="434" t="s">
        <v>1319</v>
      </c>
      <c r="H414" s="436" t="s">
        <v>603</v>
      </c>
      <c r="I414" s="435" t="s">
        <v>53</v>
      </c>
      <c r="J414" s="586">
        <v>45579</v>
      </c>
      <c r="K414" s="443"/>
      <c r="L414" s="508" t="s">
        <v>1508</v>
      </c>
    </row>
    <row r="415" spans="1:12" s="93" customFormat="1" ht="42" customHeight="1">
      <c r="A415" s="440">
        <v>45560</v>
      </c>
      <c r="B415" s="574">
        <v>400</v>
      </c>
      <c r="C415" s="441"/>
      <c r="D415" s="442" t="s">
        <v>1640</v>
      </c>
      <c r="E415" s="434">
        <v>2</v>
      </c>
      <c r="F415" s="442" t="s">
        <v>1733</v>
      </c>
      <c r="G415" s="434" t="s">
        <v>1734</v>
      </c>
      <c r="H415" s="436" t="s">
        <v>59</v>
      </c>
      <c r="I415" s="435" t="s">
        <v>53</v>
      </c>
      <c r="J415" s="586">
        <v>45581</v>
      </c>
      <c r="K415" s="443"/>
      <c r="L415" s="508" t="s">
        <v>1508</v>
      </c>
    </row>
    <row r="416" spans="1:12" s="93" customFormat="1" ht="42" customHeight="1">
      <c r="A416" s="440">
        <v>45560</v>
      </c>
      <c r="B416" s="574">
        <v>401</v>
      </c>
      <c r="C416" s="441"/>
      <c r="D416" s="442" t="s">
        <v>1640</v>
      </c>
      <c r="E416" s="434">
        <v>2</v>
      </c>
      <c r="F416" s="442" t="s">
        <v>1735</v>
      </c>
      <c r="G416" s="434" t="s">
        <v>1736</v>
      </c>
      <c r="H416" s="436" t="s">
        <v>59</v>
      </c>
      <c r="I416" s="435" t="s">
        <v>50</v>
      </c>
      <c r="J416" s="586">
        <v>45583</v>
      </c>
      <c r="K416" s="443"/>
      <c r="L416" s="508" t="s">
        <v>1508</v>
      </c>
    </row>
    <row r="417" spans="1:24" s="93" customFormat="1" ht="42" customHeight="1">
      <c r="A417" s="440">
        <v>45560</v>
      </c>
      <c r="B417" s="574">
        <v>402</v>
      </c>
      <c r="C417" s="441"/>
      <c r="D417" s="442" t="s">
        <v>1640</v>
      </c>
      <c r="E417" s="434">
        <v>2</v>
      </c>
      <c r="F417" s="442" t="s">
        <v>1737</v>
      </c>
      <c r="G417" s="434" t="s">
        <v>1738</v>
      </c>
      <c r="H417" s="436" t="s">
        <v>59</v>
      </c>
      <c r="I417" s="435" t="s">
        <v>71</v>
      </c>
      <c r="J417" s="586">
        <v>45584</v>
      </c>
      <c r="K417" s="443"/>
      <c r="L417" s="508" t="s">
        <v>1508</v>
      </c>
    </row>
    <row r="418" spans="1:24" s="89" customFormat="1" ht="34.5" customHeight="1">
      <c r="A418" s="440">
        <v>45586</v>
      </c>
      <c r="B418" s="574">
        <v>403</v>
      </c>
      <c r="C418" s="542"/>
      <c r="D418" s="442"/>
      <c r="E418" s="434">
        <v>1</v>
      </c>
      <c r="F418" s="434" t="s">
        <v>1617</v>
      </c>
      <c r="G418" s="435" t="s">
        <v>1622</v>
      </c>
      <c r="H418" s="436" t="s">
        <v>1615</v>
      </c>
      <c r="I418" s="575" t="s">
        <v>53</v>
      </c>
      <c r="J418" s="586">
        <v>45584</v>
      </c>
      <c r="K418" s="443" t="s">
        <v>1507</v>
      </c>
      <c r="L418" s="523" t="s">
        <v>1558</v>
      </c>
      <c r="M418" s="86"/>
      <c r="N418" s="86"/>
      <c r="O418" s="87"/>
      <c r="P418" s="87"/>
      <c r="Q418" s="87"/>
      <c r="R418" s="87"/>
      <c r="S418" s="88"/>
      <c r="T418" s="81"/>
      <c r="V418" s="90"/>
      <c r="W418" s="91"/>
      <c r="X418" s="90"/>
    </row>
    <row r="419" spans="1:24" s="89" customFormat="1" ht="34.5" customHeight="1">
      <c r="A419" s="440">
        <v>45586</v>
      </c>
      <c r="B419" s="574">
        <v>404</v>
      </c>
      <c r="C419" s="542"/>
      <c r="D419" s="442"/>
      <c r="E419" s="434">
        <v>1</v>
      </c>
      <c r="F419" s="434" t="s">
        <v>1618</v>
      </c>
      <c r="G419" s="435" t="s">
        <v>1623</v>
      </c>
      <c r="H419" s="436" t="s">
        <v>1615</v>
      </c>
      <c r="I419" s="575" t="s">
        <v>53</v>
      </c>
      <c r="J419" s="586">
        <v>45584</v>
      </c>
      <c r="K419" s="443" t="s">
        <v>1507</v>
      </c>
      <c r="L419" s="523" t="s">
        <v>1558</v>
      </c>
      <c r="M419" s="86"/>
      <c r="N419" s="86"/>
      <c r="O419" s="87"/>
      <c r="P419" s="87"/>
      <c r="Q419" s="87"/>
      <c r="R419" s="87"/>
      <c r="S419" s="88"/>
      <c r="T419" s="81"/>
      <c r="V419" s="90"/>
      <c r="W419" s="91"/>
      <c r="X419" s="90"/>
    </row>
    <row r="420" spans="1:24" s="89" customFormat="1" ht="34.5" customHeight="1">
      <c r="A420" s="440">
        <v>45586</v>
      </c>
      <c r="B420" s="574">
        <v>405</v>
      </c>
      <c r="C420" s="542"/>
      <c r="D420" s="442"/>
      <c r="E420" s="434">
        <v>1</v>
      </c>
      <c r="F420" s="434" t="s">
        <v>1616</v>
      </c>
      <c r="G420" s="435" t="s">
        <v>1621</v>
      </c>
      <c r="H420" s="436" t="s">
        <v>1615</v>
      </c>
      <c r="I420" s="575" t="s">
        <v>53</v>
      </c>
      <c r="J420" s="586">
        <v>45584</v>
      </c>
      <c r="K420" s="443" t="s">
        <v>1507</v>
      </c>
      <c r="L420" s="523" t="s">
        <v>1558</v>
      </c>
      <c r="M420" s="86"/>
      <c r="N420" s="86"/>
      <c r="O420" s="87"/>
      <c r="P420" s="87"/>
      <c r="Q420" s="87"/>
      <c r="R420" s="87"/>
      <c r="S420" s="88"/>
      <c r="T420" s="81"/>
      <c r="V420" s="90"/>
      <c r="W420" s="91"/>
      <c r="X420" s="90"/>
    </row>
    <row r="421" spans="1:24" s="93" customFormat="1" ht="42" customHeight="1">
      <c r="A421" s="440">
        <v>45560</v>
      </c>
      <c r="B421" s="574">
        <v>406</v>
      </c>
      <c r="C421" s="441"/>
      <c r="D421" s="442" t="s">
        <v>1640</v>
      </c>
      <c r="E421" s="434">
        <v>2</v>
      </c>
      <c r="F421" s="442" t="s">
        <v>1739</v>
      </c>
      <c r="G421" s="434" t="s">
        <v>1740</v>
      </c>
      <c r="H421" s="436" t="s">
        <v>59</v>
      </c>
      <c r="I421" s="435" t="s">
        <v>71</v>
      </c>
      <c r="J421" s="586">
        <v>45587</v>
      </c>
      <c r="K421" s="443"/>
      <c r="L421" s="508" t="s">
        <v>1508</v>
      </c>
    </row>
    <row r="422" spans="1:24" s="93" customFormat="1" ht="60" customHeight="1">
      <c r="A422" s="440">
        <v>45576</v>
      </c>
      <c r="B422" s="574">
        <v>407</v>
      </c>
      <c r="C422" s="542" t="s">
        <v>1789</v>
      </c>
      <c r="D422" s="442" t="s">
        <v>80</v>
      </c>
      <c r="E422" s="434">
        <v>2</v>
      </c>
      <c r="F422" s="442" t="s">
        <v>1741</v>
      </c>
      <c r="G422" s="434" t="s">
        <v>82</v>
      </c>
      <c r="H422" s="436" t="s">
        <v>1742</v>
      </c>
      <c r="I422" s="435" t="s">
        <v>53</v>
      </c>
      <c r="J422" s="586">
        <v>45588</v>
      </c>
      <c r="K422" s="443" t="s">
        <v>1507</v>
      </c>
      <c r="L422" s="523" t="s">
        <v>1558</v>
      </c>
    </row>
    <row r="423" spans="1:24" s="93" customFormat="1" ht="60" customHeight="1">
      <c r="A423" s="440">
        <v>45576</v>
      </c>
      <c r="B423" s="574">
        <v>408</v>
      </c>
      <c r="C423" s="542" t="s">
        <v>1789</v>
      </c>
      <c r="D423" s="442" t="s">
        <v>80</v>
      </c>
      <c r="E423" s="434">
        <v>2</v>
      </c>
      <c r="F423" s="442" t="s">
        <v>1757</v>
      </c>
      <c r="G423" s="434" t="s">
        <v>82</v>
      </c>
      <c r="H423" s="436" t="s">
        <v>1758</v>
      </c>
      <c r="I423" s="435" t="s">
        <v>1769</v>
      </c>
      <c r="J423" s="586">
        <v>45588</v>
      </c>
      <c r="K423" s="443" t="s">
        <v>1507</v>
      </c>
      <c r="L423" s="523" t="s">
        <v>1558</v>
      </c>
    </row>
    <row r="424" spans="1:24" s="93" customFormat="1" ht="66.75" customHeight="1">
      <c r="A424" s="440">
        <v>45576</v>
      </c>
      <c r="B424" s="574">
        <v>409</v>
      </c>
      <c r="C424" s="542" t="s">
        <v>1789</v>
      </c>
      <c r="D424" s="442" t="s">
        <v>80</v>
      </c>
      <c r="E424" s="434">
        <v>2</v>
      </c>
      <c r="F424" s="442" t="s">
        <v>1767</v>
      </c>
      <c r="G424" s="434" t="s">
        <v>84</v>
      </c>
      <c r="H424" s="436" t="s">
        <v>1768</v>
      </c>
      <c r="I424" s="435" t="s">
        <v>948</v>
      </c>
      <c r="J424" s="586">
        <v>45588</v>
      </c>
      <c r="K424" s="443" t="s">
        <v>1507</v>
      </c>
      <c r="L424" s="523" t="s">
        <v>1558</v>
      </c>
    </row>
    <row r="425" spans="1:24" s="93" customFormat="1" ht="42" customHeight="1">
      <c r="A425" s="440">
        <v>45560</v>
      </c>
      <c r="B425" s="574">
        <v>410</v>
      </c>
      <c r="C425" s="441"/>
      <c r="D425" s="442" t="s">
        <v>96</v>
      </c>
      <c r="E425" s="434">
        <v>2</v>
      </c>
      <c r="F425" s="442" t="s">
        <v>1365</v>
      </c>
      <c r="G425" s="434" t="s">
        <v>1561</v>
      </c>
      <c r="H425" s="436" t="s">
        <v>49</v>
      </c>
      <c r="I425" s="435" t="s">
        <v>56</v>
      </c>
      <c r="J425" s="586">
        <v>45591</v>
      </c>
      <c r="K425" s="443"/>
      <c r="L425" s="508" t="s">
        <v>1508</v>
      </c>
    </row>
    <row r="426" spans="1:24" s="93" customFormat="1" ht="42.75" customHeight="1">
      <c r="A426" s="440">
        <v>45569</v>
      </c>
      <c r="B426" s="574">
        <v>411</v>
      </c>
      <c r="C426" s="557" t="s">
        <v>1770</v>
      </c>
      <c r="D426" s="442" t="s">
        <v>1751</v>
      </c>
      <c r="E426" s="434">
        <v>2</v>
      </c>
      <c r="F426" s="442" t="s">
        <v>1750</v>
      </c>
      <c r="G426" s="434" t="s">
        <v>404</v>
      </c>
      <c r="H426" s="436" t="s">
        <v>1751</v>
      </c>
      <c r="I426" s="435" t="s">
        <v>1752</v>
      </c>
      <c r="J426" s="586">
        <v>45593</v>
      </c>
      <c r="K426" s="443"/>
      <c r="L426" s="508" t="s">
        <v>1508</v>
      </c>
    </row>
    <row r="427" spans="1:24" s="93" customFormat="1" ht="42.75" customHeight="1">
      <c r="A427" s="440">
        <v>45569</v>
      </c>
      <c r="B427" s="574">
        <v>412</v>
      </c>
      <c r="C427" s="557" t="s">
        <v>1770</v>
      </c>
      <c r="D427" s="442" t="s">
        <v>1751</v>
      </c>
      <c r="E427" s="434">
        <v>1</v>
      </c>
      <c r="F427" s="442" t="s">
        <v>1964</v>
      </c>
      <c r="G427" s="434" t="s">
        <v>896</v>
      </c>
      <c r="H427" s="436" t="s">
        <v>1751</v>
      </c>
      <c r="I427" s="435" t="s">
        <v>53</v>
      </c>
      <c r="J427" s="586">
        <v>45593</v>
      </c>
      <c r="K427" s="443"/>
      <c r="L427" s="508" t="s">
        <v>1508</v>
      </c>
    </row>
    <row r="428" spans="1:24" s="581" customFormat="1" ht="54" customHeight="1">
      <c r="A428" s="1005" t="s">
        <v>1801</v>
      </c>
      <c r="B428" s="1006"/>
      <c r="C428" s="1006"/>
      <c r="D428" s="1007"/>
      <c r="E428" s="561">
        <f>SUM(E408:E427)</f>
        <v>37</v>
      </c>
      <c r="F428" s="568"/>
      <c r="G428" s="565"/>
      <c r="H428" s="562"/>
      <c r="I428" s="568"/>
      <c r="J428" s="563"/>
      <c r="K428" s="568"/>
      <c r="L428" s="560"/>
    </row>
    <row r="429" spans="1:24" ht="35.25" customHeight="1">
      <c r="A429" s="1002" t="s">
        <v>1872</v>
      </c>
      <c r="B429" s="1003"/>
      <c r="C429" s="1003"/>
      <c r="D429" s="1003"/>
      <c r="E429" s="1004"/>
      <c r="F429" s="566"/>
      <c r="G429" s="564"/>
      <c r="H429" s="564"/>
      <c r="I429" s="566"/>
      <c r="J429" s="559"/>
      <c r="K429" s="567"/>
      <c r="L429" s="567"/>
    </row>
    <row r="430" spans="1:24" s="93" customFormat="1" ht="54.75" customHeight="1">
      <c r="A430" s="440">
        <v>45588</v>
      </c>
      <c r="B430" s="444">
        <v>412</v>
      </c>
      <c r="C430" s="604" t="s">
        <v>1837</v>
      </c>
      <c r="D430" s="442" t="s">
        <v>1798</v>
      </c>
      <c r="E430" s="434">
        <v>3</v>
      </c>
      <c r="F430" s="442" t="s">
        <v>1629</v>
      </c>
      <c r="G430" s="434" t="s">
        <v>1630</v>
      </c>
      <c r="H430" s="436" t="s">
        <v>1615</v>
      </c>
      <c r="I430" s="435" t="s">
        <v>53</v>
      </c>
      <c r="J430" s="548">
        <v>45600</v>
      </c>
      <c r="K430" s="443" t="s">
        <v>1507</v>
      </c>
      <c r="L430" s="508" t="s">
        <v>1508</v>
      </c>
    </row>
    <row r="431" spans="1:24" s="93" customFormat="1" ht="44.25" customHeight="1">
      <c r="A431" s="440">
        <v>45576</v>
      </c>
      <c r="B431" s="444">
        <v>413</v>
      </c>
      <c r="C431" s="542" t="s">
        <v>1787</v>
      </c>
      <c r="D431" s="442" t="s">
        <v>1305</v>
      </c>
      <c r="E431" s="434">
        <v>2</v>
      </c>
      <c r="F431" s="442" t="s">
        <v>1356</v>
      </c>
      <c r="G431" s="434" t="s">
        <v>1817</v>
      </c>
      <c r="H431" s="436" t="s">
        <v>1335</v>
      </c>
      <c r="I431" s="435" t="s">
        <v>1357</v>
      </c>
      <c r="J431" s="548">
        <v>45602</v>
      </c>
      <c r="K431" s="443" t="s">
        <v>1507</v>
      </c>
      <c r="L431" s="508" t="s">
        <v>1508</v>
      </c>
    </row>
    <row r="432" spans="1:24" s="89" customFormat="1" ht="44.25" customHeight="1">
      <c r="A432" s="440">
        <v>45576</v>
      </c>
      <c r="B432" s="444">
        <v>414</v>
      </c>
      <c r="C432" s="542" t="s">
        <v>1790</v>
      </c>
      <c r="D432" s="429" t="s">
        <v>1305</v>
      </c>
      <c r="E432" s="434">
        <v>2</v>
      </c>
      <c r="F432" s="430" t="s">
        <v>1771</v>
      </c>
      <c r="G432" s="431" t="s">
        <v>1772</v>
      </c>
      <c r="H432" s="432" t="s">
        <v>1429</v>
      </c>
      <c r="I432" s="433" t="s">
        <v>1773</v>
      </c>
      <c r="J432" s="548">
        <v>45602</v>
      </c>
      <c r="K432" s="443" t="s">
        <v>1507</v>
      </c>
      <c r="L432" s="508" t="s">
        <v>1508</v>
      </c>
      <c r="M432" s="86"/>
      <c r="N432" s="86"/>
      <c r="O432" s="87"/>
      <c r="P432" s="87"/>
      <c r="Q432" s="87"/>
      <c r="R432" s="87"/>
      <c r="S432" s="88"/>
      <c r="T432" s="81"/>
      <c r="V432" s="90"/>
      <c r="W432" s="91"/>
      <c r="X432" s="90"/>
    </row>
    <row r="433" spans="1:24" s="89" customFormat="1" ht="44.25" customHeight="1">
      <c r="A433" s="440">
        <v>45588</v>
      </c>
      <c r="B433" s="444">
        <v>415</v>
      </c>
      <c r="C433" s="542" t="s">
        <v>1816</v>
      </c>
      <c r="D433" s="442" t="s">
        <v>1797</v>
      </c>
      <c r="E433" s="434">
        <v>2</v>
      </c>
      <c r="F433" s="430" t="s">
        <v>1793</v>
      </c>
      <c r="G433" s="431" t="s">
        <v>1795</v>
      </c>
      <c r="H433" s="432" t="s">
        <v>59</v>
      </c>
      <c r="I433" s="433" t="s">
        <v>71</v>
      </c>
      <c r="J433" s="548">
        <v>45603</v>
      </c>
      <c r="K433" s="443" t="s">
        <v>1507</v>
      </c>
      <c r="L433" s="508" t="s">
        <v>1508</v>
      </c>
      <c r="M433" s="86"/>
      <c r="N433" s="86"/>
      <c r="O433" s="87"/>
      <c r="P433" s="87"/>
      <c r="Q433" s="87"/>
      <c r="R433" s="87"/>
      <c r="S433" s="88"/>
      <c r="T433" s="81"/>
      <c r="V433" s="90"/>
      <c r="W433" s="91"/>
      <c r="X433" s="90"/>
    </row>
    <row r="434" spans="1:24" s="89" customFormat="1" ht="44.25" customHeight="1">
      <c r="A434" s="440">
        <v>45588</v>
      </c>
      <c r="B434" s="444">
        <v>416</v>
      </c>
      <c r="C434" s="542" t="s">
        <v>1816</v>
      </c>
      <c r="D434" s="442" t="s">
        <v>1797</v>
      </c>
      <c r="E434" s="434">
        <v>2</v>
      </c>
      <c r="F434" s="430" t="s">
        <v>1794</v>
      </c>
      <c r="G434" s="431" t="s">
        <v>1796</v>
      </c>
      <c r="H434" s="432" t="s">
        <v>59</v>
      </c>
      <c r="I434" s="433" t="s">
        <v>71</v>
      </c>
      <c r="J434" s="548">
        <v>45603</v>
      </c>
      <c r="K434" s="443" t="s">
        <v>1507</v>
      </c>
      <c r="L434" s="508" t="s">
        <v>1508</v>
      </c>
      <c r="M434" s="86"/>
      <c r="N434" s="86"/>
      <c r="O434" s="87"/>
      <c r="P434" s="87"/>
      <c r="Q434" s="87"/>
      <c r="R434" s="87"/>
      <c r="S434" s="88"/>
      <c r="T434" s="81"/>
      <c r="V434" s="90"/>
      <c r="W434" s="91"/>
      <c r="X434" s="90"/>
    </row>
    <row r="435" spans="1:24" s="93" customFormat="1" ht="49.5" customHeight="1">
      <c r="A435" s="440">
        <v>45576</v>
      </c>
      <c r="B435" s="444">
        <v>417</v>
      </c>
      <c r="C435" s="542" t="s">
        <v>1788</v>
      </c>
      <c r="D435" s="442" t="s">
        <v>1680</v>
      </c>
      <c r="E435" s="434">
        <v>1</v>
      </c>
      <c r="F435" s="442" t="s">
        <v>1681</v>
      </c>
      <c r="G435" s="434" t="s">
        <v>1682</v>
      </c>
      <c r="H435" s="436" t="s">
        <v>59</v>
      </c>
      <c r="I435" s="435" t="s">
        <v>53</v>
      </c>
      <c r="J435" s="548" t="s">
        <v>1815</v>
      </c>
      <c r="K435" s="443" t="s">
        <v>1507</v>
      </c>
      <c r="L435" s="523" t="s">
        <v>1558</v>
      </c>
    </row>
    <row r="436" spans="1:24" s="89" customFormat="1" ht="44.25" customHeight="1">
      <c r="A436" s="440">
        <v>45591</v>
      </c>
      <c r="B436" s="444">
        <v>418</v>
      </c>
      <c r="C436" s="583" t="s">
        <v>1836</v>
      </c>
      <c r="D436" s="429" t="s">
        <v>96</v>
      </c>
      <c r="E436" s="434">
        <v>2</v>
      </c>
      <c r="F436" s="430" t="s">
        <v>1813</v>
      </c>
      <c r="G436" s="431" t="s">
        <v>1814</v>
      </c>
      <c r="H436" s="432" t="s">
        <v>122</v>
      </c>
      <c r="I436" s="433" t="s">
        <v>53</v>
      </c>
      <c r="J436" s="548">
        <v>45609</v>
      </c>
      <c r="K436" s="443" t="s">
        <v>1507</v>
      </c>
      <c r="L436" s="508" t="s">
        <v>1508</v>
      </c>
      <c r="M436" s="87"/>
      <c r="N436" s="87"/>
      <c r="O436" s="88"/>
      <c r="P436" s="81"/>
      <c r="R436" s="90"/>
      <c r="S436" s="91"/>
      <c r="T436" s="90"/>
    </row>
    <row r="437" spans="1:24" s="597" customFormat="1" ht="54" customHeight="1">
      <c r="A437" s="440">
        <v>45584</v>
      </c>
      <c r="B437" s="444">
        <v>419</v>
      </c>
      <c r="C437" s="542"/>
      <c r="D437" s="442" t="s">
        <v>96</v>
      </c>
      <c r="E437" s="588">
        <v>2</v>
      </c>
      <c r="F437" s="589" t="s">
        <v>1510</v>
      </c>
      <c r="G437" s="590" t="s">
        <v>154</v>
      </c>
      <c r="H437" s="591" t="s">
        <v>1511</v>
      </c>
      <c r="I437" s="592" t="s">
        <v>53</v>
      </c>
      <c r="J437" s="593">
        <v>45612</v>
      </c>
      <c r="K437" s="443" t="s">
        <v>1507</v>
      </c>
      <c r="L437" s="508" t="s">
        <v>1508</v>
      </c>
      <c r="M437" s="595"/>
      <c r="N437" s="595"/>
      <c r="O437" s="596"/>
      <c r="P437" s="594"/>
      <c r="R437" s="594"/>
      <c r="S437" s="598"/>
      <c r="T437" s="594"/>
    </row>
    <row r="438" spans="1:24" s="597" customFormat="1" ht="54" customHeight="1">
      <c r="A438" s="440">
        <v>45610</v>
      </c>
      <c r="B438" s="444">
        <v>420</v>
      </c>
      <c r="C438" s="542"/>
      <c r="D438" s="442" t="s">
        <v>96</v>
      </c>
      <c r="E438" s="588">
        <v>2</v>
      </c>
      <c r="F438" s="589" t="s">
        <v>1838</v>
      </c>
      <c r="G438" s="590" t="s">
        <v>1839</v>
      </c>
      <c r="H438" s="591" t="s">
        <v>122</v>
      </c>
      <c r="I438" s="592" t="s">
        <v>1840</v>
      </c>
      <c r="J438" s="593">
        <v>45610</v>
      </c>
      <c r="K438" s="443"/>
      <c r="L438" s="508" t="s">
        <v>1508</v>
      </c>
      <c r="M438" s="595"/>
      <c r="N438" s="595"/>
      <c r="O438" s="596"/>
      <c r="P438" s="594"/>
      <c r="R438" s="594"/>
      <c r="S438" s="598"/>
      <c r="T438" s="594"/>
    </row>
    <row r="439" spans="1:24" s="93" customFormat="1" ht="54.75" customHeight="1">
      <c r="A439" s="440">
        <v>45588</v>
      </c>
      <c r="B439" s="444">
        <v>421</v>
      </c>
      <c r="C439" s="583" t="s">
        <v>1836</v>
      </c>
      <c r="D439" s="442" t="s">
        <v>1798</v>
      </c>
      <c r="E439" s="434">
        <v>3</v>
      </c>
      <c r="F439" s="442" t="s">
        <v>1629</v>
      </c>
      <c r="G439" s="434" t="s">
        <v>1630</v>
      </c>
      <c r="H439" s="436" t="s">
        <v>1615</v>
      </c>
      <c r="I439" s="435" t="s">
        <v>53</v>
      </c>
      <c r="J439" s="548">
        <v>45612</v>
      </c>
      <c r="K439" s="443" t="s">
        <v>1507</v>
      </c>
      <c r="L439" s="523" t="s">
        <v>1558</v>
      </c>
    </row>
    <row r="440" spans="1:24" s="597" customFormat="1" ht="34.5" customHeight="1">
      <c r="A440" s="440">
        <v>45584</v>
      </c>
      <c r="B440" s="444">
        <v>422</v>
      </c>
      <c r="C440" s="542"/>
      <c r="D440" s="442" t="s">
        <v>96</v>
      </c>
      <c r="E440" s="588">
        <v>1</v>
      </c>
      <c r="F440" s="589" t="s">
        <v>1687</v>
      </c>
      <c r="G440" s="590" t="s">
        <v>1688</v>
      </c>
      <c r="H440" s="591" t="s">
        <v>59</v>
      </c>
      <c r="I440" s="592" t="s">
        <v>56</v>
      </c>
      <c r="J440" s="548">
        <v>45616</v>
      </c>
      <c r="K440" s="443" t="s">
        <v>1507</v>
      </c>
      <c r="L440" s="508" t="s">
        <v>1508</v>
      </c>
      <c r="M440" s="596"/>
      <c r="N440" s="594"/>
      <c r="P440" s="594"/>
      <c r="Q440" s="598"/>
      <c r="R440" s="594"/>
    </row>
    <row r="441" spans="1:24" s="93" customFormat="1" ht="44.25" customHeight="1">
      <c r="A441" s="440">
        <v>45560</v>
      </c>
      <c r="B441" s="444">
        <v>423</v>
      </c>
      <c r="C441" s="583" t="s">
        <v>1836</v>
      </c>
      <c r="D441" s="442" t="s">
        <v>96</v>
      </c>
      <c r="E441" s="434">
        <v>2</v>
      </c>
      <c r="F441" s="442" t="s">
        <v>1365</v>
      </c>
      <c r="G441" s="434" t="s">
        <v>1561</v>
      </c>
      <c r="H441" s="436" t="s">
        <v>49</v>
      </c>
      <c r="I441" s="435" t="s">
        <v>56</v>
      </c>
      <c r="J441" s="548">
        <v>45616</v>
      </c>
      <c r="K441" s="443" t="s">
        <v>1507</v>
      </c>
      <c r="L441" s="508" t="s">
        <v>1508</v>
      </c>
    </row>
    <row r="442" spans="1:24" s="597" customFormat="1" ht="40.5" customHeight="1">
      <c r="A442" s="440">
        <v>45584</v>
      </c>
      <c r="B442" s="444">
        <v>424</v>
      </c>
      <c r="C442" s="542"/>
      <c r="D442" s="442" t="s">
        <v>96</v>
      </c>
      <c r="E442" s="588">
        <v>2</v>
      </c>
      <c r="F442" s="589" t="s">
        <v>1808</v>
      </c>
      <c r="G442" s="590" t="s">
        <v>1809</v>
      </c>
      <c r="H442" s="591" t="s">
        <v>59</v>
      </c>
      <c r="I442" s="592" t="s">
        <v>53</v>
      </c>
      <c r="J442" s="548">
        <v>45618</v>
      </c>
      <c r="K442" s="443" t="s">
        <v>1507</v>
      </c>
      <c r="L442" s="508" t="s">
        <v>1508</v>
      </c>
      <c r="M442" s="596"/>
      <c r="N442" s="594"/>
      <c r="P442" s="594"/>
      <c r="Q442" s="598"/>
      <c r="R442" s="594"/>
    </row>
    <row r="443" spans="1:24" s="89" customFormat="1" ht="40.5" customHeight="1">
      <c r="A443" s="440">
        <v>45588</v>
      </c>
      <c r="B443" s="444">
        <v>425</v>
      </c>
      <c r="C443" s="542" t="s">
        <v>1799</v>
      </c>
      <c r="D443" s="442" t="s">
        <v>96</v>
      </c>
      <c r="E443" s="434">
        <v>2</v>
      </c>
      <c r="F443" s="430" t="s">
        <v>1318</v>
      </c>
      <c r="G443" s="431" t="s">
        <v>1319</v>
      </c>
      <c r="H443" s="432" t="s">
        <v>603</v>
      </c>
      <c r="I443" s="433" t="s">
        <v>53</v>
      </c>
      <c r="J443" s="593">
        <v>45621</v>
      </c>
      <c r="K443" s="443"/>
      <c r="L443" s="508" t="s">
        <v>1508</v>
      </c>
      <c r="M443" s="88"/>
      <c r="N443" s="81"/>
      <c r="P443" s="90"/>
      <c r="Q443" s="91"/>
      <c r="R443" s="90"/>
    </row>
    <row r="444" spans="1:24" s="597" customFormat="1" ht="34.5" customHeight="1">
      <c r="A444" s="587">
        <v>45588</v>
      </c>
      <c r="B444" s="444">
        <v>426</v>
      </c>
      <c r="C444" s="542"/>
      <c r="D444" s="442" t="s">
        <v>96</v>
      </c>
      <c r="E444" s="588">
        <v>2</v>
      </c>
      <c r="F444" s="589" t="s">
        <v>1320</v>
      </c>
      <c r="G444" s="590" t="s">
        <v>1321</v>
      </c>
      <c r="H444" s="591" t="s">
        <v>603</v>
      </c>
      <c r="I444" s="592" t="s">
        <v>56</v>
      </c>
      <c r="J444" s="593">
        <v>45621</v>
      </c>
      <c r="K444" s="443"/>
      <c r="L444" s="508" t="s">
        <v>1508</v>
      </c>
      <c r="M444" s="596"/>
      <c r="N444" s="594"/>
      <c r="P444" s="594"/>
      <c r="Q444" s="598"/>
      <c r="R444" s="594"/>
    </row>
    <row r="445" spans="1:24" s="93" customFormat="1" ht="42.75" customHeight="1">
      <c r="A445" s="440">
        <v>45611</v>
      </c>
      <c r="B445" s="444">
        <v>427</v>
      </c>
      <c r="C445" s="441" t="s">
        <v>1842</v>
      </c>
      <c r="D445" s="442" t="s">
        <v>1640</v>
      </c>
      <c r="E445" s="434">
        <v>2</v>
      </c>
      <c r="F445" s="442" t="s">
        <v>1652</v>
      </c>
      <c r="G445" s="434" t="s">
        <v>1653</v>
      </c>
      <c r="H445" s="436" t="s">
        <v>1635</v>
      </c>
      <c r="I445" s="435" t="s">
        <v>724</v>
      </c>
      <c r="J445" s="1008">
        <v>45625</v>
      </c>
      <c r="K445" s="443"/>
      <c r="L445" s="508" t="s">
        <v>1508</v>
      </c>
    </row>
    <row r="446" spans="1:24" s="93" customFormat="1" ht="42.75" customHeight="1">
      <c r="A446" s="440">
        <v>45611</v>
      </c>
      <c r="B446" s="444">
        <v>428</v>
      </c>
      <c r="C446" s="441" t="s">
        <v>1842</v>
      </c>
      <c r="D446" s="442" t="s">
        <v>1640</v>
      </c>
      <c r="E446" s="434">
        <v>1</v>
      </c>
      <c r="F446" s="442" t="s">
        <v>1633</v>
      </c>
      <c r="G446" s="434" t="s">
        <v>1634</v>
      </c>
      <c r="H446" s="436" t="s">
        <v>1635</v>
      </c>
      <c r="I446" s="435" t="s">
        <v>50</v>
      </c>
      <c r="J446" s="1009"/>
      <c r="K446" s="443"/>
      <c r="L446" s="508" t="s">
        <v>1508</v>
      </c>
    </row>
    <row r="447" spans="1:24" s="93" customFormat="1" ht="42.75" customHeight="1">
      <c r="A447" s="440">
        <v>45615</v>
      </c>
      <c r="B447" s="444">
        <v>429</v>
      </c>
      <c r="C447" s="441" t="s">
        <v>1842</v>
      </c>
      <c r="D447" s="442" t="s">
        <v>1640</v>
      </c>
      <c r="E447" s="434">
        <v>1</v>
      </c>
      <c r="F447" s="442" t="s">
        <v>1847</v>
      </c>
      <c r="G447" s="434" t="s">
        <v>1848</v>
      </c>
      <c r="H447" s="436" t="s">
        <v>59</v>
      </c>
      <c r="I447" s="435" t="s">
        <v>71</v>
      </c>
      <c r="J447" s="1009"/>
      <c r="K447" s="443"/>
      <c r="L447" s="508" t="s">
        <v>1508</v>
      </c>
    </row>
    <row r="448" spans="1:24" s="93" customFormat="1" ht="42.75" customHeight="1">
      <c r="A448" s="440">
        <v>45615</v>
      </c>
      <c r="B448" s="444">
        <v>430</v>
      </c>
      <c r="C448" s="604"/>
      <c r="D448" s="607" t="s">
        <v>1640</v>
      </c>
      <c r="E448" s="588">
        <v>1</v>
      </c>
      <c r="F448" s="607" t="s">
        <v>1735</v>
      </c>
      <c r="G448" s="434" t="s">
        <v>1736</v>
      </c>
      <c r="H448" s="436" t="s">
        <v>59</v>
      </c>
      <c r="I448" s="435" t="s">
        <v>50</v>
      </c>
      <c r="J448" s="1010"/>
      <c r="K448" s="443"/>
      <c r="L448" s="508" t="s">
        <v>1508</v>
      </c>
    </row>
    <row r="449" spans="1:22" s="581" customFormat="1" ht="54" customHeight="1">
      <c r="A449" s="1005" t="s">
        <v>1801</v>
      </c>
      <c r="B449" s="1006"/>
      <c r="C449" s="1006"/>
      <c r="D449" s="1007"/>
      <c r="E449" s="561">
        <f>SUM(E430:E448)</f>
        <v>35</v>
      </c>
      <c r="F449" s="568"/>
      <c r="G449" s="565"/>
      <c r="H449" s="562"/>
      <c r="I449" s="568"/>
      <c r="J449" s="563"/>
      <c r="K449" s="568"/>
      <c r="L449" s="560"/>
    </row>
    <row r="450" spans="1:22" ht="35.25" customHeight="1">
      <c r="A450" s="1002" t="s">
        <v>1966</v>
      </c>
      <c r="B450" s="1003"/>
      <c r="C450" s="1003"/>
      <c r="D450" s="1003"/>
      <c r="E450" s="1004"/>
      <c r="F450" s="566"/>
      <c r="G450" s="564"/>
      <c r="H450" s="564"/>
      <c r="I450" s="566"/>
      <c r="J450" s="559"/>
      <c r="K450" s="567"/>
      <c r="L450" s="567"/>
    </row>
    <row r="451" spans="1:22" s="93" customFormat="1" ht="42.75" customHeight="1">
      <c r="A451" s="440">
        <v>45612</v>
      </c>
      <c r="B451" s="444">
        <v>431</v>
      </c>
      <c r="C451" s="441" t="s">
        <v>1844</v>
      </c>
      <c r="D451" s="442" t="s">
        <v>52</v>
      </c>
      <c r="E451" s="434">
        <v>2</v>
      </c>
      <c r="F451" s="442" t="s">
        <v>1841</v>
      </c>
      <c r="G451" s="434" t="s">
        <v>95</v>
      </c>
      <c r="H451" s="436" t="s">
        <v>49</v>
      </c>
      <c r="I451" s="435" t="s">
        <v>56</v>
      </c>
      <c r="J451" s="548">
        <v>45639</v>
      </c>
      <c r="K451" s="443"/>
      <c r="L451" s="508" t="s">
        <v>1508</v>
      </c>
      <c r="M451" s="93" t="s">
        <v>1871</v>
      </c>
    </row>
    <row r="452" spans="1:22" s="93" customFormat="1" ht="42.75" customHeight="1">
      <c r="A452" s="440">
        <v>45603</v>
      </c>
      <c r="B452" s="444">
        <v>432</v>
      </c>
      <c r="C452" s="441" t="s">
        <v>1850</v>
      </c>
      <c r="D452" s="442" t="s">
        <v>1829</v>
      </c>
      <c r="E452" s="434">
        <v>2</v>
      </c>
      <c r="F452" s="442" t="s">
        <v>1830</v>
      </c>
      <c r="G452" s="434" t="s">
        <v>1831</v>
      </c>
      <c r="H452" s="436" t="s">
        <v>1174</v>
      </c>
      <c r="I452" s="435" t="s">
        <v>578</v>
      </c>
      <c r="J452" s="548">
        <v>45631</v>
      </c>
      <c r="K452" s="443"/>
      <c r="L452" s="508" t="s">
        <v>1508</v>
      </c>
      <c r="M452" s="93" t="s">
        <v>1899</v>
      </c>
    </row>
    <row r="453" spans="1:22" s="93" customFormat="1" ht="42.75" customHeight="1">
      <c r="A453" s="440">
        <v>45607</v>
      </c>
      <c r="B453" s="444">
        <v>433</v>
      </c>
      <c r="C453" s="441" t="s">
        <v>1843</v>
      </c>
      <c r="D453" s="442" t="s">
        <v>1751</v>
      </c>
      <c r="E453" s="434">
        <v>2</v>
      </c>
      <c r="F453" s="442" t="s">
        <v>1846</v>
      </c>
      <c r="G453" s="434" t="s">
        <v>1833</v>
      </c>
      <c r="H453" s="436" t="s">
        <v>59</v>
      </c>
      <c r="I453" s="435" t="s">
        <v>53</v>
      </c>
      <c r="J453" s="548">
        <v>45635</v>
      </c>
      <c r="K453" s="443"/>
      <c r="L453" s="508" t="s">
        <v>1508</v>
      </c>
      <c r="M453" s="93" t="s">
        <v>1900</v>
      </c>
    </row>
    <row r="454" spans="1:22" s="93" customFormat="1" ht="42.75" customHeight="1">
      <c r="A454" s="440">
        <v>45607</v>
      </c>
      <c r="B454" s="444">
        <v>434</v>
      </c>
      <c r="C454" s="441" t="s">
        <v>1843</v>
      </c>
      <c r="D454" s="442" t="s">
        <v>1751</v>
      </c>
      <c r="E454" s="434">
        <v>2</v>
      </c>
      <c r="F454" s="442" t="s">
        <v>1834</v>
      </c>
      <c r="G454" s="434" t="s">
        <v>1835</v>
      </c>
      <c r="H454" s="436" t="s">
        <v>59</v>
      </c>
      <c r="I454" s="435" t="s">
        <v>53</v>
      </c>
      <c r="J454" s="548">
        <v>45635</v>
      </c>
      <c r="K454" s="443"/>
      <c r="L454" s="508" t="s">
        <v>1508</v>
      </c>
      <c r="M454" s="93" t="s">
        <v>1900</v>
      </c>
    </row>
    <row r="455" spans="1:22" s="93" customFormat="1" ht="36" customHeight="1">
      <c r="A455" s="440">
        <v>45601</v>
      </c>
      <c r="B455" s="444">
        <v>435</v>
      </c>
      <c r="C455" s="441"/>
      <c r="D455" s="442" t="s">
        <v>96</v>
      </c>
      <c r="E455" s="434">
        <v>4</v>
      </c>
      <c r="F455" s="442" t="s">
        <v>1826</v>
      </c>
      <c r="G455" s="434" t="s">
        <v>1827</v>
      </c>
      <c r="H455" s="436" t="s">
        <v>122</v>
      </c>
      <c r="I455" s="435" t="s">
        <v>1828</v>
      </c>
      <c r="J455" s="548">
        <v>45636</v>
      </c>
      <c r="K455" s="443"/>
      <c r="L455" s="508" t="s">
        <v>1508</v>
      </c>
    </row>
    <row r="456" spans="1:22" s="89" customFormat="1" ht="34.5" customHeight="1">
      <c r="A456" s="440">
        <v>45576</v>
      </c>
      <c r="B456" s="444">
        <v>436</v>
      </c>
      <c r="C456" s="441"/>
      <c r="D456" s="429" t="s">
        <v>1305</v>
      </c>
      <c r="E456" s="434">
        <v>1</v>
      </c>
      <c r="F456" s="430" t="s">
        <v>1356</v>
      </c>
      <c r="G456" s="431" t="s">
        <v>1817</v>
      </c>
      <c r="H456" s="432" t="s">
        <v>1335</v>
      </c>
      <c r="I456" s="433" t="s">
        <v>1357</v>
      </c>
      <c r="J456" s="548">
        <v>45640</v>
      </c>
      <c r="K456" s="443" t="s">
        <v>1507</v>
      </c>
      <c r="L456" s="508" t="s">
        <v>1508</v>
      </c>
      <c r="M456" s="88"/>
      <c r="N456" s="81"/>
      <c r="P456" s="90"/>
      <c r="Q456" s="91"/>
      <c r="R456" s="90"/>
    </row>
    <row r="457" spans="1:22" s="89" customFormat="1" ht="34.5" customHeight="1">
      <c r="A457" s="440">
        <v>45576</v>
      </c>
      <c r="B457" s="444">
        <v>437</v>
      </c>
      <c r="C457" s="619" t="s">
        <v>1941</v>
      </c>
      <c r="D457" s="429" t="s">
        <v>1305</v>
      </c>
      <c r="E457" s="434">
        <v>1</v>
      </c>
      <c r="F457" s="430" t="s">
        <v>1329</v>
      </c>
      <c r="G457" s="431" t="s">
        <v>1818</v>
      </c>
      <c r="H457" s="432" t="s">
        <v>1335</v>
      </c>
      <c r="I457" s="433" t="s">
        <v>1357</v>
      </c>
      <c r="J457" s="548">
        <v>45645</v>
      </c>
      <c r="K457" s="443" t="s">
        <v>1507</v>
      </c>
      <c r="L457" s="508" t="s">
        <v>1508</v>
      </c>
      <c r="M457" s="88"/>
      <c r="N457" s="81"/>
      <c r="P457" s="90"/>
      <c r="Q457" s="91"/>
      <c r="R457" s="90"/>
    </row>
    <row r="458" spans="1:22" s="89" customFormat="1" ht="34.5" customHeight="1">
      <c r="A458" s="440">
        <v>45576</v>
      </c>
      <c r="B458" s="444">
        <v>438</v>
      </c>
      <c r="C458" s="620"/>
      <c r="D458" s="429" t="s">
        <v>1305</v>
      </c>
      <c r="E458" s="430">
        <v>1</v>
      </c>
      <c r="F458" s="430" t="s">
        <v>1330</v>
      </c>
      <c r="G458" s="431" t="s">
        <v>1820</v>
      </c>
      <c r="H458" s="432" t="s">
        <v>1335</v>
      </c>
      <c r="I458" s="433" t="s">
        <v>1357</v>
      </c>
      <c r="J458" s="548">
        <v>45645</v>
      </c>
      <c r="K458" s="443" t="s">
        <v>1507</v>
      </c>
      <c r="L458" s="508" t="s">
        <v>1508</v>
      </c>
      <c r="M458" s="88"/>
      <c r="N458" s="81"/>
      <c r="P458" s="90"/>
      <c r="Q458" s="91"/>
      <c r="R458" s="90"/>
    </row>
    <row r="459" spans="1:22" s="89" customFormat="1" ht="34.5" customHeight="1">
      <c r="A459" s="440">
        <v>45576</v>
      </c>
      <c r="B459" s="444">
        <v>439</v>
      </c>
      <c r="C459" s="620"/>
      <c r="D459" s="429" t="s">
        <v>1305</v>
      </c>
      <c r="E459" s="434">
        <v>1</v>
      </c>
      <c r="F459" s="430" t="s">
        <v>1331</v>
      </c>
      <c r="G459" s="431" t="s">
        <v>1821</v>
      </c>
      <c r="H459" s="432" t="s">
        <v>1335</v>
      </c>
      <c r="I459" s="433" t="s">
        <v>1357</v>
      </c>
      <c r="J459" s="548">
        <v>45645</v>
      </c>
      <c r="K459" s="443" t="s">
        <v>1507</v>
      </c>
      <c r="L459" s="508" t="s">
        <v>1508</v>
      </c>
      <c r="M459" s="88"/>
      <c r="N459" s="81"/>
      <c r="P459" s="90"/>
      <c r="Q459" s="91"/>
      <c r="R459" s="90"/>
    </row>
    <row r="460" spans="1:22" s="89" customFormat="1" ht="44.25" customHeight="1">
      <c r="A460" s="440">
        <v>45576</v>
      </c>
      <c r="B460" s="444">
        <v>440</v>
      </c>
      <c r="C460" s="621"/>
      <c r="D460" s="429" t="s">
        <v>1305</v>
      </c>
      <c r="E460" s="434">
        <v>2</v>
      </c>
      <c r="F460" s="430" t="s">
        <v>1771</v>
      </c>
      <c r="G460" s="431" t="s">
        <v>1772</v>
      </c>
      <c r="H460" s="432" t="s">
        <v>1429</v>
      </c>
      <c r="I460" s="433" t="s">
        <v>1773</v>
      </c>
      <c r="J460" s="548">
        <v>45645</v>
      </c>
      <c r="K460" s="443" t="s">
        <v>1507</v>
      </c>
      <c r="L460" s="508" t="s">
        <v>1508</v>
      </c>
      <c r="M460" s="87"/>
      <c r="N460" s="87"/>
      <c r="O460" s="87"/>
      <c r="P460" s="87"/>
      <c r="Q460" s="88"/>
      <c r="R460" s="81"/>
      <c r="T460" s="90"/>
      <c r="U460" s="91"/>
      <c r="V460" s="90"/>
    </row>
    <row r="461" spans="1:22" s="89" customFormat="1" ht="44.25" customHeight="1">
      <c r="A461" s="440">
        <v>45587</v>
      </c>
      <c r="B461" s="444">
        <v>441</v>
      </c>
      <c r="C461" s="542"/>
      <c r="D461" s="442" t="s">
        <v>1791</v>
      </c>
      <c r="E461" s="434">
        <v>2</v>
      </c>
      <c r="F461" s="430" t="s">
        <v>1792</v>
      </c>
      <c r="G461" s="431" t="s">
        <v>147</v>
      </c>
      <c r="H461" s="432"/>
      <c r="I461" s="433" t="s">
        <v>53</v>
      </c>
      <c r="J461" s="548">
        <v>45646</v>
      </c>
      <c r="K461" s="443"/>
      <c r="L461" s="508" t="s">
        <v>1508</v>
      </c>
      <c r="M461" s="88"/>
      <c r="N461" s="81"/>
      <c r="P461" s="90"/>
      <c r="Q461" s="91"/>
      <c r="R461" s="90"/>
    </row>
    <row r="462" spans="1:22" s="89" customFormat="1" ht="42.75" customHeight="1">
      <c r="A462" s="440">
        <v>45633</v>
      </c>
      <c r="B462" s="444">
        <v>442</v>
      </c>
      <c r="C462" s="441"/>
      <c r="D462" s="429" t="s">
        <v>96</v>
      </c>
      <c r="E462" s="434">
        <v>2</v>
      </c>
      <c r="F462" s="430" t="s">
        <v>1894</v>
      </c>
      <c r="G462" s="431" t="s">
        <v>1959</v>
      </c>
      <c r="H462" s="432" t="s">
        <v>603</v>
      </c>
      <c r="I462" s="433" t="s">
        <v>712</v>
      </c>
      <c r="J462" s="548">
        <v>45650</v>
      </c>
      <c r="K462" s="443"/>
      <c r="L462" s="508" t="s">
        <v>1508</v>
      </c>
      <c r="M462" s="88"/>
      <c r="N462" s="81"/>
      <c r="P462" s="90"/>
      <c r="Q462" s="91"/>
      <c r="R462" s="90"/>
    </row>
    <row r="463" spans="1:22" s="93" customFormat="1" ht="41.25" customHeight="1">
      <c r="A463" s="440">
        <v>45619</v>
      </c>
      <c r="B463" s="444">
        <v>443</v>
      </c>
      <c r="C463" s="441"/>
      <c r="D463" s="442" t="s">
        <v>96</v>
      </c>
      <c r="E463" s="434">
        <v>2</v>
      </c>
      <c r="F463" s="442" t="s">
        <v>1707</v>
      </c>
      <c r="G463" s="434" t="s">
        <v>1708</v>
      </c>
      <c r="H463" s="436" t="s">
        <v>603</v>
      </c>
      <c r="I463" s="435" t="s">
        <v>56</v>
      </c>
      <c r="J463" s="548">
        <v>45651</v>
      </c>
      <c r="K463" s="443"/>
      <c r="L463" s="508" t="s">
        <v>1508</v>
      </c>
    </row>
    <row r="464" spans="1:22" s="93" customFormat="1" ht="45.75" customHeight="1">
      <c r="A464" s="440">
        <v>45643</v>
      </c>
      <c r="B464" s="444">
        <v>444</v>
      </c>
      <c r="C464" s="441"/>
      <c r="D464" s="442" t="s">
        <v>1797</v>
      </c>
      <c r="E464" s="434">
        <v>2</v>
      </c>
      <c r="F464" s="442" t="s">
        <v>1942</v>
      </c>
      <c r="G464" s="434" t="s">
        <v>1943</v>
      </c>
      <c r="H464" s="436" t="s">
        <v>59</v>
      </c>
      <c r="I464" s="435" t="s">
        <v>71</v>
      </c>
      <c r="J464" s="548">
        <v>46022</v>
      </c>
      <c r="K464" s="443"/>
      <c r="L464" s="508" t="s">
        <v>1508</v>
      </c>
    </row>
    <row r="465" spans="1:22" s="581" customFormat="1" ht="43.5" customHeight="1">
      <c r="A465" s="1005" t="s">
        <v>1801</v>
      </c>
      <c r="B465" s="1006"/>
      <c r="C465" s="1006"/>
      <c r="D465" s="1007"/>
      <c r="E465" s="561">
        <f>SUM(E451:E464)</f>
        <v>26</v>
      </c>
      <c r="F465" s="568"/>
      <c r="G465" s="565"/>
      <c r="H465" s="562"/>
      <c r="I465" s="568"/>
      <c r="J465" s="563"/>
      <c r="K465" s="568"/>
      <c r="L465" s="560"/>
    </row>
    <row r="466" spans="1:22" ht="37.5" customHeight="1">
      <c r="A466" s="1002" t="s">
        <v>1965</v>
      </c>
      <c r="B466" s="1003"/>
      <c r="C466" s="1003"/>
      <c r="D466" s="1003"/>
      <c r="E466" s="1004"/>
      <c r="F466" s="566"/>
      <c r="G466" s="564"/>
      <c r="H466" s="564"/>
      <c r="I466" s="566"/>
      <c r="J466" s="559"/>
      <c r="K466" s="567"/>
      <c r="L466" s="567"/>
    </row>
    <row r="467" spans="1:22" s="89" customFormat="1" ht="36.75" customHeight="1">
      <c r="A467" s="440">
        <v>45635</v>
      </c>
      <c r="B467" s="444">
        <v>445</v>
      </c>
      <c r="C467" s="1024" t="s">
        <v>1967</v>
      </c>
      <c r="D467" s="429" t="s">
        <v>177</v>
      </c>
      <c r="E467" s="434">
        <v>2</v>
      </c>
      <c r="F467" s="430" t="s">
        <v>1901</v>
      </c>
      <c r="G467" s="431" t="s">
        <v>1898</v>
      </c>
      <c r="H467" s="432" t="s">
        <v>1940</v>
      </c>
      <c r="I467" s="433" t="s">
        <v>53</v>
      </c>
      <c r="J467" s="622">
        <v>45661</v>
      </c>
      <c r="K467" s="443" t="s">
        <v>1507</v>
      </c>
      <c r="L467" s="508" t="s">
        <v>1508</v>
      </c>
      <c r="M467" s="87"/>
      <c r="N467" s="87"/>
      <c r="O467" s="87"/>
      <c r="P467" s="87"/>
      <c r="Q467" s="88"/>
      <c r="R467" s="81"/>
      <c r="T467" s="90"/>
      <c r="U467" s="91"/>
      <c r="V467" s="90"/>
    </row>
    <row r="468" spans="1:22" s="89" customFormat="1" ht="36.75" customHeight="1">
      <c r="A468" s="440">
        <v>45635</v>
      </c>
      <c r="B468" s="444">
        <v>446</v>
      </c>
      <c r="C468" s="1026"/>
      <c r="D468" s="429" t="s">
        <v>177</v>
      </c>
      <c r="E468" s="434">
        <v>1</v>
      </c>
      <c r="F468" s="430" t="s">
        <v>1902</v>
      </c>
      <c r="G468" s="431" t="s">
        <v>1304</v>
      </c>
      <c r="H468" s="432" t="s">
        <v>1939</v>
      </c>
      <c r="I468" s="433" t="s">
        <v>53</v>
      </c>
      <c r="J468" s="622">
        <v>45661</v>
      </c>
      <c r="K468" s="443" t="s">
        <v>1507</v>
      </c>
      <c r="L468" s="508" t="s">
        <v>1508</v>
      </c>
      <c r="M468" s="87"/>
      <c r="N468" s="87"/>
      <c r="O468" s="87"/>
      <c r="P468" s="87"/>
      <c r="Q468" s="88"/>
      <c r="R468" s="81"/>
      <c r="T468" s="90"/>
      <c r="U468" s="91"/>
      <c r="V468" s="90"/>
    </row>
    <row r="469" spans="1:22" s="89" customFormat="1" ht="36.75" customHeight="1">
      <c r="A469" s="440">
        <v>45635</v>
      </c>
      <c r="B469" s="444">
        <v>447</v>
      </c>
      <c r="C469" s="1025"/>
      <c r="D469" s="429" t="s">
        <v>177</v>
      </c>
      <c r="E469" s="434">
        <v>1</v>
      </c>
      <c r="F469" s="430" t="s">
        <v>1903</v>
      </c>
      <c r="G469" s="431" t="s">
        <v>1304</v>
      </c>
      <c r="H469" s="432" t="s">
        <v>1940</v>
      </c>
      <c r="I469" s="433" t="s">
        <v>53</v>
      </c>
      <c r="J469" s="593">
        <v>45661</v>
      </c>
      <c r="K469" s="443" t="s">
        <v>1507</v>
      </c>
      <c r="L469" s="508" t="s">
        <v>1508</v>
      </c>
      <c r="M469" s="87"/>
      <c r="N469" s="87"/>
      <c r="O469" s="87"/>
      <c r="P469" s="87"/>
      <c r="Q469" s="88"/>
      <c r="R469" s="81"/>
      <c r="T469" s="90"/>
      <c r="U469" s="91"/>
      <c r="V469" s="90"/>
    </row>
    <row r="470" spans="1:22" s="93" customFormat="1" ht="51.75" customHeight="1">
      <c r="A470" s="440">
        <v>45644</v>
      </c>
      <c r="B470" s="444">
        <v>448</v>
      </c>
      <c r="C470" s="542" t="s">
        <v>1970</v>
      </c>
      <c r="D470" s="442" t="s">
        <v>96</v>
      </c>
      <c r="E470" s="434">
        <v>1</v>
      </c>
      <c r="F470" s="442" t="s">
        <v>1956</v>
      </c>
      <c r="G470" s="434" t="s">
        <v>1434</v>
      </c>
      <c r="H470" s="436" t="s">
        <v>603</v>
      </c>
      <c r="I470" s="435" t="s">
        <v>748</v>
      </c>
      <c r="J470" s="548">
        <v>45664</v>
      </c>
      <c r="K470" s="443"/>
      <c r="L470" s="508" t="s">
        <v>1508</v>
      </c>
    </row>
    <row r="471" spans="1:22" s="89" customFormat="1" ht="39" customHeight="1">
      <c r="A471" s="440">
        <v>45576</v>
      </c>
      <c r="B471" s="444">
        <v>449</v>
      </c>
      <c r="C471" s="1024" t="s">
        <v>1968</v>
      </c>
      <c r="D471" s="429" t="s">
        <v>1305</v>
      </c>
      <c r="E471" s="434">
        <v>1</v>
      </c>
      <c r="F471" s="589" t="s">
        <v>1355</v>
      </c>
      <c r="G471" s="431" t="s">
        <v>1819</v>
      </c>
      <c r="H471" s="432" t="s">
        <v>1335</v>
      </c>
      <c r="I471" s="433" t="s">
        <v>1357</v>
      </c>
      <c r="J471" s="548">
        <v>45670</v>
      </c>
      <c r="K471" s="443"/>
      <c r="L471" s="508" t="s">
        <v>1508</v>
      </c>
      <c r="N471" s="90"/>
      <c r="O471" s="91"/>
      <c r="P471" s="90"/>
    </row>
    <row r="472" spans="1:22" s="89" customFormat="1" ht="39" customHeight="1">
      <c r="A472" s="440">
        <v>45576</v>
      </c>
      <c r="B472" s="444">
        <v>450</v>
      </c>
      <c r="C472" s="1026"/>
      <c r="D472" s="429" t="s">
        <v>1305</v>
      </c>
      <c r="E472" s="434">
        <v>1</v>
      </c>
      <c r="F472" s="589" t="s">
        <v>1329</v>
      </c>
      <c r="G472" s="431" t="s">
        <v>1818</v>
      </c>
      <c r="H472" s="432" t="s">
        <v>1335</v>
      </c>
      <c r="I472" s="433" t="s">
        <v>1357</v>
      </c>
      <c r="J472" s="548">
        <v>45670</v>
      </c>
      <c r="K472" s="443"/>
      <c r="L472" s="508" t="s">
        <v>1508</v>
      </c>
      <c r="N472" s="90"/>
      <c r="O472" s="91"/>
      <c r="P472" s="90"/>
    </row>
    <row r="473" spans="1:22" s="89" customFormat="1" ht="39" customHeight="1">
      <c r="A473" s="440">
        <v>45576</v>
      </c>
      <c r="B473" s="444">
        <v>451</v>
      </c>
      <c r="C473" s="1026"/>
      <c r="D473" s="429" t="s">
        <v>1305</v>
      </c>
      <c r="E473" s="430">
        <v>1</v>
      </c>
      <c r="F473" s="589" t="s">
        <v>1330</v>
      </c>
      <c r="G473" s="431" t="s">
        <v>1820</v>
      </c>
      <c r="H473" s="432" t="s">
        <v>1335</v>
      </c>
      <c r="I473" s="433" t="s">
        <v>1357</v>
      </c>
      <c r="J473" s="548">
        <v>45670</v>
      </c>
      <c r="K473" s="443"/>
      <c r="L473" s="508" t="s">
        <v>1508</v>
      </c>
      <c r="N473" s="90"/>
      <c r="O473" s="91"/>
      <c r="P473" s="90"/>
    </row>
    <row r="474" spans="1:22" s="89" customFormat="1" ht="34.5" customHeight="1">
      <c r="A474" s="440">
        <v>45576</v>
      </c>
      <c r="B474" s="444">
        <v>452</v>
      </c>
      <c r="C474" s="1026"/>
      <c r="D474" s="429" t="s">
        <v>1305</v>
      </c>
      <c r="E474" s="434">
        <v>1</v>
      </c>
      <c r="F474" s="589" t="s">
        <v>1356</v>
      </c>
      <c r="G474" s="431" t="s">
        <v>1817</v>
      </c>
      <c r="H474" s="432" t="s">
        <v>1335</v>
      </c>
      <c r="I474" s="433" t="s">
        <v>1357</v>
      </c>
      <c r="J474" s="548">
        <v>45670</v>
      </c>
      <c r="K474" s="443"/>
      <c r="L474" s="508" t="s">
        <v>1508</v>
      </c>
      <c r="N474" s="90"/>
      <c r="O474" s="91"/>
      <c r="P474" s="90"/>
    </row>
    <row r="475" spans="1:22" s="89" customFormat="1" ht="39" customHeight="1">
      <c r="A475" s="440">
        <v>45576</v>
      </c>
      <c r="B475" s="444">
        <v>453</v>
      </c>
      <c r="C475" s="1025"/>
      <c r="D475" s="429" t="s">
        <v>1305</v>
      </c>
      <c r="E475" s="434">
        <v>1</v>
      </c>
      <c r="F475" s="430" t="s">
        <v>1331</v>
      </c>
      <c r="G475" s="431" t="s">
        <v>1821</v>
      </c>
      <c r="H475" s="432" t="s">
        <v>1335</v>
      </c>
      <c r="I475" s="433" t="s">
        <v>1357</v>
      </c>
      <c r="J475" s="548">
        <v>45670</v>
      </c>
      <c r="K475" s="443"/>
      <c r="L475" s="508" t="s">
        <v>1508</v>
      </c>
      <c r="N475" s="90"/>
      <c r="O475" s="91"/>
      <c r="P475" s="90"/>
    </row>
    <row r="476" spans="1:22" s="93" customFormat="1" ht="45.75" customHeight="1">
      <c r="A476" s="440">
        <v>45643</v>
      </c>
      <c r="B476" s="444">
        <v>454</v>
      </c>
      <c r="C476" s="1024" t="s">
        <v>1980</v>
      </c>
      <c r="D476" s="442" t="s">
        <v>1797</v>
      </c>
      <c r="E476" s="434">
        <v>2</v>
      </c>
      <c r="F476" s="442" t="s">
        <v>1944</v>
      </c>
      <c r="G476" s="434" t="s">
        <v>1945</v>
      </c>
      <c r="H476" s="436" t="s">
        <v>59</v>
      </c>
      <c r="I476" s="435" t="s">
        <v>71</v>
      </c>
      <c r="J476" s="548">
        <v>45675</v>
      </c>
      <c r="K476" s="443"/>
      <c r="L476" s="508" t="s">
        <v>1508</v>
      </c>
    </row>
    <row r="477" spans="1:22" s="93" customFormat="1" ht="45.75" customHeight="1">
      <c r="A477" s="440">
        <v>45643</v>
      </c>
      <c r="B477" s="444">
        <v>455</v>
      </c>
      <c r="C477" s="1025"/>
      <c r="D477" s="442" t="s">
        <v>1797</v>
      </c>
      <c r="E477" s="434">
        <v>2</v>
      </c>
      <c r="F477" s="442" t="s">
        <v>1946</v>
      </c>
      <c r="G477" s="434" t="s">
        <v>1947</v>
      </c>
      <c r="H477" s="436" t="s">
        <v>59</v>
      </c>
      <c r="I477" s="435" t="s">
        <v>71</v>
      </c>
      <c r="J477" s="548">
        <v>45675</v>
      </c>
      <c r="K477" s="443"/>
      <c r="L477" s="508" t="s">
        <v>1508</v>
      </c>
    </row>
    <row r="478" spans="1:22" s="89" customFormat="1" ht="49.5">
      <c r="A478" s="440">
        <v>45663</v>
      </c>
      <c r="B478" s="444">
        <v>456</v>
      </c>
      <c r="C478" s="542" t="s">
        <v>1962</v>
      </c>
      <c r="D478" s="440" t="s">
        <v>1640</v>
      </c>
      <c r="E478" s="434">
        <v>2</v>
      </c>
      <c r="F478" s="440" t="s">
        <v>1733</v>
      </c>
      <c r="G478" s="440" t="s">
        <v>1734</v>
      </c>
      <c r="H478" s="440" t="s">
        <v>1969</v>
      </c>
      <c r="I478" s="440" t="s">
        <v>578</v>
      </c>
      <c r="J478" s="548">
        <v>45678</v>
      </c>
      <c r="K478" s="443"/>
      <c r="L478" s="508" t="s">
        <v>1508</v>
      </c>
      <c r="M478" s="87"/>
      <c r="N478" s="87"/>
      <c r="O478" s="88"/>
      <c r="P478" s="81"/>
      <c r="R478" s="90"/>
      <c r="S478" s="91"/>
      <c r="T478" s="90"/>
    </row>
    <row r="479" spans="1:22" s="93" customFormat="1" ht="48" customHeight="1">
      <c r="A479" s="440">
        <v>45644</v>
      </c>
      <c r="B479" s="444">
        <v>457</v>
      </c>
      <c r="C479" s="542" t="s">
        <v>1971</v>
      </c>
      <c r="D479" s="442" t="s">
        <v>96</v>
      </c>
      <c r="E479" s="434">
        <v>1</v>
      </c>
      <c r="F479" s="442" t="s">
        <v>1950</v>
      </c>
      <c r="G479" s="434" t="s">
        <v>1693</v>
      </c>
      <c r="H479" s="436" t="s">
        <v>603</v>
      </c>
      <c r="I479" s="435" t="s">
        <v>53</v>
      </c>
      <c r="J479" s="548">
        <v>45680</v>
      </c>
      <c r="K479" s="443"/>
      <c r="L479" s="508" t="s">
        <v>1508</v>
      </c>
    </row>
    <row r="480" spans="1:22" s="89" customFormat="1" ht="36.75" customHeight="1">
      <c r="A480" s="440">
        <v>45635</v>
      </c>
      <c r="B480" s="444">
        <v>459</v>
      </c>
      <c r="C480" s="1024" t="s">
        <v>1995</v>
      </c>
      <c r="D480" s="429" t="s">
        <v>177</v>
      </c>
      <c r="E480" s="434">
        <v>1</v>
      </c>
      <c r="F480" s="430" t="s">
        <v>1902</v>
      </c>
      <c r="G480" s="431" t="s">
        <v>1304</v>
      </c>
      <c r="H480" s="432" t="s">
        <v>1939</v>
      </c>
      <c r="I480" s="433" t="s">
        <v>53</v>
      </c>
      <c r="J480" s="548">
        <v>45681</v>
      </c>
      <c r="K480" s="443" t="s">
        <v>1507</v>
      </c>
      <c r="L480" s="523" t="s">
        <v>1998</v>
      </c>
      <c r="N480" s="90"/>
      <c r="O480" s="91"/>
      <c r="P480" s="90"/>
    </row>
    <row r="481" spans="1:16" s="89" customFormat="1" ht="36.75" customHeight="1">
      <c r="A481" s="440">
        <v>45635</v>
      </c>
      <c r="B481" s="444">
        <v>460</v>
      </c>
      <c r="C481" s="1025"/>
      <c r="D481" s="429" t="s">
        <v>177</v>
      </c>
      <c r="E481" s="434">
        <v>1</v>
      </c>
      <c r="F481" s="430" t="s">
        <v>1903</v>
      </c>
      <c r="G481" s="431" t="s">
        <v>1304</v>
      </c>
      <c r="H481" s="432" t="s">
        <v>1940</v>
      </c>
      <c r="I481" s="433" t="s">
        <v>53</v>
      </c>
      <c r="J481" s="548">
        <v>45681</v>
      </c>
      <c r="K481" s="443" t="s">
        <v>1507</v>
      </c>
      <c r="L481" s="523" t="s">
        <v>1998</v>
      </c>
      <c r="N481" s="90"/>
      <c r="O481" s="91"/>
      <c r="P481" s="90"/>
    </row>
    <row r="482" spans="1:16" s="93" customFormat="1" ht="48" customHeight="1">
      <c r="A482" s="440">
        <v>45646</v>
      </c>
      <c r="B482" s="444">
        <v>458</v>
      </c>
      <c r="C482" s="441"/>
      <c r="D482" s="442" t="s">
        <v>96</v>
      </c>
      <c r="E482" s="434">
        <v>1</v>
      </c>
      <c r="F482" s="442" t="s">
        <v>1957</v>
      </c>
      <c r="G482" s="434" t="s">
        <v>1958</v>
      </c>
      <c r="H482" s="436" t="s">
        <v>603</v>
      </c>
      <c r="I482" s="435" t="s">
        <v>56</v>
      </c>
      <c r="J482" s="548">
        <v>45681</v>
      </c>
      <c r="K482" s="443" t="s">
        <v>1507</v>
      </c>
      <c r="L482" s="508" t="s">
        <v>1508</v>
      </c>
    </row>
    <row r="483" spans="1:16" s="581" customFormat="1" ht="43.5" customHeight="1">
      <c r="A483" s="1005" t="s">
        <v>1801</v>
      </c>
      <c r="B483" s="1006"/>
      <c r="C483" s="1006"/>
      <c r="D483" s="1007"/>
      <c r="E483" s="561">
        <f>SUM(E467:E482)</f>
        <v>20</v>
      </c>
      <c r="F483" s="568"/>
      <c r="G483" s="565"/>
      <c r="H483" s="562"/>
      <c r="I483" s="568"/>
      <c r="J483" s="563"/>
      <c r="K483" s="568"/>
      <c r="L483" s="560"/>
    </row>
    <row r="484" spans="1:16" ht="37.5" customHeight="1">
      <c r="A484" s="1002" t="s">
        <v>2019</v>
      </c>
      <c r="B484" s="1003"/>
      <c r="C484" s="1003"/>
      <c r="D484" s="1003"/>
      <c r="E484" s="1004"/>
      <c r="F484" s="566"/>
      <c r="G484" s="564"/>
      <c r="H484" s="564"/>
      <c r="I484" s="566"/>
      <c r="J484" s="559"/>
      <c r="K484" s="567"/>
      <c r="L484" s="567"/>
    </row>
    <row r="485" spans="1:16" s="93" customFormat="1" ht="48" customHeight="1">
      <c r="A485" s="440">
        <v>45644</v>
      </c>
      <c r="B485" s="444">
        <v>459</v>
      </c>
      <c r="C485" s="542" t="s">
        <v>1997</v>
      </c>
      <c r="D485" s="442" t="s">
        <v>96</v>
      </c>
      <c r="E485" s="434">
        <v>1</v>
      </c>
      <c r="F485" s="442" t="s">
        <v>1950</v>
      </c>
      <c r="G485" s="434" t="s">
        <v>1693</v>
      </c>
      <c r="H485" s="436" t="s">
        <v>603</v>
      </c>
      <c r="I485" s="435" t="s">
        <v>53</v>
      </c>
      <c r="J485" s="548" t="s">
        <v>2008</v>
      </c>
      <c r="K485" s="443" t="s">
        <v>1507</v>
      </c>
      <c r="L485" s="508" t="s">
        <v>1508</v>
      </c>
    </row>
    <row r="486" spans="1:16" s="89" customFormat="1" ht="39" customHeight="1">
      <c r="A486" s="440">
        <v>45576</v>
      </c>
      <c r="B486" s="444">
        <v>460</v>
      </c>
      <c r="C486" s="621"/>
      <c r="D486" s="429" t="s">
        <v>1305</v>
      </c>
      <c r="E486" s="434">
        <v>1</v>
      </c>
      <c r="F486" s="430" t="s">
        <v>2030</v>
      </c>
      <c r="G486" s="431" t="s">
        <v>1994</v>
      </c>
      <c r="H486" s="432" t="s">
        <v>1335</v>
      </c>
      <c r="I486" s="433" t="s">
        <v>1357</v>
      </c>
      <c r="J486" s="548">
        <v>45703</v>
      </c>
      <c r="K486" s="443" t="s">
        <v>1507</v>
      </c>
      <c r="L486" s="508" t="s">
        <v>1508</v>
      </c>
    </row>
    <row r="487" spans="1:16" s="93" customFormat="1" ht="50.25" customHeight="1">
      <c r="A487" s="440">
        <v>45702</v>
      </c>
      <c r="B487" s="444">
        <v>461</v>
      </c>
      <c r="C487" s="542" t="s">
        <v>2012</v>
      </c>
      <c r="D487" s="429" t="s">
        <v>96</v>
      </c>
      <c r="E487" s="434">
        <v>2</v>
      </c>
      <c r="F487" s="434" t="s">
        <v>2010</v>
      </c>
      <c r="G487" s="435" t="s">
        <v>2011</v>
      </c>
      <c r="H487" s="436" t="s">
        <v>603</v>
      </c>
      <c r="I487" s="575" t="s">
        <v>53</v>
      </c>
      <c r="J487" s="548" t="s">
        <v>2018</v>
      </c>
      <c r="K487" s="443" t="s">
        <v>1507</v>
      </c>
      <c r="L487" s="508"/>
    </row>
    <row r="488" spans="1:16" s="89" customFormat="1" ht="50.25" customHeight="1">
      <c r="A488" s="440">
        <v>45640</v>
      </c>
      <c r="B488" s="444">
        <v>462</v>
      </c>
      <c r="C488" s="635"/>
      <c r="D488" s="429" t="s">
        <v>1912</v>
      </c>
      <c r="E488" s="434">
        <v>2</v>
      </c>
      <c r="F488" s="430" t="s">
        <v>1913</v>
      </c>
      <c r="G488" s="431" t="s">
        <v>1914</v>
      </c>
      <c r="H488" s="432" t="s">
        <v>59</v>
      </c>
      <c r="I488" s="433" t="s">
        <v>53</v>
      </c>
      <c r="J488" s="548">
        <v>45706</v>
      </c>
      <c r="K488" s="443"/>
      <c r="L488" s="508" t="s">
        <v>1508</v>
      </c>
    </row>
    <row r="489" spans="1:16" s="89" customFormat="1" ht="50.25" customHeight="1">
      <c r="A489" s="440">
        <v>45640</v>
      </c>
      <c r="B489" s="444">
        <v>463</v>
      </c>
      <c r="C489" s="635"/>
      <c r="D489" s="429" t="s">
        <v>1912</v>
      </c>
      <c r="E489" s="434">
        <v>1</v>
      </c>
      <c r="F489" s="430" t="s">
        <v>1915</v>
      </c>
      <c r="G489" s="431" t="s">
        <v>1916</v>
      </c>
      <c r="H489" s="432" t="s">
        <v>59</v>
      </c>
      <c r="I489" s="433" t="s">
        <v>53</v>
      </c>
      <c r="J489" s="548">
        <v>45706</v>
      </c>
      <c r="K489" s="443"/>
      <c r="L489" s="508" t="s">
        <v>1508</v>
      </c>
    </row>
    <row r="490" spans="1:16" s="89" customFormat="1" ht="50.25" customHeight="1">
      <c r="A490" s="440">
        <v>45640</v>
      </c>
      <c r="B490" s="444">
        <v>464</v>
      </c>
      <c r="C490" s="635"/>
      <c r="D490" s="429" t="s">
        <v>1912</v>
      </c>
      <c r="E490" s="434">
        <v>1</v>
      </c>
      <c r="F490" s="430" t="s">
        <v>1917</v>
      </c>
      <c r="G490" s="431" t="s">
        <v>1918</v>
      </c>
      <c r="H490" s="432" t="s">
        <v>59</v>
      </c>
      <c r="I490" s="433" t="s">
        <v>53</v>
      </c>
      <c r="J490" s="548">
        <v>45709</v>
      </c>
      <c r="K490" s="443"/>
      <c r="L490" s="508" t="s">
        <v>1508</v>
      </c>
    </row>
    <row r="491" spans="1:16" s="89" customFormat="1" ht="50.25" customHeight="1">
      <c r="A491" s="440">
        <v>45640</v>
      </c>
      <c r="B491" s="444">
        <v>465</v>
      </c>
      <c r="C491" s="648"/>
      <c r="D491" s="429" t="s">
        <v>1912</v>
      </c>
      <c r="E491" s="434">
        <v>2</v>
      </c>
      <c r="F491" s="430" t="s">
        <v>1919</v>
      </c>
      <c r="G491" s="431" t="s">
        <v>1920</v>
      </c>
      <c r="H491" s="432" t="s">
        <v>59</v>
      </c>
      <c r="I491" s="433" t="s">
        <v>53</v>
      </c>
      <c r="J491" s="548">
        <v>45709</v>
      </c>
      <c r="K491" s="443"/>
      <c r="L491" s="508" t="s">
        <v>1508</v>
      </c>
    </row>
    <row r="492" spans="1:16" s="89" customFormat="1" ht="50.25" customHeight="1">
      <c r="A492" s="440">
        <v>45633</v>
      </c>
      <c r="B492" s="444">
        <v>466</v>
      </c>
      <c r="C492" s="441"/>
      <c r="D492" s="429" t="s">
        <v>1751</v>
      </c>
      <c r="E492" s="434">
        <v>2</v>
      </c>
      <c r="F492" s="430" t="s">
        <v>1896</v>
      </c>
      <c r="G492" s="431" t="s">
        <v>404</v>
      </c>
      <c r="H492" s="432" t="s">
        <v>1751</v>
      </c>
      <c r="I492" s="433" t="s">
        <v>53</v>
      </c>
      <c r="J492" s="548">
        <v>45716</v>
      </c>
      <c r="K492" s="443"/>
      <c r="L492" s="508" t="s">
        <v>1508</v>
      </c>
    </row>
    <row r="493" spans="1:16" s="89" customFormat="1" ht="50.25" customHeight="1">
      <c r="A493" s="440">
        <v>45633</v>
      </c>
      <c r="B493" s="444">
        <v>467</v>
      </c>
      <c r="C493" s="441"/>
      <c r="D493" s="429" t="s">
        <v>1751</v>
      </c>
      <c r="E493" s="434">
        <v>2</v>
      </c>
      <c r="F493" s="430" t="s">
        <v>1897</v>
      </c>
      <c r="G493" s="431" t="s">
        <v>896</v>
      </c>
      <c r="H493" s="432" t="s">
        <v>1751</v>
      </c>
      <c r="I493" s="433" t="s">
        <v>53</v>
      </c>
      <c r="J493" s="548">
        <v>45716</v>
      </c>
      <c r="K493" s="443"/>
      <c r="L493" s="508" t="s">
        <v>1508</v>
      </c>
    </row>
    <row r="494" spans="1:16" s="581" customFormat="1" ht="43.5" customHeight="1">
      <c r="A494" s="1005" t="s">
        <v>1801</v>
      </c>
      <c r="B494" s="1006"/>
      <c r="C494" s="1006"/>
      <c r="D494" s="1007"/>
      <c r="E494" s="561">
        <f>SUM(E485:E493)</f>
        <v>14</v>
      </c>
      <c r="F494" s="568"/>
      <c r="G494" s="565"/>
      <c r="H494" s="562"/>
      <c r="I494" s="568"/>
      <c r="J494" s="563"/>
      <c r="K494" s="568"/>
      <c r="L494" s="560"/>
    </row>
    <row r="495" spans="1:16" ht="37.5" customHeight="1">
      <c r="A495" s="1002" t="s">
        <v>2042</v>
      </c>
      <c r="B495" s="1003"/>
      <c r="C495" s="1003"/>
      <c r="D495" s="1003"/>
      <c r="E495" s="1004"/>
      <c r="F495" s="566"/>
      <c r="G495" s="564"/>
      <c r="H495" s="564"/>
      <c r="I495" s="566"/>
      <c r="J495" s="559"/>
      <c r="K495" s="567"/>
      <c r="L495" s="567"/>
    </row>
    <row r="496" spans="1:16" s="93" customFormat="1" ht="50.25" customHeight="1">
      <c r="A496" s="440">
        <v>45705</v>
      </c>
      <c r="B496" s="444">
        <v>468</v>
      </c>
      <c r="C496" s="542" t="s">
        <v>2060</v>
      </c>
      <c r="D496" s="442" t="s">
        <v>1305</v>
      </c>
      <c r="E496" s="434">
        <v>1</v>
      </c>
      <c r="F496" s="434" t="s">
        <v>2015</v>
      </c>
      <c r="G496" s="435" t="s">
        <v>2021</v>
      </c>
      <c r="H496" s="436" t="s">
        <v>2016</v>
      </c>
      <c r="I496" s="575" t="s">
        <v>2017</v>
      </c>
      <c r="J496" s="548">
        <v>45722</v>
      </c>
      <c r="K496" s="443"/>
      <c r="L496" s="508" t="s">
        <v>1508</v>
      </c>
    </row>
    <row r="497" spans="1:12" s="93" customFormat="1" ht="48" customHeight="1">
      <c r="A497" s="440">
        <v>45647</v>
      </c>
      <c r="B497" s="444">
        <v>469</v>
      </c>
      <c r="C497" s="542"/>
      <c r="D497" s="442" t="s">
        <v>1960</v>
      </c>
      <c r="E497" s="434">
        <v>2</v>
      </c>
      <c r="F497" s="442" t="s">
        <v>1885</v>
      </c>
      <c r="G497" s="434" t="s">
        <v>1886</v>
      </c>
      <c r="H497" s="436" t="s">
        <v>1887</v>
      </c>
      <c r="I497" s="435" t="s">
        <v>71</v>
      </c>
      <c r="J497" s="548">
        <v>45723</v>
      </c>
      <c r="K497" s="443"/>
      <c r="L497" s="508" t="s">
        <v>1508</v>
      </c>
    </row>
    <row r="498" spans="1:12" s="93" customFormat="1" ht="45" customHeight="1">
      <c r="A498" s="440">
        <v>45700</v>
      </c>
      <c r="B498" s="444">
        <v>470</v>
      </c>
      <c r="C498" s="634"/>
      <c r="D498" s="607" t="s">
        <v>1640</v>
      </c>
      <c r="E498" s="588">
        <v>2</v>
      </c>
      <c r="F498" s="607" t="s">
        <v>2022</v>
      </c>
      <c r="G498" s="434" t="s">
        <v>2009</v>
      </c>
      <c r="H498" s="436" t="s">
        <v>59</v>
      </c>
      <c r="I498" s="435" t="s">
        <v>71</v>
      </c>
      <c r="J498" s="548">
        <v>45726</v>
      </c>
      <c r="K498" s="443"/>
      <c r="L498" s="508" t="s">
        <v>1508</v>
      </c>
    </row>
    <row r="499" spans="1:12" s="93" customFormat="1" ht="45" customHeight="1">
      <c r="A499" s="440">
        <v>45700</v>
      </c>
      <c r="B499" s="444">
        <v>471</v>
      </c>
      <c r="C499" s="634" t="s">
        <v>2023</v>
      </c>
      <c r="D499" s="607" t="s">
        <v>1640</v>
      </c>
      <c r="E499" s="588">
        <v>1</v>
      </c>
      <c r="F499" s="607" t="s">
        <v>2048</v>
      </c>
      <c r="G499" s="434" t="s">
        <v>2009</v>
      </c>
      <c r="H499" s="436" t="s">
        <v>59</v>
      </c>
      <c r="I499" s="435" t="s">
        <v>71</v>
      </c>
      <c r="J499" s="548">
        <v>45726</v>
      </c>
      <c r="K499" s="443"/>
      <c r="L499" s="508" t="s">
        <v>1508</v>
      </c>
    </row>
    <row r="500" spans="1:12" s="89" customFormat="1" ht="51" customHeight="1">
      <c r="A500" s="440">
        <v>45670</v>
      </c>
      <c r="B500" s="444">
        <v>472</v>
      </c>
      <c r="C500" s="542" t="s">
        <v>1996</v>
      </c>
      <c r="D500" s="429" t="s">
        <v>96</v>
      </c>
      <c r="E500" s="434">
        <v>1</v>
      </c>
      <c r="F500" s="430" t="s">
        <v>1981</v>
      </c>
      <c r="G500" s="431" t="s">
        <v>1982</v>
      </c>
      <c r="H500" s="432" t="s">
        <v>59</v>
      </c>
      <c r="I500" s="433" t="s">
        <v>56</v>
      </c>
      <c r="J500" s="548">
        <v>45728</v>
      </c>
      <c r="K500" s="443"/>
      <c r="L500" s="508" t="s">
        <v>1508</v>
      </c>
    </row>
    <row r="501" spans="1:12" s="89" customFormat="1" ht="39" customHeight="1">
      <c r="A501" s="440">
        <v>45632</v>
      </c>
      <c r="B501" s="444">
        <v>473</v>
      </c>
      <c r="C501" s="542"/>
      <c r="D501" s="429" t="s">
        <v>96</v>
      </c>
      <c r="E501" s="434">
        <v>2</v>
      </c>
      <c r="F501" s="430" t="s">
        <v>1890</v>
      </c>
      <c r="G501" s="431" t="s">
        <v>1891</v>
      </c>
      <c r="H501" s="432" t="s">
        <v>603</v>
      </c>
      <c r="I501" s="433" t="s">
        <v>56</v>
      </c>
      <c r="J501" s="548">
        <v>45728</v>
      </c>
      <c r="K501" s="443"/>
      <c r="L501" s="508" t="s">
        <v>1508</v>
      </c>
    </row>
    <row r="502" spans="1:12" s="93" customFormat="1" ht="50.25" customHeight="1">
      <c r="A502" s="440">
        <v>45698</v>
      </c>
      <c r="B502" s="444">
        <v>474</v>
      </c>
      <c r="C502" s="542"/>
      <c r="D502" s="442" t="s">
        <v>1305</v>
      </c>
      <c r="E502" s="434">
        <v>1</v>
      </c>
      <c r="F502" s="434" t="s">
        <v>2003</v>
      </c>
      <c r="G502" s="435" t="s">
        <v>2004</v>
      </c>
      <c r="H502" s="436" t="s">
        <v>59</v>
      </c>
      <c r="I502" s="575" t="s">
        <v>1498</v>
      </c>
      <c r="J502" s="548">
        <v>45729</v>
      </c>
      <c r="K502" s="443"/>
      <c r="L502" s="508" t="s">
        <v>1508</v>
      </c>
    </row>
    <row r="503" spans="1:12" s="93" customFormat="1" ht="47.25" customHeight="1">
      <c r="A503" s="440">
        <v>45698</v>
      </c>
      <c r="B503" s="444">
        <v>475</v>
      </c>
      <c r="C503" s="542" t="s">
        <v>2002</v>
      </c>
      <c r="D503" s="442" t="s">
        <v>1305</v>
      </c>
      <c r="E503" s="434">
        <v>1</v>
      </c>
      <c r="F503" s="434" t="s">
        <v>1608</v>
      </c>
      <c r="G503" s="435" t="s">
        <v>1483</v>
      </c>
      <c r="H503" s="436" t="s">
        <v>59</v>
      </c>
      <c r="I503" s="575" t="s">
        <v>1498</v>
      </c>
      <c r="J503" s="548">
        <v>45731</v>
      </c>
      <c r="K503" s="575"/>
      <c r="L503" s="508" t="s">
        <v>1508</v>
      </c>
    </row>
    <row r="504" spans="1:12" s="89" customFormat="1" ht="50.25" customHeight="1">
      <c r="A504" s="440">
        <v>45633</v>
      </c>
      <c r="B504" s="444">
        <v>476</v>
      </c>
      <c r="C504" s="542" t="s">
        <v>2068</v>
      </c>
      <c r="D504" s="429" t="s">
        <v>1751</v>
      </c>
      <c r="E504" s="434">
        <v>1</v>
      </c>
      <c r="F504" s="430" t="s">
        <v>1896</v>
      </c>
      <c r="G504" s="431" t="s">
        <v>404</v>
      </c>
      <c r="H504" s="432" t="s">
        <v>1751</v>
      </c>
      <c r="I504" s="433" t="s">
        <v>53</v>
      </c>
      <c r="J504" s="548">
        <v>45731</v>
      </c>
      <c r="K504" s="443"/>
      <c r="L504" s="508" t="s">
        <v>1508</v>
      </c>
    </row>
    <row r="505" spans="1:12" s="93" customFormat="1" ht="46.5" customHeight="1">
      <c r="A505" s="440">
        <v>45721</v>
      </c>
      <c r="B505" s="444">
        <v>477</v>
      </c>
      <c r="C505" s="542" t="s">
        <v>2049</v>
      </c>
      <c r="D505" s="429" t="s">
        <v>96</v>
      </c>
      <c r="E505" s="434">
        <v>1</v>
      </c>
      <c r="F505" s="442" t="s">
        <v>1956</v>
      </c>
      <c r="G505" s="434" t="s">
        <v>1434</v>
      </c>
      <c r="H505" s="436" t="s">
        <v>603</v>
      </c>
      <c r="I505" s="435" t="s">
        <v>748</v>
      </c>
      <c r="J505" s="548">
        <v>45731</v>
      </c>
      <c r="K505" s="435" t="s">
        <v>1507</v>
      </c>
      <c r="L505" s="523" t="s">
        <v>2128</v>
      </c>
    </row>
    <row r="506" spans="1:12" s="89" customFormat="1" ht="51" customHeight="1">
      <c r="A506" s="440">
        <v>45670</v>
      </c>
      <c r="B506" s="444">
        <v>478</v>
      </c>
      <c r="C506" s="542" t="s">
        <v>2067</v>
      </c>
      <c r="D506" s="429" t="s">
        <v>96</v>
      </c>
      <c r="E506" s="434">
        <v>1</v>
      </c>
      <c r="F506" s="430" t="s">
        <v>1981</v>
      </c>
      <c r="G506" s="431" t="s">
        <v>1982</v>
      </c>
      <c r="H506" s="432" t="s">
        <v>59</v>
      </c>
      <c r="I506" s="433" t="s">
        <v>56</v>
      </c>
      <c r="J506" s="548">
        <v>45734</v>
      </c>
      <c r="K506" s="575"/>
      <c r="L506" s="548"/>
    </row>
    <row r="507" spans="1:12" s="89" customFormat="1" ht="36.75" customHeight="1">
      <c r="A507" s="440">
        <v>45632</v>
      </c>
      <c r="B507" s="444">
        <v>479</v>
      </c>
      <c r="C507" s="441"/>
      <c r="D507" s="429" t="s">
        <v>96</v>
      </c>
      <c r="E507" s="434">
        <v>2</v>
      </c>
      <c r="F507" s="430" t="s">
        <v>1892</v>
      </c>
      <c r="G507" s="431" t="s">
        <v>1893</v>
      </c>
      <c r="H507" s="432" t="s">
        <v>603</v>
      </c>
      <c r="I507" s="433" t="s">
        <v>56</v>
      </c>
      <c r="J507" s="548">
        <v>45735</v>
      </c>
      <c r="K507" s="575"/>
      <c r="L507" s="508" t="s">
        <v>1508</v>
      </c>
    </row>
    <row r="508" spans="1:12" s="93" customFormat="1" ht="47.25" customHeight="1">
      <c r="A508" s="440">
        <v>45703</v>
      </c>
      <c r="B508" s="444">
        <v>480</v>
      </c>
      <c r="C508" s="441"/>
      <c r="D508" s="442" t="s">
        <v>641</v>
      </c>
      <c r="E508" s="434">
        <v>2</v>
      </c>
      <c r="F508" s="434" t="s">
        <v>2020</v>
      </c>
      <c r="G508" s="435" t="s">
        <v>2013</v>
      </c>
      <c r="H508" s="436" t="s">
        <v>2014</v>
      </c>
      <c r="I508" s="433" t="s">
        <v>53</v>
      </c>
      <c r="J508" s="548">
        <v>45741</v>
      </c>
      <c r="K508" s="575"/>
      <c r="L508" s="508" t="s">
        <v>1508</v>
      </c>
    </row>
    <row r="509" spans="1:12" s="93" customFormat="1" ht="46.5" customHeight="1">
      <c r="A509" s="440">
        <v>45723</v>
      </c>
      <c r="B509" s="444">
        <v>481</v>
      </c>
      <c r="C509" s="542" t="s">
        <v>2064</v>
      </c>
      <c r="D509" s="442" t="s">
        <v>657</v>
      </c>
      <c r="E509" s="434">
        <v>2</v>
      </c>
      <c r="F509" s="442" t="s">
        <v>2062</v>
      </c>
      <c r="G509" s="434" t="s">
        <v>2065</v>
      </c>
      <c r="H509" s="436" t="s">
        <v>2063</v>
      </c>
      <c r="I509" s="435" t="s">
        <v>549</v>
      </c>
      <c r="J509" s="548">
        <v>45744</v>
      </c>
      <c r="K509" s="435"/>
      <c r="L509" s="508" t="s">
        <v>1508</v>
      </c>
    </row>
    <row r="510" spans="1:12" s="93" customFormat="1" ht="46.5" customHeight="1">
      <c r="A510" s="440">
        <v>45726</v>
      </c>
      <c r="B510" s="444">
        <v>482</v>
      </c>
      <c r="C510" s="441"/>
      <c r="D510" s="442" t="s">
        <v>657</v>
      </c>
      <c r="E510" s="434">
        <v>1</v>
      </c>
      <c r="F510" s="434" t="s">
        <v>2066</v>
      </c>
      <c r="G510" s="436" t="s">
        <v>2041</v>
      </c>
      <c r="H510" s="435" t="s">
        <v>2040</v>
      </c>
      <c r="I510" s="435" t="s">
        <v>549</v>
      </c>
      <c r="J510" s="548">
        <v>45747</v>
      </c>
      <c r="K510" s="435"/>
      <c r="L510" s="508" t="s">
        <v>1508</v>
      </c>
    </row>
    <row r="511" spans="1:12" s="93" customFormat="1" ht="46.5" customHeight="1">
      <c r="A511" s="440">
        <v>45721</v>
      </c>
      <c r="B511" s="444">
        <v>483</v>
      </c>
      <c r="C511" s="441"/>
      <c r="D511" s="442" t="s">
        <v>2055</v>
      </c>
      <c r="E511" s="434">
        <v>6</v>
      </c>
      <c r="F511" s="442" t="s">
        <v>2051</v>
      </c>
      <c r="G511" s="434" t="s">
        <v>2052</v>
      </c>
      <c r="H511" s="436" t="s">
        <v>49</v>
      </c>
      <c r="I511" s="435" t="s">
        <v>578</v>
      </c>
      <c r="J511" s="548">
        <v>45747</v>
      </c>
      <c r="K511" s="435"/>
      <c r="L511" s="508" t="s">
        <v>1508</v>
      </c>
    </row>
    <row r="512" spans="1:12" s="93" customFormat="1" ht="46.5" customHeight="1">
      <c r="A512" s="440">
        <v>45722</v>
      </c>
      <c r="B512" s="444">
        <v>484</v>
      </c>
      <c r="C512" s="441" t="s">
        <v>2129</v>
      </c>
      <c r="D512" s="442" t="s">
        <v>96</v>
      </c>
      <c r="E512" s="434">
        <v>1</v>
      </c>
      <c r="F512" s="442" t="s">
        <v>2000</v>
      </c>
      <c r="G512" s="434" t="s">
        <v>1999</v>
      </c>
      <c r="H512" s="436" t="s">
        <v>603</v>
      </c>
      <c r="I512" s="435" t="s">
        <v>56</v>
      </c>
      <c r="J512" s="548">
        <v>45745</v>
      </c>
      <c r="K512" s="435"/>
      <c r="L512" s="508" t="s">
        <v>1508</v>
      </c>
    </row>
    <row r="513" spans="1:18" s="581" customFormat="1" ht="43.5" customHeight="1">
      <c r="A513" s="1005" t="s">
        <v>1801</v>
      </c>
      <c r="B513" s="1006"/>
      <c r="C513" s="1006"/>
      <c r="D513" s="1007"/>
      <c r="E513" s="561">
        <f>SUM(E496:E512)</f>
        <v>28</v>
      </c>
      <c r="F513" s="568"/>
      <c r="G513" s="565"/>
      <c r="H513" s="562"/>
      <c r="I513" s="568"/>
      <c r="J513" s="563"/>
      <c r="K513" s="568"/>
      <c r="L513" s="560"/>
    </row>
    <row r="514" spans="1:18" ht="37.5" customHeight="1">
      <c r="A514" s="1002" t="s">
        <v>2134</v>
      </c>
      <c r="B514" s="1003"/>
      <c r="C514" s="1003"/>
      <c r="D514" s="1003"/>
      <c r="E514" s="1004"/>
      <c r="F514" s="566"/>
      <c r="G514" s="564"/>
      <c r="H514" s="564"/>
      <c r="I514" s="566"/>
      <c r="J514" s="559"/>
      <c r="K514" s="567"/>
      <c r="L514" s="567"/>
    </row>
    <row r="515" spans="1:18" s="93" customFormat="1" ht="38.25" customHeight="1">
      <c r="A515" s="440">
        <v>45722</v>
      </c>
      <c r="B515" s="444">
        <v>485</v>
      </c>
      <c r="C515" s="441"/>
      <c r="D515" s="442" t="s">
        <v>2055</v>
      </c>
      <c r="E515" s="434">
        <v>2</v>
      </c>
      <c r="F515" s="442" t="s">
        <v>2053</v>
      </c>
      <c r="G515" s="434" t="s">
        <v>261</v>
      </c>
      <c r="H515" s="436" t="s">
        <v>2054</v>
      </c>
      <c r="I515" s="435" t="s">
        <v>578</v>
      </c>
      <c r="J515" s="548">
        <v>45750</v>
      </c>
      <c r="K515" s="435"/>
      <c r="L515" s="508" t="s">
        <v>1508</v>
      </c>
    </row>
    <row r="516" spans="1:18" s="89" customFormat="1" ht="42.75" customHeight="1">
      <c r="A516" s="440">
        <v>45665</v>
      </c>
      <c r="B516" s="444">
        <v>486</v>
      </c>
      <c r="C516" s="441"/>
      <c r="D516" s="442" t="s">
        <v>1972</v>
      </c>
      <c r="E516" s="623">
        <v>2</v>
      </c>
      <c r="F516" s="624" t="s">
        <v>1977</v>
      </c>
      <c r="G516" s="442" t="s">
        <v>1978</v>
      </c>
      <c r="H516" s="442" t="s">
        <v>1979</v>
      </c>
      <c r="I516" s="433" t="s">
        <v>53</v>
      </c>
      <c r="J516" s="548">
        <v>45750</v>
      </c>
      <c r="K516" s="435"/>
      <c r="L516" s="508" t="s">
        <v>1508</v>
      </c>
    </row>
    <row r="517" spans="1:18" s="89" customFormat="1" ht="42.75" customHeight="1">
      <c r="A517" s="440">
        <v>45665</v>
      </c>
      <c r="B517" s="444">
        <v>487</v>
      </c>
      <c r="C517" s="441" t="s">
        <v>2067</v>
      </c>
      <c r="D517" s="442" t="s">
        <v>1972</v>
      </c>
      <c r="E517" s="623">
        <v>2</v>
      </c>
      <c r="F517" s="624" t="s">
        <v>1973</v>
      </c>
      <c r="G517" s="442" t="s">
        <v>1974</v>
      </c>
      <c r="H517" s="442" t="s">
        <v>1975</v>
      </c>
      <c r="I517" s="624" t="s">
        <v>1976</v>
      </c>
      <c r="J517" s="548">
        <v>45751</v>
      </c>
      <c r="K517" s="435"/>
      <c r="L517" s="508" t="s">
        <v>1508</v>
      </c>
    </row>
    <row r="518" spans="1:18" s="93" customFormat="1" ht="39.75" customHeight="1">
      <c r="A518" s="440">
        <v>45716</v>
      </c>
      <c r="B518" s="444">
        <v>488</v>
      </c>
      <c r="C518" s="441" t="s">
        <v>2139</v>
      </c>
      <c r="D518" s="429" t="s">
        <v>96</v>
      </c>
      <c r="E518" s="434">
        <v>2</v>
      </c>
      <c r="F518" s="442" t="s">
        <v>2046</v>
      </c>
      <c r="G518" s="434" t="s">
        <v>95</v>
      </c>
      <c r="H518" s="436" t="s">
        <v>2047</v>
      </c>
      <c r="I518" s="435" t="s">
        <v>53</v>
      </c>
      <c r="J518" s="548">
        <v>45755</v>
      </c>
      <c r="K518" s="435"/>
      <c r="L518" s="508" t="s">
        <v>1508</v>
      </c>
    </row>
    <row r="519" spans="1:18" s="93" customFormat="1" ht="46.5" customHeight="1">
      <c r="A519" s="440">
        <v>45723</v>
      </c>
      <c r="B519" s="444">
        <v>489</v>
      </c>
      <c r="C519" s="441" t="s">
        <v>2138</v>
      </c>
      <c r="D519" s="442" t="s">
        <v>657</v>
      </c>
      <c r="E519" s="434">
        <v>1</v>
      </c>
      <c r="F519" s="442" t="s">
        <v>2061</v>
      </c>
      <c r="G519" s="434" t="s">
        <v>2056</v>
      </c>
      <c r="H519" s="436" t="s">
        <v>654</v>
      </c>
      <c r="I519" s="435" t="s">
        <v>549</v>
      </c>
      <c r="J519" s="548">
        <v>45756</v>
      </c>
      <c r="K519" s="435" t="s">
        <v>1507</v>
      </c>
      <c r="L519" s="548"/>
    </row>
    <row r="520" spans="1:18" s="89" customFormat="1" ht="40.5" customHeight="1">
      <c r="A520" s="440">
        <v>45757</v>
      </c>
      <c r="B520" s="654"/>
      <c r="C520" s="542" t="s">
        <v>2145</v>
      </c>
      <c r="D520" s="442" t="s">
        <v>96</v>
      </c>
      <c r="E520" s="434">
        <v>1</v>
      </c>
      <c r="F520" s="430" t="s">
        <v>1318</v>
      </c>
      <c r="G520" s="431" t="s">
        <v>1319</v>
      </c>
      <c r="H520" s="432" t="s">
        <v>603</v>
      </c>
      <c r="I520" s="433" t="s">
        <v>53</v>
      </c>
      <c r="J520" s="593">
        <v>45757</v>
      </c>
      <c r="K520" s="443"/>
      <c r="L520" s="508" t="s">
        <v>1508</v>
      </c>
      <c r="M520" s="88"/>
      <c r="N520" s="81"/>
      <c r="P520" s="90"/>
      <c r="Q520" s="91"/>
      <c r="R520" s="90"/>
    </row>
    <row r="521" spans="1:18" s="93" customFormat="1" ht="38.25" customHeight="1">
      <c r="A521" s="440">
        <v>45744</v>
      </c>
      <c r="B521" s="444">
        <v>490</v>
      </c>
      <c r="C521" s="542" t="s">
        <v>2130</v>
      </c>
      <c r="D521" s="442" t="s">
        <v>96</v>
      </c>
      <c r="E521" s="434">
        <v>2</v>
      </c>
      <c r="F521" s="434" t="s">
        <v>2126</v>
      </c>
      <c r="G521" s="435" t="s">
        <v>2127</v>
      </c>
      <c r="H521" s="436" t="s">
        <v>603</v>
      </c>
      <c r="I521" s="435" t="s">
        <v>53</v>
      </c>
      <c r="J521" s="593">
        <v>45761</v>
      </c>
      <c r="K521" s="575"/>
      <c r="L521" s="508" t="s">
        <v>1508</v>
      </c>
    </row>
    <row r="522" spans="1:18" s="93" customFormat="1" ht="46.5" customHeight="1">
      <c r="A522" s="440">
        <v>45737</v>
      </c>
      <c r="B522" s="444">
        <v>491</v>
      </c>
      <c r="C522" s="542" t="s">
        <v>2131</v>
      </c>
      <c r="D522" s="442" t="s">
        <v>2112</v>
      </c>
      <c r="E522" s="434">
        <v>3</v>
      </c>
      <c r="F522" s="442" t="s">
        <v>2113</v>
      </c>
      <c r="G522" s="434" t="s">
        <v>2114</v>
      </c>
      <c r="H522" s="436" t="s">
        <v>2115</v>
      </c>
      <c r="I522" s="435" t="s">
        <v>2116</v>
      </c>
      <c r="J522" s="593">
        <v>45762</v>
      </c>
      <c r="K522" s="575"/>
      <c r="L522" s="508" t="s">
        <v>1508</v>
      </c>
    </row>
    <row r="523" spans="1:18" s="93" customFormat="1" ht="39" customHeight="1">
      <c r="A523" s="440">
        <v>45723</v>
      </c>
      <c r="B523" s="444">
        <v>492</v>
      </c>
      <c r="C523" s="441"/>
      <c r="D523" s="442" t="s">
        <v>1858</v>
      </c>
      <c r="E523" s="434">
        <v>2</v>
      </c>
      <c r="F523" s="442" t="s">
        <v>2102</v>
      </c>
      <c r="G523" s="434" t="s">
        <v>2090</v>
      </c>
      <c r="H523" s="442" t="s">
        <v>70</v>
      </c>
      <c r="I523" s="434" t="s">
        <v>143</v>
      </c>
      <c r="J523" s="593">
        <v>45766</v>
      </c>
      <c r="K523" s="575"/>
      <c r="L523" s="508" t="s">
        <v>1508</v>
      </c>
    </row>
    <row r="524" spans="1:18" s="93" customFormat="1" ht="39" customHeight="1">
      <c r="A524" s="440">
        <v>45723</v>
      </c>
      <c r="B524" s="444">
        <v>493</v>
      </c>
      <c r="C524" s="441"/>
      <c r="D524" s="442" t="s">
        <v>1858</v>
      </c>
      <c r="E524" s="434">
        <v>2</v>
      </c>
      <c r="F524" s="442" t="s">
        <v>2103</v>
      </c>
      <c r="G524" s="434" t="s">
        <v>2091</v>
      </c>
      <c r="H524" s="442" t="s">
        <v>70</v>
      </c>
      <c r="I524" s="434" t="s">
        <v>143</v>
      </c>
      <c r="J524" s="593">
        <v>45766</v>
      </c>
      <c r="K524" s="575"/>
      <c r="L524" s="508" t="s">
        <v>1508</v>
      </c>
    </row>
    <row r="525" spans="1:18" s="93" customFormat="1" ht="46.5" customHeight="1">
      <c r="A525" s="440">
        <v>45723</v>
      </c>
      <c r="B525" s="444">
        <v>494</v>
      </c>
      <c r="C525" s="441"/>
      <c r="D525" s="442" t="s">
        <v>1858</v>
      </c>
      <c r="E525" s="434">
        <v>2</v>
      </c>
      <c r="F525" s="442" t="s">
        <v>2104</v>
      </c>
      <c r="G525" s="434" t="s">
        <v>2092</v>
      </c>
      <c r="H525" s="442" t="s">
        <v>70</v>
      </c>
      <c r="I525" s="434" t="s">
        <v>266</v>
      </c>
      <c r="J525" s="593">
        <v>45766</v>
      </c>
      <c r="K525" s="575"/>
      <c r="L525" s="508" t="s">
        <v>1508</v>
      </c>
    </row>
    <row r="526" spans="1:18" s="93" customFormat="1" ht="46.5" customHeight="1">
      <c r="A526" s="440">
        <v>45723</v>
      </c>
      <c r="B526" s="444">
        <v>495</v>
      </c>
      <c r="C526" s="441"/>
      <c r="D526" s="442" t="s">
        <v>1858</v>
      </c>
      <c r="E526" s="434">
        <v>2</v>
      </c>
      <c r="F526" s="442" t="s">
        <v>2105</v>
      </c>
      <c r="G526" s="434" t="s">
        <v>2093</v>
      </c>
      <c r="H526" s="442" t="s">
        <v>70</v>
      </c>
      <c r="I526" s="434" t="s">
        <v>143</v>
      </c>
      <c r="J526" s="593">
        <v>45766</v>
      </c>
      <c r="K526" s="575"/>
      <c r="L526" s="508" t="s">
        <v>1508</v>
      </c>
    </row>
    <row r="527" spans="1:18" s="93" customFormat="1" ht="46.5" customHeight="1">
      <c r="A527" s="440">
        <v>45723</v>
      </c>
      <c r="B527" s="444">
        <v>496</v>
      </c>
      <c r="C527" s="441"/>
      <c r="D527" s="442" t="s">
        <v>1858</v>
      </c>
      <c r="E527" s="434">
        <v>2</v>
      </c>
      <c r="F527" s="442" t="s">
        <v>2106</v>
      </c>
      <c r="G527" s="434" t="s">
        <v>2094</v>
      </c>
      <c r="H527" s="442" t="s">
        <v>70</v>
      </c>
      <c r="I527" s="434" t="s">
        <v>266</v>
      </c>
      <c r="J527" s="593">
        <v>45766</v>
      </c>
      <c r="K527" s="575"/>
      <c r="L527" s="508" t="s">
        <v>1508</v>
      </c>
    </row>
    <row r="528" spans="1:18" s="93" customFormat="1" ht="46.5" customHeight="1">
      <c r="A528" s="440">
        <v>45723</v>
      </c>
      <c r="B528" s="444">
        <v>497</v>
      </c>
      <c r="C528" s="441"/>
      <c r="D528" s="442" t="s">
        <v>1858</v>
      </c>
      <c r="E528" s="434">
        <v>2</v>
      </c>
      <c r="F528" s="442" t="s">
        <v>2108</v>
      </c>
      <c r="G528" s="434" t="s">
        <v>2097</v>
      </c>
      <c r="H528" s="442" t="s">
        <v>70</v>
      </c>
      <c r="I528" s="434" t="s">
        <v>143</v>
      </c>
      <c r="J528" s="593">
        <v>45766</v>
      </c>
      <c r="K528" s="575"/>
      <c r="L528" s="508" t="s">
        <v>1508</v>
      </c>
    </row>
    <row r="529" spans="1:12" s="93" customFormat="1" ht="46.5" customHeight="1">
      <c r="A529" s="440">
        <v>45723</v>
      </c>
      <c r="B529" s="444">
        <v>498</v>
      </c>
      <c r="C529" s="441"/>
      <c r="D529" s="442" t="s">
        <v>1858</v>
      </c>
      <c r="E529" s="434">
        <v>2</v>
      </c>
      <c r="F529" s="442" t="s">
        <v>2109</v>
      </c>
      <c r="G529" s="434" t="s">
        <v>2098</v>
      </c>
      <c r="H529" s="442" t="s">
        <v>70</v>
      </c>
      <c r="I529" s="434" t="s">
        <v>2096</v>
      </c>
      <c r="J529" s="593">
        <v>45766</v>
      </c>
      <c r="K529" s="575"/>
      <c r="L529" s="508" t="s">
        <v>1508</v>
      </c>
    </row>
    <row r="530" spans="1:12" s="93" customFormat="1" ht="38.25" customHeight="1">
      <c r="A530" s="440">
        <v>45723</v>
      </c>
      <c r="B530" s="444">
        <v>499</v>
      </c>
      <c r="C530" s="441"/>
      <c r="D530" s="442" t="s">
        <v>1858</v>
      </c>
      <c r="E530" s="434">
        <v>2</v>
      </c>
      <c r="F530" s="442" t="s">
        <v>2111</v>
      </c>
      <c r="G530" s="434" t="s">
        <v>2101</v>
      </c>
      <c r="H530" s="442" t="s">
        <v>70</v>
      </c>
      <c r="I530" s="434" t="s">
        <v>266</v>
      </c>
      <c r="J530" s="593">
        <v>45766</v>
      </c>
      <c r="K530" s="575"/>
      <c r="L530" s="508" t="s">
        <v>1508</v>
      </c>
    </row>
    <row r="531" spans="1:12" s="89" customFormat="1" ht="38.25" customHeight="1">
      <c r="A531" s="440">
        <v>45671</v>
      </c>
      <c r="B531" s="444">
        <v>500</v>
      </c>
      <c r="C531" s="441"/>
      <c r="D531" s="429" t="s">
        <v>96</v>
      </c>
      <c r="E531" s="434">
        <v>2</v>
      </c>
      <c r="F531" s="430" t="s">
        <v>1983</v>
      </c>
      <c r="G531" s="431" t="s">
        <v>1984</v>
      </c>
      <c r="H531" s="432" t="s">
        <v>59</v>
      </c>
      <c r="I531" s="433" t="s">
        <v>53</v>
      </c>
      <c r="J531" s="593">
        <v>45775</v>
      </c>
      <c r="K531" s="575"/>
      <c r="L531" s="508" t="s">
        <v>1508</v>
      </c>
    </row>
    <row r="532" spans="1:12" s="93" customFormat="1" ht="39.75" customHeight="1">
      <c r="A532" s="440">
        <v>45716</v>
      </c>
      <c r="B532" s="444">
        <v>501</v>
      </c>
      <c r="C532" s="441"/>
      <c r="D532" s="429" t="s">
        <v>96</v>
      </c>
      <c r="E532" s="434">
        <v>2</v>
      </c>
      <c r="F532" s="442" t="s">
        <v>2043</v>
      </c>
      <c r="G532" s="434" t="s">
        <v>2044</v>
      </c>
      <c r="H532" s="436" t="s">
        <v>1992</v>
      </c>
      <c r="I532" s="435" t="s">
        <v>53</v>
      </c>
      <c r="J532" s="593">
        <v>45776</v>
      </c>
      <c r="K532" s="575"/>
      <c r="L532" s="508" t="s">
        <v>1508</v>
      </c>
    </row>
    <row r="533" spans="1:12" s="93" customFormat="1" ht="39.75" customHeight="1">
      <c r="A533" s="440">
        <v>45716</v>
      </c>
      <c r="B533" s="444">
        <v>502</v>
      </c>
      <c r="C533" s="441"/>
      <c r="D533" s="429" t="s">
        <v>96</v>
      </c>
      <c r="E533" s="434">
        <v>2</v>
      </c>
      <c r="F533" s="442" t="s">
        <v>2045</v>
      </c>
      <c r="G533" s="434" t="s">
        <v>2044</v>
      </c>
      <c r="H533" s="436" t="s">
        <v>59</v>
      </c>
      <c r="I533" s="435" t="s">
        <v>53</v>
      </c>
      <c r="J533" s="593">
        <v>45776</v>
      </c>
      <c r="K533" s="575"/>
      <c r="L533" s="508" t="s">
        <v>1508</v>
      </c>
    </row>
    <row r="534" spans="1:12" s="93" customFormat="1" ht="46.5" customHeight="1">
      <c r="A534" s="440">
        <v>45723</v>
      </c>
      <c r="B534" s="444">
        <v>503</v>
      </c>
      <c r="C534" s="441" t="s">
        <v>2161</v>
      </c>
      <c r="D534" s="442" t="s">
        <v>1858</v>
      </c>
      <c r="E534" s="434">
        <v>0</v>
      </c>
      <c r="F534" s="442" t="s">
        <v>2107</v>
      </c>
      <c r="G534" s="434" t="s">
        <v>2095</v>
      </c>
      <c r="H534" s="442" t="s">
        <v>70</v>
      </c>
      <c r="I534" s="434" t="s">
        <v>2096</v>
      </c>
      <c r="J534" s="624"/>
      <c r="K534" s="435"/>
      <c r="L534" s="548"/>
    </row>
    <row r="535" spans="1:12" s="93" customFormat="1" ht="46.5" customHeight="1">
      <c r="A535" s="440">
        <v>45723</v>
      </c>
      <c r="B535" s="444">
        <v>504</v>
      </c>
      <c r="C535" s="441"/>
      <c r="D535" s="442" t="s">
        <v>1858</v>
      </c>
      <c r="E535" s="434">
        <v>2</v>
      </c>
      <c r="F535" s="442" t="s">
        <v>2110</v>
      </c>
      <c r="G535" s="434" t="s">
        <v>2099</v>
      </c>
      <c r="H535" s="442" t="s">
        <v>2100</v>
      </c>
      <c r="I535" s="434" t="s">
        <v>266</v>
      </c>
      <c r="J535" s="593">
        <v>45776</v>
      </c>
      <c r="K535" s="575"/>
      <c r="L535" s="508" t="s">
        <v>1508</v>
      </c>
    </row>
    <row r="536" spans="1:12" s="581" customFormat="1" ht="43.5" customHeight="1">
      <c r="A536" s="1005" t="s">
        <v>1801</v>
      </c>
      <c r="B536" s="1006"/>
      <c r="C536" s="1006"/>
      <c r="D536" s="1007"/>
      <c r="E536" s="561">
        <f>SUM(E515:E535)</f>
        <v>39</v>
      </c>
      <c r="F536" s="568"/>
      <c r="G536" s="565"/>
      <c r="H536" s="562"/>
      <c r="I536" s="568"/>
      <c r="J536" s="563"/>
      <c r="K536" s="568"/>
      <c r="L536" s="560"/>
    </row>
    <row r="537" spans="1:12" ht="37.5" customHeight="1">
      <c r="A537" s="1002" t="s">
        <v>2160</v>
      </c>
      <c r="B537" s="1003"/>
      <c r="C537" s="1003"/>
      <c r="D537" s="1003"/>
      <c r="E537" s="1004"/>
      <c r="F537" s="566"/>
      <c r="G537" s="564"/>
      <c r="H537" s="564"/>
      <c r="I537" s="566"/>
      <c r="J537" s="559"/>
      <c r="K537" s="567"/>
      <c r="L537" s="567"/>
    </row>
    <row r="538" spans="1:12" s="93" customFormat="1" ht="38.25" customHeight="1">
      <c r="A538" s="440">
        <v>45743</v>
      </c>
      <c r="B538" s="444">
        <v>505</v>
      </c>
      <c r="C538" s="542" t="s">
        <v>2140</v>
      </c>
      <c r="D538" s="442" t="s">
        <v>96</v>
      </c>
      <c r="E538" s="434">
        <v>3</v>
      </c>
      <c r="F538" s="434" t="s">
        <v>2124</v>
      </c>
      <c r="G538" s="435" t="s">
        <v>2125</v>
      </c>
      <c r="H538" s="436" t="s">
        <v>603</v>
      </c>
      <c r="I538" s="435" t="s">
        <v>56</v>
      </c>
      <c r="J538" s="593">
        <v>45779</v>
      </c>
      <c r="K538" s="575"/>
      <c r="L538" s="508" t="s">
        <v>1508</v>
      </c>
    </row>
    <row r="539" spans="1:12" s="89" customFormat="1" ht="38.25" customHeight="1">
      <c r="A539" s="440">
        <v>45672</v>
      </c>
      <c r="B539" s="444">
        <v>506</v>
      </c>
      <c r="C539" s="441"/>
      <c r="D539" s="429" t="s">
        <v>96</v>
      </c>
      <c r="E539" s="434">
        <v>2</v>
      </c>
      <c r="F539" s="430" t="s">
        <v>1985</v>
      </c>
      <c r="G539" s="431" t="s">
        <v>1827</v>
      </c>
      <c r="H539" s="432" t="s">
        <v>122</v>
      </c>
      <c r="I539" s="433" t="s">
        <v>1828</v>
      </c>
      <c r="J539" s="593">
        <v>45780</v>
      </c>
      <c r="K539" s="575"/>
      <c r="L539" s="508" t="s">
        <v>1508</v>
      </c>
    </row>
    <row r="540" spans="1:12" s="89" customFormat="1" ht="36" customHeight="1">
      <c r="A540" s="440">
        <v>45742</v>
      </c>
      <c r="B540" s="444">
        <v>507</v>
      </c>
      <c r="C540" s="1021" t="s">
        <v>2146</v>
      </c>
      <c r="D540" s="442" t="s">
        <v>1797</v>
      </c>
      <c r="E540" s="434">
        <v>2</v>
      </c>
      <c r="F540" s="442" t="s">
        <v>1942</v>
      </c>
      <c r="G540" s="434" t="s">
        <v>2119</v>
      </c>
      <c r="H540" s="436" t="s">
        <v>59</v>
      </c>
      <c r="I540" s="435" t="s">
        <v>71</v>
      </c>
      <c r="J540" s="593">
        <v>45785</v>
      </c>
      <c r="K540" s="575"/>
      <c r="L540" s="508" t="s">
        <v>1508</v>
      </c>
    </row>
    <row r="541" spans="1:12" s="89" customFormat="1" ht="36" customHeight="1">
      <c r="A541" s="440">
        <v>45742</v>
      </c>
      <c r="B541" s="444">
        <v>508</v>
      </c>
      <c r="C541" s="1022"/>
      <c r="D541" s="442" t="s">
        <v>1797</v>
      </c>
      <c r="E541" s="434">
        <v>2</v>
      </c>
      <c r="F541" s="442" t="s">
        <v>1944</v>
      </c>
      <c r="G541" s="434" t="s">
        <v>1945</v>
      </c>
      <c r="H541" s="436" t="s">
        <v>59</v>
      </c>
      <c r="I541" s="435" t="s">
        <v>71</v>
      </c>
      <c r="J541" s="593">
        <v>45785</v>
      </c>
      <c r="K541" s="575"/>
      <c r="L541" s="508" t="s">
        <v>1508</v>
      </c>
    </row>
    <row r="542" spans="1:12" s="89" customFormat="1" ht="36" customHeight="1">
      <c r="A542" s="440">
        <v>45742</v>
      </c>
      <c r="B542" s="444">
        <v>509</v>
      </c>
      <c r="C542" s="1022"/>
      <c r="D542" s="442" t="s">
        <v>1797</v>
      </c>
      <c r="E542" s="434">
        <v>2</v>
      </c>
      <c r="F542" s="442" t="s">
        <v>1946</v>
      </c>
      <c r="G542" s="434" t="s">
        <v>1947</v>
      </c>
      <c r="H542" s="436" t="s">
        <v>59</v>
      </c>
      <c r="I542" s="435" t="s">
        <v>71</v>
      </c>
      <c r="J542" s="593">
        <v>45785</v>
      </c>
      <c r="K542" s="575"/>
      <c r="L542" s="508" t="s">
        <v>1508</v>
      </c>
    </row>
    <row r="543" spans="1:12" s="89" customFormat="1" ht="36" customHeight="1">
      <c r="A543" s="440">
        <v>45742</v>
      </c>
      <c r="B543" s="444">
        <v>510</v>
      </c>
      <c r="C543" s="1023"/>
      <c r="D543" s="442" t="s">
        <v>1797</v>
      </c>
      <c r="E543" s="434">
        <v>2</v>
      </c>
      <c r="F543" s="442" t="s">
        <v>2120</v>
      </c>
      <c r="G543" s="434" t="s">
        <v>2121</v>
      </c>
      <c r="H543" s="436" t="s">
        <v>59</v>
      </c>
      <c r="I543" s="435" t="s">
        <v>71</v>
      </c>
      <c r="J543" s="593">
        <v>45785</v>
      </c>
      <c r="K543" s="575"/>
      <c r="L543" s="508" t="s">
        <v>1508</v>
      </c>
    </row>
    <row r="544" spans="1:12" s="93" customFormat="1" ht="39" customHeight="1">
      <c r="A544" s="440">
        <v>45779</v>
      </c>
      <c r="B544" s="444">
        <v>511</v>
      </c>
      <c r="C544" s="81"/>
      <c r="D544" s="442" t="s">
        <v>96</v>
      </c>
      <c r="E544" s="434">
        <v>2</v>
      </c>
      <c r="F544" s="442" t="s">
        <v>2043</v>
      </c>
      <c r="G544" s="434" t="s">
        <v>2044</v>
      </c>
      <c r="H544" s="436" t="s">
        <v>1992</v>
      </c>
      <c r="I544" s="435" t="s">
        <v>53</v>
      </c>
      <c r="J544" s="593">
        <v>45792</v>
      </c>
      <c r="K544" s="575"/>
      <c r="L544" s="508" t="s">
        <v>1508</v>
      </c>
    </row>
    <row r="545" spans="1:12" s="93" customFormat="1" ht="39" customHeight="1">
      <c r="A545" s="440">
        <v>45779</v>
      </c>
      <c r="B545" s="444">
        <v>512</v>
      </c>
      <c r="C545" s="542" t="s">
        <v>2140</v>
      </c>
      <c r="D545" s="442" t="s">
        <v>96</v>
      </c>
      <c r="E545" s="434">
        <v>2</v>
      </c>
      <c r="F545" s="442" t="s">
        <v>2158</v>
      </c>
      <c r="G545" s="434" t="s">
        <v>2159</v>
      </c>
      <c r="H545" s="436" t="s">
        <v>603</v>
      </c>
      <c r="I545" s="435" t="s">
        <v>748</v>
      </c>
      <c r="J545" s="593">
        <v>45792</v>
      </c>
      <c r="K545" s="575"/>
      <c r="L545" s="508" t="s">
        <v>1508</v>
      </c>
    </row>
    <row r="546" spans="1:12" s="93" customFormat="1" ht="39" customHeight="1">
      <c r="A546" s="440">
        <v>45773</v>
      </c>
      <c r="B546" s="444">
        <v>513</v>
      </c>
      <c r="C546" s="542" t="s">
        <v>2139</v>
      </c>
      <c r="D546" s="442" t="s">
        <v>641</v>
      </c>
      <c r="E546" s="434">
        <v>1</v>
      </c>
      <c r="F546" s="434" t="s">
        <v>2157</v>
      </c>
      <c r="G546" s="435" t="s">
        <v>2148</v>
      </c>
      <c r="H546" s="436" t="s">
        <v>49</v>
      </c>
      <c r="I546" s="435" t="s">
        <v>642</v>
      </c>
      <c r="J546" s="593">
        <v>45792</v>
      </c>
      <c r="K546" s="575" t="s">
        <v>1507</v>
      </c>
      <c r="L546" s="508"/>
    </row>
    <row r="547" spans="1:12" s="93" customFormat="1" ht="39" customHeight="1">
      <c r="A547" s="440">
        <v>45735</v>
      </c>
      <c r="B547" s="444">
        <v>514</v>
      </c>
      <c r="C547" s="542" t="s">
        <v>2139</v>
      </c>
      <c r="D547" s="442" t="s">
        <v>1294</v>
      </c>
      <c r="E547" s="434">
        <v>2</v>
      </c>
      <c r="F547" s="442" t="s">
        <v>2085</v>
      </c>
      <c r="G547" s="434" t="s">
        <v>1288</v>
      </c>
      <c r="H547" s="436" t="s">
        <v>122</v>
      </c>
      <c r="I547" s="436" t="s">
        <v>53</v>
      </c>
      <c r="J547" s="593">
        <v>45807</v>
      </c>
      <c r="K547" s="593"/>
      <c r="L547" s="508" t="s">
        <v>1508</v>
      </c>
    </row>
    <row r="548" spans="1:12" s="93" customFormat="1" ht="38.25" customHeight="1">
      <c r="A548" s="440">
        <v>45750</v>
      </c>
      <c r="B548" s="444">
        <v>515</v>
      </c>
      <c r="C548" s="542"/>
      <c r="D548" s="442" t="s">
        <v>96</v>
      </c>
      <c r="E548" s="434">
        <v>2</v>
      </c>
      <c r="F548" s="434" t="s">
        <v>2135</v>
      </c>
      <c r="G548" s="435" t="s">
        <v>2136</v>
      </c>
      <c r="H548" s="436" t="s">
        <v>2137</v>
      </c>
      <c r="I548" s="435" t="s">
        <v>75</v>
      </c>
      <c r="J548" s="593">
        <v>45807</v>
      </c>
      <c r="K548" s="593"/>
      <c r="L548" s="508" t="s">
        <v>1508</v>
      </c>
    </row>
    <row r="549" spans="1:12" s="93" customFormat="1" ht="39" customHeight="1">
      <c r="A549" s="440">
        <v>45735</v>
      </c>
      <c r="B549" s="444">
        <v>516</v>
      </c>
      <c r="C549" s="635" t="s">
        <v>2177</v>
      </c>
      <c r="D549" s="442" t="s">
        <v>1294</v>
      </c>
      <c r="E549" s="434">
        <v>2</v>
      </c>
      <c r="F549" s="442" t="s">
        <v>2086</v>
      </c>
      <c r="G549" s="434" t="s">
        <v>2087</v>
      </c>
      <c r="H549" s="436" t="s">
        <v>122</v>
      </c>
      <c r="I549" s="436" t="s">
        <v>53</v>
      </c>
      <c r="J549" s="593">
        <v>45808</v>
      </c>
      <c r="K549" s="593"/>
      <c r="L549" s="508" t="s">
        <v>1508</v>
      </c>
    </row>
    <row r="550" spans="1:12" s="93" customFormat="1" ht="39" customHeight="1">
      <c r="A550" s="440">
        <v>45735</v>
      </c>
      <c r="B550" s="444">
        <v>517</v>
      </c>
      <c r="C550" s="635" t="s">
        <v>2177</v>
      </c>
      <c r="D550" s="442" t="s">
        <v>1294</v>
      </c>
      <c r="E550" s="434">
        <v>2</v>
      </c>
      <c r="F550" s="442" t="s">
        <v>2088</v>
      </c>
      <c r="G550" s="434" t="s">
        <v>2089</v>
      </c>
      <c r="H550" s="436" t="s">
        <v>122</v>
      </c>
      <c r="I550" s="436" t="s">
        <v>53</v>
      </c>
      <c r="J550" s="593">
        <v>45808</v>
      </c>
      <c r="K550" s="593"/>
      <c r="L550" s="508" t="s">
        <v>1508</v>
      </c>
    </row>
    <row r="551" spans="1:12" s="581" customFormat="1" ht="43.5" customHeight="1">
      <c r="A551" s="1005" t="s">
        <v>1801</v>
      </c>
      <c r="B551" s="1006"/>
      <c r="C551" s="1006"/>
      <c r="D551" s="1007"/>
      <c r="E551" s="561">
        <f>SUM(E538:E550)</f>
        <v>26</v>
      </c>
      <c r="F551" s="568"/>
      <c r="G551" s="565"/>
      <c r="H551" s="562"/>
      <c r="I551" s="568"/>
      <c r="J551" s="563"/>
      <c r="K551" s="568"/>
      <c r="L551" s="560"/>
    </row>
    <row r="552" spans="1:12" ht="37.5" customHeight="1">
      <c r="A552" s="1002" t="s">
        <v>2178</v>
      </c>
      <c r="B552" s="1003"/>
      <c r="C552" s="1003"/>
      <c r="D552" s="1003"/>
      <c r="E552" s="1004"/>
      <c r="F552" s="566"/>
      <c r="G552" s="564"/>
      <c r="H552" s="564"/>
      <c r="I552" s="566"/>
      <c r="J552" s="559"/>
      <c r="K552" s="567"/>
      <c r="L552" s="567"/>
    </row>
    <row r="553" spans="1:12" s="93" customFormat="1" ht="39" customHeight="1">
      <c r="A553" s="440">
        <v>45742</v>
      </c>
      <c r="B553" s="444">
        <v>518</v>
      </c>
      <c r="C553" s="635"/>
      <c r="D553" s="442" t="s">
        <v>1829</v>
      </c>
      <c r="E553" s="434">
        <v>2</v>
      </c>
      <c r="F553" s="442" t="s">
        <v>1830</v>
      </c>
      <c r="G553" s="434" t="s">
        <v>1831</v>
      </c>
      <c r="H553" s="436" t="s">
        <v>1174</v>
      </c>
      <c r="I553" s="436" t="s">
        <v>53</v>
      </c>
      <c r="J553" s="593">
        <v>45811</v>
      </c>
      <c r="K553" s="593"/>
      <c r="L553" s="508" t="s">
        <v>1508</v>
      </c>
    </row>
    <row r="554" spans="1:12" s="93" customFormat="1" ht="39" customHeight="1">
      <c r="A554" s="440">
        <v>45787</v>
      </c>
      <c r="B554" s="444">
        <v>519</v>
      </c>
      <c r="C554" s="542"/>
      <c r="D554" s="442" t="s">
        <v>96</v>
      </c>
      <c r="E554" s="435">
        <v>2</v>
      </c>
      <c r="F554" s="434" t="s">
        <v>2179</v>
      </c>
      <c r="G554" s="442" t="s">
        <v>2180</v>
      </c>
      <c r="H554" s="434" t="s">
        <v>603</v>
      </c>
      <c r="I554" s="436" t="s">
        <v>53</v>
      </c>
      <c r="J554" s="593">
        <v>45814</v>
      </c>
      <c r="K554" s="593"/>
      <c r="L554" s="508" t="s">
        <v>1508</v>
      </c>
    </row>
    <row r="555" spans="1:12" s="93" customFormat="1" ht="39" customHeight="1">
      <c r="A555" s="440">
        <v>45805</v>
      </c>
      <c r="B555" s="444">
        <v>520</v>
      </c>
      <c r="C555" s="542" t="s">
        <v>2176</v>
      </c>
      <c r="D555" s="442" t="s">
        <v>177</v>
      </c>
      <c r="E555" s="434">
        <v>1</v>
      </c>
      <c r="F555" s="442" t="s">
        <v>2173</v>
      </c>
      <c r="G555" s="434" t="s">
        <v>791</v>
      </c>
      <c r="H555" s="436" t="s">
        <v>2174</v>
      </c>
      <c r="I555" s="435" t="s">
        <v>2175</v>
      </c>
      <c r="J555" s="593">
        <v>45814</v>
      </c>
      <c r="K555" s="575" t="s">
        <v>1507</v>
      </c>
      <c r="L555" s="548"/>
    </row>
    <row r="556" spans="1:12" s="93" customFormat="1" ht="34.5" customHeight="1">
      <c r="A556" s="440">
        <v>45792</v>
      </c>
      <c r="B556" s="444">
        <v>521</v>
      </c>
      <c r="C556" s="542"/>
      <c r="D556" s="442" t="s">
        <v>2169</v>
      </c>
      <c r="E556" s="434">
        <v>2</v>
      </c>
      <c r="F556" s="434" t="s">
        <v>2170</v>
      </c>
      <c r="G556" s="442" t="s">
        <v>2171</v>
      </c>
      <c r="H556" s="434" t="s">
        <v>49</v>
      </c>
      <c r="I556" s="436" t="s">
        <v>53</v>
      </c>
      <c r="J556" s="593">
        <v>45814</v>
      </c>
      <c r="K556" s="435"/>
      <c r="L556" s="508"/>
    </row>
    <row r="557" spans="1:12" s="89" customFormat="1" ht="33.75" customHeight="1">
      <c r="A557" s="587">
        <v>45594</v>
      </c>
      <c r="B557" s="444">
        <v>522</v>
      </c>
      <c r="C557" s="542" t="s">
        <v>1845</v>
      </c>
      <c r="D557" s="442" t="s">
        <v>1825</v>
      </c>
      <c r="E557" s="434">
        <v>1</v>
      </c>
      <c r="F557" s="430" t="s">
        <v>1810</v>
      </c>
      <c r="G557" s="431" t="s">
        <v>331</v>
      </c>
      <c r="H557" s="432" t="s">
        <v>1811</v>
      </c>
      <c r="I557" s="433" t="s">
        <v>53</v>
      </c>
      <c r="J557" s="593">
        <v>45819</v>
      </c>
      <c r="K557" s="435"/>
      <c r="L557" s="508"/>
    </row>
    <row r="558" spans="1:12" s="93" customFormat="1" ht="39" customHeight="1">
      <c r="A558" s="440">
        <v>45782</v>
      </c>
      <c r="B558" s="444">
        <v>523</v>
      </c>
      <c r="C558" s="542"/>
      <c r="D558" s="442" t="s">
        <v>96</v>
      </c>
      <c r="E558" s="434">
        <v>1</v>
      </c>
      <c r="F558" s="434" t="s">
        <v>2059</v>
      </c>
      <c r="G558" s="442" t="s">
        <v>1367</v>
      </c>
      <c r="H558" s="434" t="s">
        <v>59</v>
      </c>
      <c r="I558" s="436" t="s">
        <v>56</v>
      </c>
      <c r="J558" s="593">
        <v>45819</v>
      </c>
      <c r="K558" s="575" t="s">
        <v>1507</v>
      </c>
      <c r="L558" s="508"/>
    </row>
    <row r="559" spans="1:12" s="93" customFormat="1" ht="39" customHeight="1">
      <c r="A559" s="440">
        <v>45792</v>
      </c>
      <c r="B559" s="444">
        <v>524</v>
      </c>
      <c r="C559" s="542"/>
      <c r="D559" s="442" t="s">
        <v>96</v>
      </c>
      <c r="E559" s="434">
        <v>2</v>
      </c>
      <c r="F559" s="434" t="s">
        <v>2166</v>
      </c>
      <c r="G559" s="442" t="s">
        <v>1774</v>
      </c>
      <c r="H559" s="434" t="s">
        <v>49</v>
      </c>
      <c r="I559" s="436" t="s">
        <v>2167</v>
      </c>
      <c r="J559" s="593">
        <v>45819</v>
      </c>
      <c r="K559" s="575" t="s">
        <v>1507</v>
      </c>
      <c r="L559" s="508"/>
    </row>
    <row r="560" spans="1:12" s="93" customFormat="1" ht="39" customHeight="1">
      <c r="A560" s="440">
        <v>45792</v>
      </c>
      <c r="B560" s="444">
        <v>525</v>
      </c>
      <c r="C560" s="542"/>
      <c r="D560" s="442" t="s">
        <v>2168</v>
      </c>
      <c r="E560" s="434">
        <v>2</v>
      </c>
      <c r="F560" s="434" t="s">
        <v>2168</v>
      </c>
      <c r="G560" s="442" t="s">
        <v>791</v>
      </c>
      <c r="H560" s="434" t="s">
        <v>59</v>
      </c>
      <c r="I560" s="436" t="s">
        <v>53</v>
      </c>
      <c r="J560" s="593">
        <v>45824</v>
      </c>
      <c r="K560" s="575"/>
      <c r="L560" s="508" t="s">
        <v>1508</v>
      </c>
    </row>
    <row r="561" spans="1:12" s="93" customFormat="1" ht="39" customHeight="1">
      <c r="A561" s="440">
        <v>45782</v>
      </c>
      <c r="B561" s="444">
        <v>526</v>
      </c>
      <c r="C561" s="542"/>
      <c r="D561" s="442" t="s">
        <v>96</v>
      </c>
      <c r="E561" s="434">
        <v>2</v>
      </c>
      <c r="F561" s="434" t="s">
        <v>2163</v>
      </c>
      <c r="G561" s="442" t="s">
        <v>2164</v>
      </c>
      <c r="H561" s="434" t="s">
        <v>59</v>
      </c>
      <c r="I561" s="436" t="s">
        <v>53</v>
      </c>
      <c r="J561" s="593">
        <v>45826</v>
      </c>
      <c r="K561" s="575"/>
      <c r="L561" s="508" t="s">
        <v>1508</v>
      </c>
    </row>
    <row r="562" spans="1:12" s="581" customFormat="1" ht="43.5" customHeight="1">
      <c r="A562" s="1005" t="s">
        <v>1801</v>
      </c>
      <c r="B562" s="1006"/>
      <c r="C562" s="1006"/>
      <c r="D562" s="1007"/>
      <c r="E562" s="561">
        <f>SUM(E553:E561)</f>
        <v>15</v>
      </c>
      <c r="F562" s="568"/>
      <c r="G562" s="565"/>
      <c r="H562" s="562"/>
      <c r="I562" s="568"/>
      <c r="J562" s="563"/>
      <c r="K562" s="568"/>
      <c r="L562" s="560"/>
    </row>
    <row r="563" spans="1:12" ht="37.5" customHeight="1">
      <c r="A563" s="1002" t="s">
        <v>2210</v>
      </c>
      <c r="B563" s="1003"/>
      <c r="C563" s="1003"/>
      <c r="D563" s="1003"/>
      <c r="E563" s="1004"/>
      <c r="F563" s="566"/>
      <c r="G563" s="564"/>
      <c r="H563" s="564"/>
      <c r="I563" s="566"/>
      <c r="J563" s="559"/>
      <c r="K563" s="567"/>
      <c r="L563" s="567"/>
    </row>
    <row r="564" spans="1:12" s="93" customFormat="1" ht="39" customHeight="1">
      <c r="A564" s="440">
        <v>45820</v>
      </c>
      <c r="B564" s="444">
        <v>527</v>
      </c>
      <c r="C564" s="542"/>
      <c r="D564" s="442" t="s">
        <v>2112</v>
      </c>
      <c r="E564" s="434">
        <v>2</v>
      </c>
      <c r="F564" s="434" t="s">
        <v>2183</v>
      </c>
      <c r="G564" s="442" t="s">
        <v>2114</v>
      </c>
      <c r="H564" s="434" t="s">
        <v>2184</v>
      </c>
      <c r="I564" s="436" t="s">
        <v>2185</v>
      </c>
      <c r="J564" s="593">
        <v>45841</v>
      </c>
      <c r="K564" s="575"/>
      <c r="L564" s="508" t="s">
        <v>1508</v>
      </c>
    </row>
    <row r="565" spans="1:12" s="93" customFormat="1" ht="39" customHeight="1">
      <c r="A565" s="440">
        <v>45787</v>
      </c>
      <c r="B565" s="444">
        <v>528</v>
      </c>
      <c r="C565" s="542" t="s">
        <v>2203</v>
      </c>
      <c r="D565" s="442" t="s">
        <v>96</v>
      </c>
      <c r="E565" s="435">
        <v>3</v>
      </c>
      <c r="F565" s="434" t="s">
        <v>2181</v>
      </c>
      <c r="G565" s="442" t="s">
        <v>66</v>
      </c>
      <c r="H565" s="434" t="s">
        <v>603</v>
      </c>
      <c r="I565" s="436" t="s">
        <v>53</v>
      </c>
      <c r="J565" s="593">
        <v>45847</v>
      </c>
      <c r="K565" s="575" t="s">
        <v>1507</v>
      </c>
      <c r="L565" s="508" t="s">
        <v>1508</v>
      </c>
    </row>
    <row r="566" spans="1:12" s="93" customFormat="1" ht="39" customHeight="1">
      <c r="A566" s="440">
        <v>45828</v>
      </c>
      <c r="B566" s="444">
        <v>529</v>
      </c>
      <c r="C566" s="542" t="s">
        <v>2206</v>
      </c>
      <c r="D566" s="442" t="s">
        <v>2197</v>
      </c>
      <c r="E566" s="435">
        <v>2</v>
      </c>
      <c r="F566" s="434" t="s">
        <v>2192</v>
      </c>
      <c r="G566" s="442" t="s">
        <v>2205</v>
      </c>
      <c r="H566" s="434" t="s">
        <v>59</v>
      </c>
      <c r="I566" s="436" t="s">
        <v>578</v>
      </c>
      <c r="J566" s="593">
        <v>45850</v>
      </c>
      <c r="K566" s="575"/>
      <c r="L566" s="508" t="s">
        <v>1508</v>
      </c>
    </row>
    <row r="567" spans="1:12" s="93" customFormat="1" ht="39" customHeight="1">
      <c r="A567" s="440">
        <v>45828</v>
      </c>
      <c r="B567" s="444">
        <v>530</v>
      </c>
      <c r="C567" s="542"/>
      <c r="D567" s="442" t="s">
        <v>2197</v>
      </c>
      <c r="E567" s="435">
        <v>4</v>
      </c>
      <c r="F567" s="434" t="s">
        <v>2194</v>
      </c>
      <c r="G567" s="442" t="s">
        <v>2193</v>
      </c>
      <c r="H567" s="434" t="s">
        <v>59</v>
      </c>
      <c r="I567" s="436" t="s">
        <v>578</v>
      </c>
      <c r="J567" s="593">
        <v>45853</v>
      </c>
      <c r="K567" s="575"/>
      <c r="L567" s="508" t="s">
        <v>1508</v>
      </c>
    </row>
    <row r="568" spans="1:12" s="93" customFormat="1" ht="39" customHeight="1">
      <c r="A568" s="440">
        <v>45850</v>
      </c>
      <c r="B568" s="444">
        <v>531</v>
      </c>
      <c r="C568" s="681"/>
      <c r="D568" s="442" t="s">
        <v>96</v>
      </c>
      <c r="E568" s="435">
        <v>2</v>
      </c>
      <c r="F568" s="434" t="s">
        <v>1380</v>
      </c>
      <c r="G568" s="442" t="s">
        <v>1381</v>
      </c>
      <c r="H568" s="434" t="s">
        <v>59</v>
      </c>
      <c r="I568" s="436" t="s">
        <v>53</v>
      </c>
      <c r="J568" s="593">
        <v>45855</v>
      </c>
      <c r="K568" s="575"/>
      <c r="L568" s="508" t="s">
        <v>1508</v>
      </c>
    </row>
    <row r="569" spans="1:12" s="93" customFormat="1" ht="39" customHeight="1">
      <c r="A569" s="440">
        <v>45824</v>
      </c>
      <c r="B569" s="444">
        <v>532</v>
      </c>
      <c r="C569" s="542"/>
      <c r="D569" s="442" t="s">
        <v>96</v>
      </c>
      <c r="E569" s="435">
        <v>2</v>
      </c>
      <c r="F569" s="442" t="s">
        <v>2188</v>
      </c>
      <c r="G569" s="434" t="s">
        <v>2189</v>
      </c>
      <c r="H569" s="436" t="s">
        <v>59</v>
      </c>
      <c r="I569" s="435" t="s">
        <v>56</v>
      </c>
      <c r="J569" s="593">
        <v>45860</v>
      </c>
      <c r="K569" s="575"/>
      <c r="L569" s="508" t="s">
        <v>1508</v>
      </c>
    </row>
    <row r="570" spans="1:12" s="93" customFormat="1" ht="39" customHeight="1">
      <c r="A570" s="440">
        <v>45828</v>
      </c>
      <c r="B570" s="444">
        <v>533</v>
      </c>
      <c r="C570" s="542" t="s">
        <v>2214</v>
      </c>
      <c r="D570" s="442" t="s">
        <v>2197</v>
      </c>
      <c r="E570" s="434">
        <v>2</v>
      </c>
      <c r="F570" s="442" t="s">
        <v>2195</v>
      </c>
      <c r="G570" s="434" t="s">
        <v>2196</v>
      </c>
      <c r="H570" s="436" t="s">
        <v>59</v>
      </c>
      <c r="I570" s="435" t="s">
        <v>578</v>
      </c>
      <c r="J570" s="593">
        <v>45861</v>
      </c>
      <c r="K570" s="575"/>
      <c r="L570" s="508" t="s">
        <v>1508</v>
      </c>
    </row>
    <row r="571" spans="1:12" s="93" customFormat="1" ht="39" customHeight="1">
      <c r="A571" s="440">
        <v>45853</v>
      </c>
      <c r="B571" s="444">
        <v>534</v>
      </c>
      <c r="C571" s="542" t="s">
        <v>2211</v>
      </c>
      <c r="D571" s="442" t="s">
        <v>1751</v>
      </c>
      <c r="E571" s="434">
        <v>1</v>
      </c>
      <c r="F571" s="442" t="s">
        <v>2070</v>
      </c>
      <c r="G571" s="434" t="s">
        <v>95</v>
      </c>
      <c r="H571" s="436" t="s">
        <v>59</v>
      </c>
      <c r="I571" s="435" t="s">
        <v>53</v>
      </c>
      <c r="J571" s="593">
        <v>45861</v>
      </c>
      <c r="K571" s="575" t="s">
        <v>1507</v>
      </c>
      <c r="L571" s="508"/>
    </row>
    <row r="572" spans="1:12" s="89" customFormat="1" ht="50.25" customHeight="1">
      <c r="A572" s="440">
        <v>45866</v>
      </c>
      <c r="B572" s="444">
        <v>535</v>
      </c>
      <c r="C572" s="542" t="s">
        <v>2068</v>
      </c>
      <c r="D572" s="429" t="s">
        <v>1751</v>
      </c>
      <c r="E572" s="434">
        <v>1</v>
      </c>
      <c r="F572" s="430" t="s">
        <v>1896</v>
      </c>
      <c r="G572" s="431" t="s">
        <v>404</v>
      </c>
      <c r="H572" s="432" t="s">
        <v>1751</v>
      </c>
      <c r="I572" s="433" t="s">
        <v>53</v>
      </c>
      <c r="J572" s="548">
        <v>45867</v>
      </c>
      <c r="K572" s="575" t="s">
        <v>1507</v>
      </c>
      <c r="L572" s="508"/>
    </row>
    <row r="573" spans="1:12" s="93" customFormat="1" ht="39" customHeight="1">
      <c r="A573" s="440">
        <v>45783</v>
      </c>
      <c r="B573" s="444">
        <v>536</v>
      </c>
      <c r="C573" s="542"/>
      <c r="D573" s="442" t="s">
        <v>96</v>
      </c>
      <c r="E573" s="434">
        <v>2</v>
      </c>
      <c r="F573" s="434" t="s">
        <v>1320</v>
      </c>
      <c r="G573" s="442" t="s">
        <v>1321</v>
      </c>
      <c r="H573" s="434" t="s">
        <v>603</v>
      </c>
      <c r="I573" s="436" t="s">
        <v>56</v>
      </c>
      <c r="J573" s="593">
        <v>45863</v>
      </c>
      <c r="K573" s="575"/>
      <c r="L573" s="508" t="s">
        <v>1508</v>
      </c>
    </row>
    <row r="574" spans="1:12" s="93" customFormat="1" ht="39" customHeight="1">
      <c r="A574" s="440">
        <v>45824</v>
      </c>
      <c r="B574" s="444">
        <v>537</v>
      </c>
      <c r="C574" s="542"/>
      <c r="D574" s="442" t="s">
        <v>96</v>
      </c>
      <c r="E574" s="435">
        <v>2</v>
      </c>
      <c r="F574" s="442" t="s">
        <v>2190</v>
      </c>
      <c r="G574" s="434" t="s">
        <v>2191</v>
      </c>
      <c r="H574" s="436" t="s">
        <v>59</v>
      </c>
      <c r="I574" s="435" t="s">
        <v>56</v>
      </c>
      <c r="J574" s="593">
        <v>45861</v>
      </c>
      <c r="K574" s="575"/>
      <c r="L574" s="508" t="s">
        <v>1508</v>
      </c>
    </row>
    <row r="575" spans="1:12" s="93" customFormat="1" ht="34.5" customHeight="1">
      <c r="A575" s="440">
        <v>45799</v>
      </c>
      <c r="B575" s="444">
        <v>538</v>
      </c>
      <c r="C575" s="542"/>
      <c r="D575" s="442" t="s">
        <v>96</v>
      </c>
      <c r="E575" s="434">
        <v>2</v>
      </c>
      <c r="F575" s="442" t="s">
        <v>1296</v>
      </c>
      <c r="G575" s="434" t="s">
        <v>2172</v>
      </c>
      <c r="H575" s="436" t="s">
        <v>59</v>
      </c>
      <c r="I575" s="435" t="s">
        <v>56</v>
      </c>
      <c r="J575" s="593">
        <v>45866</v>
      </c>
      <c r="K575" s="575"/>
      <c r="L575" s="508" t="s">
        <v>1508</v>
      </c>
    </row>
    <row r="576" spans="1:12" s="93" customFormat="1" ht="39" customHeight="1">
      <c r="A576" s="440">
        <v>45824</v>
      </c>
      <c r="B576" s="444">
        <v>539</v>
      </c>
      <c r="C576" s="542"/>
      <c r="D576" s="442" t="s">
        <v>96</v>
      </c>
      <c r="E576" s="435">
        <v>1</v>
      </c>
      <c r="F576" s="442" t="s">
        <v>1981</v>
      </c>
      <c r="G576" s="434" t="s">
        <v>1982</v>
      </c>
      <c r="H576" s="436" t="s">
        <v>59</v>
      </c>
      <c r="I576" s="435" t="s">
        <v>56</v>
      </c>
      <c r="J576" s="593">
        <v>45866</v>
      </c>
      <c r="K576" s="575"/>
      <c r="L576" s="508" t="s">
        <v>1508</v>
      </c>
    </row>
    <row r="577" spans="1:12" s="93" customFormat="1" ht="39" customHeight="1">
      <c r="A577" s="440">
        <v>45831</v>
      </c>
      <c r="B577" s="444">
        <v>540</v>
      </c>
      <c r="C577" s="542"/>
      <c r="D577" s="442" t="s">
        <v>96</v>
      </c>
      <c r="E577" s="435">
        <v>2</v>
      </c>
      <c r="F577" s="442" t="s">
        <v>2198</v>
      </c>
      <c r="G577" s="434" t="s">
        <v>2199</v>
      </c>
      <c r="H577" s="436" t="s">
        <v>603</v>
      </c>
      <c r="I577" s="435" t="s">
        <v>1055</v>
      </c>
      <c r="J577" s="593">
        <v>45868</v>
      </c>
      <c r="K577" s="575"/>
      <c r="L577" s="508" t="s">
        <v>1508</v>
      </c>
    </row>
    <row r="578" spans="1:12" s="93" customFormat="1" ht="31.5" customHeight="1">
      <c r="A578" s="440">
        <v>45859</v>
      </c>
      <c r="B578" s="444">
        <v>541</v>
      </c>
      <c r="C578" s="542"/>
      <c r="D578" s="442" t="s">
        <v>96</v>
      </c>
      <c r="E578" s="434">
        <v>2</v>
      </c>
      <c r="F578" s="442" t="s">
        <v>2212</v>
      </c>
      <c r="G578" s="434" t="s">
        <v>2213</v>
      </c>
      <c r="H578" s="436" t="s">
        <v>603</v>
      </c>
      <c r="I578" s="435" t="s">
        <v>56</v>
      </c>
      <c r="J578" s="593">
        <v>45868</v>
      </c>
      <c r="K578" s="575"/>
      <c r="L578" s="508" t="s">
        <v>1508</v>
      </c>
    </row>
    <row r="579" spans="1:12" s="581" customFormat="1" ht="43.5" customHeight="1">
      <c r="A579" s="1005" t="s">
        <v>1801</v>
      </c>
      <c r="B579" s="1006"/>
      <c r="C579" s="1006"/>
      <c r="D579" s="1007"/>
      <c r="E579" s="561">
        <f>SUM(E564:E578)</f>
        <v>30</v>
      </c>
      <c r="F579" s="568"/>
      <c r="G579" s="565"/>
      <c r="H579" s="562"/>
      <c r="I579" s="568"/>
      <c r="J579" s="563"/>
      <c r="K579" s="568"/>
      <c r="L579" s="560"/>
    </row>
    <row r="580" spans="1:12" ht="37.5" customHeight="1">
      <c r="A580" s="1002" t="s">
        <v>2230</v>
      </c>
      <c r="B580" s="1003"/>
      <c r="C580" s="1003"/>
      <c r="D580" s="1003"/>
      <c r="E580" s="1004"/>
      <c r="F580" s="566"/>
      <c r="G580" s="564"/>
      <c r="H580" s="564"/>
      <c r="I580" s="566"/>
      <c r="J580" s="559"/>
      <c r="K580" s="567"/>
      <c r="L580" s="567"/>
    </row>
    <row r="581" spans="1:12" s="93" customFormat="1" ht="34.5" customHeight="1">
      <c r="A581" s="440">
        <v>45868</v>
      </c>
      <c r="B581" s="444">
        <v>542</v>
      </c>
      <c r="C581" s="1024" t="s">
        <v>2227</v>
      </c>
      <c r="D581" s="442" t="s">
        <v>1858</v>
      </c>
      <c r="E581" s="434">
        <v>2</v>
      </c>
      <c r="F581" s="442" t="s">
        <v>2218</v>
      </c>
      <c r="G581" s="434" t="s">
        <v>2090</v>
      </c>
      <c r="H581" s="436" t="s">
        <v>70</v>
      </c>
      <c r="I581" s="435" t="s">
        <v>53</v>
      </c>
      <c r="J581" s="593">
        <v>45875</v>
      </c>
      <c r="K581" s="575"/>
      <c r="L581" s="508" t="s">
        <v>1508</v>
      </c>
    </row>
    <row r="582" spans="1:12" s="93" customFormat="1" ht="34.5" customHeight="1">
      <c r="A582" s="440">
        <v>45868</v>
      </c>
      <c r="B582" s="444">
        <v>543</v>
      </c>
      <c r="C582" s="1026"/>
      <c r="D582" s="442" t="s">
        <v>1858</v>
      </c>
      <c r="E582" s="434">
        <v>2</v>
      </c>
      <c r="F582" s="442" t="s">
        <v>2219</v>
      </c>
      <c r="G582" s="434" t="s">
        <v>2091</v>
      </c>
      <c r="H582" s="436" t="s">
        <v>70</v>
      </c>
      <c r="I582" s="435" t="s">
        <v>53</v>
      </c>
      <c r="J582" s="593">
        <v>45875</v>
      </c>
      <c r="K582" s="575"/>
      <c r="L582" s="508" t="s">
        <v>1508</v>
      </c>
    </row>
    <row r="583" spans="1:12" s="93" customFormat="1" ht="34.5" customHeight="1">
      <c r="A583" s="440">
        <v>45868</v>
      </c>
      <c r="B583" s="444">
        <v>544</v>
      </c>
      <c r="C583" s="1026"/>
      <c r="D583" s="442" t="s">
        <v>1858</v>
      </c>
      <c r="E583" s="434">
        <v>2</v>
      </c>
      <c r="F583" s="442" t="s">
        <v>2220</v>
      </c>
      <c r="G583" s="434" t="s">
        <v>2092</v>
      </c>
      <c r="H583" s="436" t="s">
        <v>70</v>
      </c>
      <c r="I583" s="435" t="s">
        <v>75</v>
      </c>
      <c r="J583" s="593">
        <v>45875</v>
      </c>
      <c r="K583" s="575"/>
      <c r="L583" s="508" t="s">
        <v>1508</v>
      </c>
    </row>
    <row r="584" spans="1:12" s="93" customFormat="1" ht="34.5" customHeight="1">
      <c r="A584" s="440">
        <v>45868</v>
      </c>
      <c r="B584" s="444">
        <v>545</v>
      </c>
      <c r="C584" s="1026"/>
      <c r="D584" s="442" t="s">
        <v>1858</v>
      </c>
      <c r="E584" s="434">
        <v>2</v>
      </c>
      <c r="F584" s="442" t="s">
        <v>2221</v>
      </c>
      <c r="G584" s="434" t="s">
        <v>2093</v>
      </c>
      <c r="H584" s="436" t="s">
        <v>70</v>
      </c>
      <c r="I584" s="435" t="s">
        <v>53</v>
      </c>
      <c r="J584" s="593">
        <v>45875</v>
      </c>
      <c r="K584" s="575"/>
      <c r="L584" s="508" t="s">
        <v>1508</v>
      </c>
    </row>
    <row r="585" spans="1:12" s="93" customFormat="1" ht="34.5" customHeight="1">
      <c r="A585" s="440">
        <v>45868</v>
      </c>
      <c r="B585" s="444">
        <v>546</v>
      </c>
      <c r="C585" s="1026"/>
      <c r="D585" s="442" t="s">
        <v>1858</v>
      </c>
      <c r="E585" s="434">
        <v>2</v>
      </c>
      <c r="F585" s="442" t="s">
        <v>2222</v>
      </c>
      <c r="G585" s="434" t="s">
        <v>2094</v>
      </c>
      <c r="H585" s="436" t="s">
        <v>70</v>
      </c>
      <c r="I585" s="435" t="s">
        <v>75</v>
      </c>
      <c r="J585" s="593">
        <v>45875</v>
      </c>
      <c r="K585" s="575"/>
      <c r="L585" s="508" t="s">
        <v>1508</v>
      </c>
    </row>
    <row r="586" spans="1:12" s="93" customFormat="1" ht="34.5" customHeight="1">
      <c r="A586" s="440">
        <v>45868</v>
      </c>
      <c r="B586" s="444">
        <v>547</v>
      </c>
      <c r="C586" s="1026"/>
      <c r="D586" s="442" t="s">
        <v>1858</v>
      </c>
      <c r="E586" s="434">
        <v>2</v>
      </c>
      <c r="F586" s="442" t="s">
        <v>2223</v>
      </c>
      <c r="G586" s="434" t="s">
        <v>2097</v>
      </c>
      <c r="H586" s="436" t="s">
        <v>70</v>
      </c>
      <c r="I586" s="435" t="s">
        <v>53</v>
      </c>
      <c r="J586" s="593">
        <v>45875</v>
      </c>
      <c r="K586" s="575"/>
      <c r="L586" s="508" t="s">
        <v>1508</v>
      </c>
    </row>
    <row r="587" spans="1:12" s="93" customFormat="1" ht="34.5" customHeight="1">
      <c r="A587" s="440">
        <v>45868</v>
      </c>
      <c r="B587" s="444">
        <v>548</v>
      </c>
      <c r="C587" s="1026"/>
      <c r="D587" s="442" t="s">
        <v>1858</v>
      </c>
      <c r="E587" s="434">
        <v>2</v>
      </c>
      <c r="F587" s="442" t="s">
        <v>2224</v>
      </c>
      <c r="G587" s="434" t="s">
        <v>2098</v>
      </c>
      <c r="H587" s="436" t="s">
        <v>70</v>
      </c>
      <c r="I587" s="435" t="s">
        <v>2231</v>
      </c>
      <c r="J587" s="593">
        <v>45875</v>
      </c>
      <c r="K587" s="575"/>
      <c r="L587" s="508" t="s">
        <v>1508</v>
      </c>
    </row>
    <row r="588" spans="1:12" s="93" customFormat="1" ht="34.5" customHeight="1">
      <c r="A588" s="440">
        <v>45868</v>
      </c>
      <c r="B588" s="444">
        <v>549</v>
      </c>
      <c r="C588" s="1026"/>
      <c r="D588" s="442" t="s">
        <v>1858</v>
      </c>
      <c r="E588" s="434">
        <v>2</v>
      </c>
      <c r="F588" s="442" t="s">
        <v>2225</v>
      </c>
      <c r="G588" s="434" t="s">
        <v>2099</v>
      </c>
      <c r="H588" s="436" t="s">
        <v>2100</v>
      </c>
      <c r="I588" s="435" t="s">
        <v>75</v>
      </c>
      <c r="J588" s="593">
        <v>45875</v>
      </c>
      <c r="K588" s="575"/>
      <c r="L588" s="508" t="s">
        <v>1508</v>
      </c>
    </row>
    <row r="589" spans="1:12" s="93" customFormat="1" ht="34.5" customHeight="1">
      <c r="A589" s="440">
        <v>45868</v>
      </c>
      <c r="B589" s="444">
        <v>550</v>
      </c>
      <c r="C589" s="1025"/>
      <c r="D589" s="442" t="s">
        <v>1858</v>
      </c>
      <c r="E589" s="434">
        <v>2</v>
      </c>
      <c r="F589" s="442" t="s">
        <v>2226</v>
      </c>
      <c r="G589" s="434" t="s">
        <v>2101</v>
      </c>
      <c r="H589" s="436" t="s">
        <v>70</v>
      </c>
      <c r="I589" s="435" t="s">
        <v>75</v>
      </c>
      <c r="J589" s="593">
        <v>45875</v>
      </c>
      <c r="K589" s="575"/>
      <c r="L589" s="508" t="s">
        <v>1508</v>
      </c>
    </row>
    <row r="590" spans="1:12" s="93" customFormat="1" ht="34.5" customHeight="1">
      <c r="A590" s="440">
        <v>45869</v>
      </c>
      <c r="B590" s="444">
        <v>551</v>
      </c>
      <c r="C590" s="542"/>
      <c r="D590" s="442" t="s">
        <v>96</v>
      </c>
      <c r="E590" s="434">
        <v>2</v>
      </c>
      <c r="F590" s="442" t="s">
        <v>2216</v>
      </c>
      <c r="G590" s="434" t="s">
        <v>2217</v>
      </c>
      <c r="H590" s="436" t="s">
        <v>603</v>
      </c>
      <c r="I590" s="435" t="s">
        <v>56</v>
      </c>
      <c r="J590" s="593">
        <v>45879</v>
      </c>
      <c r="K590" s="435"/>
      <c r="L590" s="508" t="s">
        <v>1508</v>
      </c>
    </row>
    <row r="591" spans="1:12" s="93" customFormat="1" ht="40.5" customHeight="1">
      <c r="A591" s="440">
        <v>45880</v>
      </c>
      <c r="B591" s="444">
        <v>552</v>
      </c>
      <c r="C591" s="583"/>
      <c r="D591" s="442" t="s">
        <v>2238</v>
      </c>
      <c r="E591" s="434">
        <v>2</v>
      </c>
      <c r="F591" s="434" t="s">
        <v>2236</v>
      </c>
      <c r="G591" s="435" t="s">
        <v>2237</v>
      </c>
      <c r="H591" s="436" t="s">
        <v>253</v>
      </c>
      <c r="I591" s="435" t="s">
        <v>1357</v>
      </c>
      <c r="J591" s="593">
        <v>45885</v>
      </c>
      <c r="K591" s="575"/>
      <c r="L591" s="508" t="s">
        <v>1508</v>
      </c>
    </row>
    <row r="592" spans="1:12" s="93" customFormat="1" ht="34.5" customHeight="1">
      <c r="A592" s="440">
        <v>45888</v>
      </c>
      <c r="B592" s="444">
        <v>553</v>
      </c>
      <c r="C592" s="542"/>
      <c r="D592" s="442" t="s">
        <v>96</v>
      </c>
      <c r="E592" s="434">
        <v>2</v>
      </c>
      <c r="F592" s="442" t="s">
        <v>2240</v>
      </c>
      <c r="G592" s="434" t="s">
        <v>2229</v>
      </c>
      <c r="H592" s="436" t="s">
        <v>2228</v>
      </c>
      <c r="I592" s="435" t="s">
        <v>1357</v>
      </c>
      <c r="J592" s="593">
        <v>45882</v>
      </c>
      <c r="K592" s="435"/>
      <c r="L592" s="508" t="s">
        <v>1508</v>
      </c>
    </row>
    <row r="593" spans="1:12" s="93" customFormat="1" ht="40.5" customHeight="1">
      <c r="A593" s="440">
        <v>45838</v>
      </c>
      <c r="B593" s="444">
        <v>554</v>
      </c>
      <c r="C593" s="583"/>
      <c r="D593" s="442" t="s">
        <v>96</v>
      </c>
      <c r="E593" s="434">
        <v>6</v>
      </c>
      <c r="F593" s="434" t="s">
        <v>2201</v>
      </c>
      <c r="G593" s="435" t="s">
        <v>2202</v>
      </c>
      <c r="H593" s="436" t="s">
        <v>603</v>
      </c>
      <c r="I593" s="435" t="s">
        <v>1055</v>
      </c>
      <c r="J593" s="593">
        <v>45887</v>
      </c>
      <c r="K593" s="575"/>
      <c r="L593" s="508" t="s">
        <v>1508</v>
      </c>
    </row>
    <row r="594" spans="1:12" s="581" customFormat="1" ht="43.5" customHeight="1">
      <c r="A594" s="1005" t="s">
        <v>1801</v>
      </c>
      <c r="B594" s="1006"/>
      <c r="C594" s="1006"/>
      <c r="D594" s="1007"/>
      <c r="E594" s="561">
        <f>SUM(E581:E593)</f>
        <v>30</v>
      </c>
      <c r="F594" s="568"/>
      <c r="G594" s="565"/>
      <c r="H594" s="562"/>
      <c r="I594" s="568"/>
      <c r="J594" s="563"/>
      <c r="K594" s="568"/>
      <c r="L594" s="560"/>
    </row>
    <row r="595" spans="1:12" ht="37.5" customHeight="1">
      <c r="A595" s="1002" t="s">
        <v>2267</v>
      </c>
      <c r="B595" s="1003"/>
      <c r="C595" s="1003"/>
      <c r="D595" s="1003"/>
      <c r="E595" s="1004"/>
      <c r="F595" s="566"/>
      <c r="G595" s="564"/>
      <c r="H595" s="564"/>
      <c r="I595" s="566"/>
      <c r="J595" s="559"/>
      <c r="K595" s="567"/>
      <c r="L595" s="567"/>
    </row>
    <row r="596" spans="1:12" s="93" customFormat="1" ht="39" customHeight="1">
      <c r="A596" s="440">
        <v>45880</v>
      </c>
      <c r="B596" s="444">
        <v>555</v>
      </c>
      <c r="C596" s="1024" t="s">
        <v>2243</v>
      </c>
      <c r="D596" s="467" t="s">
        <v>1858</v>
      </c>
      <c r="E596" s="434">
        <v>3</v>
      </c>
      <c r="F596" s="442" t="s">
        <v>2234</v>
      </c>
      <c r="G596" s="434" t="s">
        <v>2235</v>
      </c>
      <c r="H596" s="442" t="s">
        <v>59</v>
      </c>
      <c r="I596" s="434" t="s">
        <v>75</v>
      </c>
      <c r="J596" s="593">
        <v>45904</v>
      </c>
      <c r="K596" s="575"/>
      <c r="L596" s="508" t="s">
        <v>1508</v>
      </c>
    </row>
    <row r="597" spans="1:12" s="93" customFormat="1" ht="39" customHeight="1">
      <c r="A597" s="440">
        <v>45880</v>
      </c>
      <c r="B597" s="444">
        <v>556</v>
      </c>
      <c r="C597" s="1025"/>
      <c r="D597" s="467" t="s">
        <v>1858</v>
      </c>
      <c r="E597" s="434">
        <v>3</v>
      </c>
      <c r="F597" s="442" t="s">
        <v>2234</v>
      </c>
      <c r="G597" s="434" t="s">
        <v>2235</v>
      </c>
      <c r="H597" s="442" t="s">
        <v>59</v>
      </c>
      <c r="I597" s="434" t="s">
        <v>53</v>
      </c>
      <c r="J597" s="593">
        <v>45904</v>
      </c>
      <c r="K597" s="575"/>
      <c r="L597" s="508" t="s">
        <v>1508</v>
      </c>
    </row>
    <row r="598" spans="1:12" s="93" customFormat="1" ht="39" customHeight="1">
      <c r="A598" s="440">
        <v>45897</v>
      </c>
      <c r="B598" s="444">
        <v>557</v>
      </c>
      <c r="C598" s="681" t="s">
        <v>2239</v>
      </c>
      <c r="D598" s="442" t="s">
        <v>2197</v>
      </c>
      <c r="E598" s="435">
        <v>1</v>
      </c>
      <c r="F598" s="434" t="s">
        <v>2195</v>
      </c>
      <c r="G598" s="442" t="s">
        <v>2196</v>
      </c>
      <c r="H598" s="434" t="s">
        <v>59</v>
      </c>
      <c r="I598" s="436" t="s">
        <v>578</v>
      </c>
      <c r="J598" s="593">
        <v>45910</v>
      </c>
      <c r="K598" s="575"/>
      <c r="L598" s="508" t="s">
        <v>1508</v>
      </c>
    </row>
    <row r="599" spans="1:12" s="93" customFormat="1" ht="39" customHeight="1">
      <c r="A599" s="440">
        <v>45905</v>
      </c>
      <c r="B599" s="444">
        <v>558</v>
      </c>
      <c r="C599" s="685" t="s">
        <v>2139</v>
      </c>
      <c r="D599" s="442" t="s">
        <v>177</v>
      </c>
      <c r="E599" s="435">
        <v>2</v>
      </c>
      <c r="F599" s="434" t="s">
        <v>2268</v>
      </c>
      <c r="G599" s="442" t="s">
        <v>965</v>
      </c>
      <c r="H599" s="434" t="s">
        <v>59</v>
      </c>
      <c r="I599" s="436" t="s">
        <v>578</v>
      </c>
      <c r="J599" s="593">
        <v>45913</v>
      </c>
      <c r="K599" s="575"/>
      <c r="L599" s="508" t="s">
        <v>1508</v>
      </c>
    </row>
    <row r="600" spans="1:12" s="93" customFormat="1" ht="39" customHeight="1">
      <c r="A600" s="440">
        <v>45888</v>
      </c>
      <c r="B600" s="444">
        <v>559</v>
      </c>
      <c r="C600" s="681"/>
      <c r="D600" s="442" t="s">
        <v>96</v>
      </c>
      <c r="E600" s="434">
        <v>2</v>
      </c>
      <c r="F600" s="434" t="s">
        <v>2198</v>
      </c>
      <c r="G600" s="442" t="s">
        <v>2199</v>
      </c>
      <c r="H600" s="434" t="s">
        <v>603</v>
      </c>
      <c r="I600" s="436" t="s">
        <v>1055</v>
      </c>
      <c r="J600" s="593">
        <v>45912</v>
      </c>
      <c r="K600" s="575"/>
      <c r="L600" s="508" t="s">
        <v>1508</v>
      </c>
    </row>
    <row r="601" spans="1:12" s="93" customFormat="1" ht="39" customHeight="1">
      <c r="A601" s="440">
        <v>45908</v>
      </c>
      <c r="B601" s="444">
        <v>560</v>
      </c>
      <c r="C601" s="681" t="s">
        <v>2270</v>
      </c>
      <c r="D601" s="442" t="s">
        <v>96</v>
      </c>
      <c r="E601" s="435">
        <v>1</v>
      </c>
      <c r="F601" s="434" t="s">
        <v>2269</v>
      </c>
      <c r="G601" s="442" t="s">
        <v>2011</v>
      </c>
      <c r="H601" s="434" t="s">
        <v>52</v>
      </c>
      <c r="I601" s="436" t="s">
        <v>56</v>
      </c>
      <c r="J601" s="593">
        <v>45920</v>
      </c>
      <c r="K601" s="435" t="s">
        <v>2281</v>
      </c>
      <c r="L601" s="548"/>
    </row>
    <row r="602" spans="1:12" s="93" customFormat="1" ht="39" customHeight="1">
      <c r="A602" s="440">
        <v>45891</v>
      </c>
      <c r="B602" s="444"/>
      <c r="C602" s="681" t="s">
        <v>2282</v>
      </c>
      <c r="D602" s="442" t="s">
        <v>96</v>
      </c>
      <c r="E602" s="435">
        <v>0</v>
      </c>
      <c r="F602" s="434" t="s">
        <v>1448</v>
      </c>
      <c r="G602" s="442" t="s">
        <v>2241</v>
      </c>
      <c r="H602" s="434" t="s">
        <v>1992</v>
      </c>
      <c r="I602" s="436" t="s">
        <v>1308</v>
      </c>
      <c r="J602" s="685" t="s">
        <v>2242</v>
      </c>
      <c r="K602" s="435" t="s">
        <v>2271</v>
      </c>
      <c r="L602" s="548"/>
    </row>
    <row r="603" spans="1:12" s="93" customFormat="1" ht="39" customHeight="1">
      <c r="A603" s="440">
        <v>45897</v>
      </c>
      <c r="B603" s="444">
        <v>561</v>
      </c>
      <c r="C603" s="681"/>
      <c r="D603" s="442" t="s">
        <v>2197</v>
      </c>
      <c r="E603" s="435">
        <v>2</v>
      </c>
      <c r="F603" s="434" t="s">
        <v>2194</v>
      </c>
      <c r="G603" s="442" t="s">
        <v>2193</v>
      </c>
      <c r="H603" s="434" t="s">
        <v>59</v>
      </c>
      <c r="I603" s="436" t="s">
        <v>578</v>
      </c>
      <c r="J603" s="593">
        <v>45922</v>
      </c>
      <c r="K603" s="435"/>
      <c r="L603" s="508" t="s">
        <v>1508</v>
      </c>
    </row>
    <row r="604" spans="1:12" s="93" customFormat="1" ht="39" customHeight="1">
      <c r="A604" s="440">
        <v>45904</v>
      </c>
      <c r="B604" s="444">
        <v>562</v>
      </c>
      <c r="C604" s="557" t="s">
        <v>2244</v>
      </c>
      <c r="D604" s="442" t="s">
        <v>2265</v>
      </c>
      <c r="E604" s="435">
        <v>2</v>
      </c>
      <c r="F604" s="434" t="s">
        <v>2283</v>
      </c>
      <c r="G604" s="442" t="s">
        <v>2245</v>
      </c>
      <c r="H604" s="434" t="s">
        <v>59</v>
      </c>
      <c r="I604" s="436" t="s">
        <v>53</v>
      </c>
      <c r="J604" s="593">
        <v>45923</v>
      </c>
      <c r="K604" s="435"/>
      <c r="L604" s="508" t="s">
        <v>1508</v>
      </c>
    </row>
    <row r="605" spans="1:12" s="93" customFormat="1" ht="39" customHeight="1">
      <c r="A605" s="440">
        <v>45904</v>
      </c>
      <c r="B605" s="444">
        <v>563</v>
      </c>
      <c r="C605" s="557" t="s">
        <v>2244</v>
      </c>
      <c r="D605" s="442" t="s">
        <v>2265</v>
      </c>
      <c r="E605" s="435">
        <v>2</v>
      </c>
      <c r="F605" s="434" t="s">
        <v>2284</v>
      </c>
      <c r="G605" s="442" t="s">
        <v>2245</v>
      </c>
      <c r="H605" s="434" t="s">
        <v>59</v>
      </c>
      <c r="I605" s="436" t="s">
        <v>53</v>
      </c>
      <c r="J605" s="593">
        <v>45923</v>
      </c>
      <c r="K605" s="435"/>
      <c r="L605" s="508" t="s">
        <v>1508</v>
      </c>
    </row>
    <row r="606" spans="1:12" s="93" customFormat="1" ht="39" customHeight="1">
      <c r="A606" s="440">
        <v>45904</v>
      </c>
      <c r="B606" s="444">
        <v>564</v>
      </c>
      <c r="C606" s="557" t="s">
        <v>2253</v>
      </c>
      <c r="D606" s="442" t="s">
        <v>2265</v>
      </c>
      <c r="E606" s="435">
        <v>2</v>
      </c>
      <c r="F606" s="434" t="s">
        <v>2252</v>
      </c>
      <c r="G606" s="442" t="s">
        <v>2254</v>
      </c>
      <c r="H606" s="434" t="s">
        <v>59</v>
      </c>
      <c r="I606" s="436" t="s">
        <v>1961</v>
      </c>
      <c r="J606" s="593">
        <v>45925</v>
      </c>
      <c r="K606" s="435"/>
      <c r="L606" s="508" t="s">
        <v>1508</v>
      </c>
    </row>
    <row r="607" spans="1:12" s="93" customFormat="1" ht="39" customHeight="1">
      <c r="A607" s="440">
        <v>45904</v>
      </c>
      <c r="B607" s="444">
        <v>565</v>
      </c>
      <c r="C607" s="557" t="s">
        <v>2247</v>
      </c>
      <c r="D607" s="442" t="s">
        <v>2265</v>
      </c>
      <c r="E607" s="435">
        <v>2</v>
      </c>
      <c r="F607" s="434" t="s">
        <v>2246</v>
      </c>
      <c r="G607" s="442" t="s">
        <v>2248</v>
      </c>
      <c r="H607" s="434" t="s">
        <v>59</v>
      </c>
      <c r="I607" s="436" t="s">
        <v>1961</v>
      </c>
      <c r="J607" s="593">
        <v>45926</v>
      </c>
      <c r="K607" s="435"/>
      <c r="L607" s="508" t="s">
        <v>1508</v>
      </c>
    </row>
    <row r="608" spans="1:12" s="93" customFormat="1" ht="39" customHeight="1">
      <c r="A608" s="440">
        <v>45904</v>
      </c>
      <c r="B608" s="444">
        <v>566</v>
      </c>
      <c r="C608" s="557" t="s">
        <v>2250</v>
      </c>
      <c r="D608" s="442" t="s">
        <v>2265</v>
      </c>
      <c r="E608" s="435">
        <v>2</v>
      </c>
      <c r="F608" s="434" t="s">
        <v>2249</v>
      </c>
      <c r="G608" s="442" t="s">
        <v>2251</v>
      </c>
      <c r="H608" s="434" t="s">
        <v>59</v>
      </c>
      <c r="I608" s="436" t="s">
        <v>1961</v>
      </c>
      <c r="J608" s="593">
        <v>45927</v>
      </c>
      <c r="K608" s="435"/>
      <c r="L608" s="508" t="s">
        <v>1508</v>
      </c>
    </row>
    <row r="609" spans="1:12" s="93" customFormat="1" ht="39" customHeight="1">
      <c r="A609" s="440">
        <v>45904</v>
      </c>
      <c r="B609" s="444">
        <v>567</v>
      </c>
      <c r="C609" s="557" t="s">
        <v>2256</v>
      </c>
      <c r="D609" s="442" t="s">
        <v>2265</v>
      </c>
      <c r="E609" s="435">
        <v>2</v>
      </c>
      <c r="F609" s="434" t="s">
        <v>2255</v>
      </c>
      <c r="G609" s="442" t="s">
        <v>2257</v>
      </c>
      <c r="H609" s="434" t="s">
        <v>59</v>
      </c>
      <c r="I609" s="436" t="s">
        <v>1961</v>
      </c>
      <c r="J609" s="593">
        <v>45929</v>
      </c>
      <c r="K609" s="435"/>
      <c r="L609" s="508" t="s">
        <v>1508</v>
      </c>
    </row>
    <row r="610" spans="1:12" s="93" customFormat="1" ht="39" customHeight="1">
      <c r="A610" s="440">
        <v>45917</v>
      </c>
      <c r="B610" s="444">
        <v>568</v>
      </c>
      <c r="C610" s="557"/>
      <c r="D610" s="442" t="s">
        <v>2197</v>
      </c>
      <c r="E610" s="435">
        <v>2</v>
      </c>
      <c r="F610" s="434" t="s">
        <v>2274</v>
      </c>
      <c r="G610" s="442" t="s">
        <v>2275</v>
      </c>
      <c r="H610" s="434" t="s">
        <v>2276</v>
      </c>
      <c r="I610" s="436" t="s">
        <v>578</v>
      </c>
      <c r="J610" s="593">
        <v>45927</v>
      </c>
      <c r="K610" s="435" t="s">
        <v>2281</v>
      </c>
      <c r="L610" s="548"/>
    </row>
    <row r="611" spans="1:12" s="93" customFormat="1" ht="39" customHeight="1">
      <c r="A611" s="440">
        <v>45904</v>
      </c>
      <c r="B611" s="444">
        <v>569</v>
      </c>
      <c r="C611" s="557" t="s">
        <v>2259</v>
      </c>
      <c r="D611" s="442" t="s">
        <v>2265</v>
      </c>
      <c r="E611" s="435">
        <v>2</v>
      </c>
      <c r="F611" s="434" t="s">
        <v>2258</v>
      </c>
      <c r="G611" s="442" t="s">
        <v>2260</v>
      </c>
      <c r="H611" s="434" t="s">
        <v>59</v>
      </c>
      <c r="I611" s="436" t="s">
        <v>1961</v>
      </c>
      <c r="J611" s="593">
        <v>45929</v>
      </c>
      <c r="K611" s="435"/>
      <c r="L611" s="508" t="s">
        <v>1508</v>
      </c>
    </row>
    <row r="612" spans="1:12" s="581" customFormat="1" ht="43.5" customHeight="1">
      <c r="A612" s="1005" t="s">
        <v>1801</v>
      </c>
      <c r="B612" s="1006"/>
      <c r="C612" s="1006"/>
      <c r="D612" s="1007"/>
      <c r="E612" s="561">
        <f ca="1">SUM(E596:E614)</f>
        <v>30</v>
      </c>
      <c r="F612" s="568"/>
      <c r="G612" s="565"/>
      <c r="H612" s="562"/>
      <c r="I612" s="568"/>
      <c r="J612" s="563"/>
      <c r="K612" s="568"/>
      <c r="L612" s="560"/>
    </row>
    <row r="613" spans="1:12" ht="37.5" customHeight="1">
      <c r="A613" s="1002" t="s">
        <v>2285</v>
      </c>
      <c r="B613" s="1003"/>
      <c r="C613" s="1003"/>
      <c r="D613" s="1003"/>
      <c r="E613" s="1004"/>
      <c r="F613" s="566"/>
      <c r="G613" s="564"/>
      <c r="H613" s="564"/>
      <c r="I613" s="566"/>
      <c r="J613" s="559"/>
      <c r="K613" s="567"/>
      <c r="L613" s="567"/>
    </row>
    <row r="614" spans="1:12" s="93" customFormat="1" ht="39" customHeight="1">
      <c r="A614" s="440">
        <v>45904</v>
      </c>
      <c r="B614" s="444">
        <v>570</v>
      </c>
      <c r="C614" s="557" t="s">
        <v>2262</v>
      </c>
      <c r="D614" s="442" t="s">
        <v>2265</v>
      </c>
      <c r="E614" s="435">
        <v>2</v>
      </c>
      <c r="F614" s="434" t="s">
        <v>2261</v>
      </c>
      <c r="G614" s="442" t="s">
        <v>2263</v>
      </c>
      <c r="H614" s="434" t="s">
        <v>59</v>
      </c>
      <c r="I614" s="436" t="s">
        <v>2264</v>
      </c>
      <c r="J614" s="593">
        <v>45937</v>
      </c>
      <c r="K614" s="435"/>
      <c r="L614" s="508" t="s">
        <v>1508</v>
      </c>
    </row>
    <row r="615" spans="1:12" s="93" customFormat="1" ht="39" customHeight="1">
      <c r="A615" s="440">
        <v>45922</v>
      </c>
      <c r="B615" s="444">
        <v>571</v>
      </c>
      <c r="C615" s="681"/>
      <c r="D615" s="442" t="s">
        <v>96</v>
      </c>
      <c r="E615" s="435">
        <v>2</v>
      </c>
      <c r="F615" s="434" t="s">
        <v>2277</v>
      </c>
      <c r="G615" s="442" t="s">
        <v>2273</v>
      </c>
      <c r="H615" s="434" t="s">
        <v>2278</v>
      </c>
      <c r="I615" s="436" t="s">
        <v>56</v>
      </c>
      <c r="J615" s="593">
        <v>45940</v>
      </c>
      <c r="K615" s="435" t="s">
        <v>2286</v>
      </c>
      <c r="L615" s="508" t="s">
        <v>1508</v>
      </c>
    </row>
    <row r="616" spans="1:12" s="93" customFormat="1" ht="39" customHeight="1">
      <c r="A616" s="440">
        <v>45929</v>
      </c>
      <c r="B616" s="444">
        <v>572</v>
      </c>
      <c r="C616" s="681"/>
      <c r="D616" s="442" t="s">
        <v>96</v>
      </c>
      <c r="E616" s="435">
        <v>2</v>
      </c>
      <c r="F616" s="434" t="s">
        <v>2216</v>
      </c>
      <c r="G616" s="442" t="s">
        <v>2217</v>
      </c>
      <c r="H616" s="434" t="s">
        <v>603</v>
      </c>
      <c r="I616" s="436" t="s">
        <v>56</v>
      </c>
      <c r="J616" s="593">
        <v>45939</v>
      </c>
      <c r="K616" s="435" t="s">
        <v>2287</v>
      </c>
      <c r="L616" s="508" t="s">
        <v>1508</v>
      </c>
    </row>
    <row r="617" spans="1:12" s="93" customFormat="1" ht="39" customHeight="1">
      <c r="A617" s="440">
        <v>45915</v>
      </c>
      <c r="B617" s="444">
        <v>573</v>
      </c>
      <c r="C617" s="557"/>
      <c r="D617" s="442" t="s">
        <v>96</v>
      </c>
      <c r="E617" s="435">
        <v>2</v>
      </c>
      <c r="F617" s="434" t="s">
        <v>2272</v>
      </c>
      <c r="G617" s="442" t="s">
        <v>2273</v>
      </c>
      <c r="H617" s="434" t="s">
        <v>59</v>
      </c>
      <c r="I617" s="436" t="s">
        <v>1961</v>
      </c>
      <c r="J617" s="593">
        <v>45943</v>
      </c>
      <c r="K617" s="435"/>
      <c r="L617" s="508" t="s">
        <v>1508</v>
      </c>
    </row>
    <row r="618" spans="1:12" s="93" customFormat="1" ht="39" customHeight="1">
      <c r="A618" s="440">
        <v>45917</v>
      </c>
      <c r="B618" s="444">
        <v>574</v>
      </c>
      <c r="C618" s="681" t="s">
        <v>2270</v>
      </c>
      <c r="D618" s="442" t="s">
        <v>96</v>
      </c>
      <c r="E618" s="435">
        <v>2</v>
      </c>
      <c r="F618" s="434" t="s">
        <v>1320</v>
      </c>
      <c r="G618" s="442" t="s">
        <v>1321</v>
      </c>
      <c r="H618" s="434" t="s">
        <v>603</v>
      </c>
      <c r="I618" s="436" t="s">
        <v>56</v>
      </c>
      <c r="J618" s="593">
        <v>45946</v>
      </c>
      <c r="K618" s="435"/>
      <c r="L618" s="548"/>
    </row>
    <row r="619" spans="1:12" s="93" customFormat="1" ht="39" customHeight="1">
      <c r="A619" s="440">
        <v>45924</v>
      </c>
      <c r="B619" s="444">
        <v>575</v>
      </c>
      <c r="C619" s="681"/>
      <c r="D619" s="442" t="s">
        <v>96</v>
      </c>
      <c r="E619" s="435">
        <v>1</v>
      </c>
      <c r="F619" s="434" t="s">
        <v>2279</v>
      </c>
      <c r="G619" s="442" t="s">
        <v>2280</v>
      </c>
      <c r="H619" s="434" t="s">
        <v>59</v>
      </c>
      <c r="I619" s="436" t="s">
        <v>56</v>
      </c>
      <c r="J619" s="593">
        <v>45953</v>
      </c>
      <c r="K619" s="435" t="s">
        <v>2281</v>
      </c>
      <c r="L619" s="548"/>
    </row>
    <row r="620" spans="1:12" s="93" customFormat="1" ht="39" customHeight="1">
      <c r="A620" s="440">
        <v>45959</v>
      </c>
      <c r="B620" s="444">
        <v>576</v>
      </c>
      <c r="C620" s="705"/>
      <c r="D620" s="442" t="s">
        <v>96</v>
      </c>
      <c r="E620" s="435">
        <v>2</v>
      </c>
      <c r="F620" s="434" t="s">
        <v>2190</v>
      </c>
      <c r="G620" s="442" t="s">
        <v>2191</v>
      </c>
      <c r="H620" s="434" t="s">
        <v>59</v>
      </c>
      <c r="I620" s="436" t="s">
        <v>56</v>
      </c>
      <c r="J620" s="593">
        <v>45966</v>
      </c>
      <c r="K620" s="435"/>
      <c r="L620" s="548"/>
    </row>
    <row r="621" spans="1:12" s="93" customFormat="1" ht="39" customHeight="1">
      <c r="A621" s="440">
        <v>45962</v>
      </c>
      <c r="B621" s="444">
        <v>577</v>
      </c>
      <c r="C621" s="705" t="s">
        <v>2325</v>
      </c>
      <c r="D621" s="442" t="s">
        <v>2324</v>
      </c>
      <c r="E621" s="435">
        <v>2</v>
      </c>
      <c r="F621" s="434" t="s">
        <v>2323</v>
      </c>
      <c r="G621" s="442" t="s">
        <v>685</v>
      </c>
      <c r="H621" s="434" t="s">
        <v>2319</v>
      </c>
      <c r="I621" s="436" t="s">
        <v>53</v>
      </c>
      <c r="J621" s="593">
        <v>45978</v>
      </c>
      <c r="K621" s="435" t="s">
        <v>2281</v>
      </c>
      <c r="L621" s="548"/>
    </row>
    <row r="622" spans="1:12" s="93" customFormat="1" ht="39" customHeight="1">
      <c r="A622" s="440">
        <v>45964</v>
      </c>
      <c r="B622" s="444">
        <v>578</v>
      </c>
      <c r="C622" s="705"/>
      <c r="D622" s="442" t="s">
        <v>52</v>
      </c>
      <c r="E622" s="435">
        <v>2</v>
      </c>
      <c r="F622" s="434" t="s">
        <v>2322</v>
      </c>
      <c r="G622" s="442" t="s">
        <v>95</v>
      </c>
      <c r="H622" s="434" t="s">
        <v>49</v>
      </c>
      <c r="I622" s="436" t="s">
        <v>56</v>
      </c>
      <c r="J622" s="593">
        <v>45979</v>
      </c>
      <c r="K622" s="435"/>
      <c r="L622" s="548"/>
    </row>
    <row r="623" spans="1:12" s="93" customFormat="1" ht="39" customHeight="1">
      <c r="A623" s="440">
        <v>45953</v>
      </c>
      <c r="B623" s="444">
        <v>579</v>
      </c>
      <c r="D623" s="442" t="s">
        <v>657</v>
      </c>
      <c r="E623" s="435">
        <v>1</v>
      </c>
      <c r="F623" s="434" t="s">
        <v>2304</v>
      </c>
      <c r="G623" s="442" t="s">
        <v>2303</v>
      </c>
      <c r="H623" s="434" t="s">
        <v>2305</v>
      </c>
      <c r="I623" s="436" t="s">
        <v>642</v>
      </c>
      <c r="J623" s="593">
        <v>45979</v>
      </c>
      <c r="K623" s="435"/>
      <c r="L623" s="548"/>
    </row>
    <row r="624" spans="1:12" s="93" customFormat="1" ht="39" customHeight="1">
      <c r="A624" s="440">
        <v>45953</v>
      </c>
      <c r="B624" s="444">
        <v>580</v>
      </c>
      <c r="C624" s="704"/>
      <c r="D624" s="442" t="s">
        <v>657</v>
      </c>
      <c r="E624" s="435">
        <v>1</v>
      </c>
      <c r="F624" s="434" t="s">
        <v>2302</v>
      </c>
      <c r="G624" s="442" t="s">
        <v>2301</v>
      </c>
      <c r="H624" s="434" t="s">
        <v>2305</v>
      </c>
      <c r="I624" s="436" t="s">
        <v>2300</v>
      </c>
      <c r="J624" s="593">
        <v>45981</v>
      </c>
      <c r="K624" s="435"/>
      <c r="L624" s="548"/>
    </row>
    <row r="625" spans="1:12" s="93" customFormat="1" ht="39" customHeight="1">
      <c r="A625" s="440">
        <v>45953</v>
      </c>
      <c r="B625" s="444">
        <v>581</v>
      </c>
      <c r="C625" s="704"/>
      <c r="D625" s="442" t="s">
        <v>657</v>
      </c>
      <c r="E625" s="435">
        <v>1</v>
      </c>
      <c r="F625" s="434" t="s">
        <v>258</v>
      </c>
      <c r="G625" s="442" t="s">
        <v>2299</v>
      </c>
      <c r="H625" s="434" t="s">
        <v>2305</v>
      </c>
      <c r="I625" s="436" t="s">
        <v>642</v>
      </c>
      <c r="J625" s="593">
        <v>45979</v>
      </c>
      <c r="K625" s="435"/>
      <c r="L625" s="548"/>
    </row>
    <row r="626" spans="1:12" s="93" customFormat="1" ht="39" customHeight="1">
      <c r="A626" s="440">
        <v>45953</v>
      </c>
      <c r="B626" s="444">
        <v>582</v>
      </c>
      <c r="C626" s="703" t="s">
        <v>2306</v>
      </c>
      <c r="D626" s="442" t="s">
        <v>657</v>
      </c>
      <c r="E626" s="435">
        <v>1</v>
      </c>
      <c r="F626" s="588" t="s">
        <v>2298</v>
      </c>
      <c r="G626" s="442" t="s">
        <v>2297</v>
      </c>
      <c r="H626" s="434" t="s">
        <v>2305</v>
      </c>
      <c r="I626" s="436" t="s">
        <v>2296</v>
      </c>
      <c r="J626" s="593">
        <v>45981</v>
      </c>
      <c r="K626" s="435"/>
      <c r="L626" s="548"/>
    </row>
    <row r="627" spans="1:12" s="93" customFormat="1" ht="39" customHeight="1">
      <c r="A627" s="440">
        <v>45953</v>
      </c>
      <c r="B627" s="444">
        <v>583</v>
      </c>
      <c r="C627" s="704"/>
      <c r="D627" s="442" t="s">
        <v>641</v>
      </c>
      <c r="E627" s="435">
        <v>1</v>
      </c>
      <c r="F627" s="434" t="s">
        <v>2295</v>
      </c>
      <c r="G627" s="442" t="s">
        <v>2294</v>
      </c>
      <c r="H627" s="434" t="s">
        <v>2305</v>
      </c>
      <c r="I627" s="436" t="s">
        <v>642</v>
      </c>
      <c r="J627" s="593">
        <v>45983</v>
      </c>
      <c r="K627" s="435"/>
      <c r="L627" s="548"/>
    </row>
    <row r="628" spans="1:12" s="93" customFormat="1" ht="39" customHeight="1">
      <c r="A628" s="440">
        <v>45953</v>
      </c>
      <c r="B628" s="444">
        <v>584</v>
      </c>
      <c r="C628" s="704"/>
      <c r="D628" s="442" t="s">
        <v>641</v>
      </c>
      <c r="E628" s="435">
        <v>1</v>
      </c>
      <c r="F628" s="434" t="s">
        <v>2293</v>
      </c>
      <c r="G628" s="442" t="s">
        <v>2292</v>
      </c>
      <c r="H628" s="434" t="s">
        <v>2305</v>
      </c>
      <c r="I628" s="436" t="s">
        <v>642</v>
      </c>
      <c r="J628" s="593">
        <v>45983</v>
      </c>
      <c r="K628" s="435"/>
      <c r="L628" s="548"/>
    </row>
    <row r="629" spans="1:12" s="93" customFormat="1" ht="39" customHeight="1">
      <c r="A629" s="440">
        <v>45973</v>
      </c>
      <c r="B629" s="444">
        <v>585</v>
      </c>
      <c r="C629" s="705"/>
      <c r="D629" s="442" t="s">
        <v>52</v>
      </c>
      <c r="E629" s="685">
        <v>2</v>
      </c>
      <c r="F629" s="434" t="s">
        <v>2328</v>
      </c>
      <c r="G629" s="442" t="s">
        <v>1206</v>
      </c>
      <c r="H629" s="434" t="s">
        <v>2330</v>
      </c>
      <c r="I629" s="436" t="s">
        <v>53</v>
      </c>
      <c r="J629" s="593">
        <v>45989</v>
      </c>
      <c r="K629" s="435"/>
      <c r="L629" s="548"/>
    </row>
    <row r="630" spans="1:12" s="93" customFormat="1" ht="39" customHeight="1">
      <c r="A630" s="440">
        <v>45973</v>
      </c>
      <c r="B630" s="444">
        <v>586</v>
      </c>
      <c r="C630" s="705"/>
      <c r="D630" s="442" t="s">
        <v>52</v>
      </c>
      <c r="E630" s="685">
        <v>2</v>
      </c>
      <c r="F630" s="434" t="s">
        <v>2329</v>
      </c>
      <c r="G630" s="442" t="s">
        <v>2331</v>
      </c>
      <c r="H630" s="434" t="s">
        <v>2330</v>
      </c>
      <c r="I630" s="436" t="s">
        <v>53</v>
      </c>
      <c r="J630" s="593">
        <v>45980</v>
      </c>
      <c r="K630" s="435"/>
      <c r="L630" s="548"/>
    </row>
    <row r="631" spans="1:12" s="93" customFormat="1" ht="39" customHeight="1">
      <c r="A631" s="440">
        <v>45974</v>
      </c>
      <c r="B631" s="444">
        <v>587</v>
      </c>
      <c r="C631" s="705"/>
      <c r="D631" s="442" t="s">
        <v>52</v>
      </c>
      <c r="E631" s="685">
        <v>2</v>
      </c>
      <c r="F631" s="434" t="s">
        <v>1890</v>
      </c>
      <c r="G631" s="442" t="s">
        <v>1891</v>
      </c>
      <c r="H631" s="434" t="s">
        <v>603</v>
      </c>
      <c r="I631" s="436" t="s">
        <v>56</v>
      </c>
      <c r="J631" s="593">
        <v>45981</v>
      </c>
      <c r="K631" s="435"/>
      <c r="L631" s="548"/>
    </row>
    <row r="632" spans="1:12" s="93" customFormat="1" ht="39" customHeight="1">
      <c r="A632" s="440">
        <v>45953</v>
      </c>
      <c r="B632" s="444">
        <v>588</v>
      </c>
      <c r="C632" s="705"/>
      <c r="D632" s="442" t="s">
        <v>641</v>
      </c>
      <c r="E632" s="435">
        <v>1</v>
      </c>
      <c r="F632" s="588" t="s">
        <v>2291</v>
      </c>
      <c r="G632" s="442" t="s">
        <v>2290</v>
      </c>
      <c r="H632" s="434" t="s">
        <v>2305</v>
      </c>
      <c r="I632" s="436" t="s">
        <v>642</v>
      </c>
      <c r="J632" s="593">
        <v>45985</v>
      </c>
      <c r="K632" s="435"/>
      <c r="L632" s="548"/>
    </row>
    <row r="633" spans="1:12" s="581" customFormat="1" ht="43.5" customHeight="1">
      <c r="A633" s="1005" t="s">
        <v>1801</v>
      </c>
      <c r="B633" s="1006"/>
      <c r="C633" s="1006"/>
      <c r="D633" s="1007"/>
      <c r="E633" s="719">
        <f>SUM(E614:E632)</f>
        <v>30</v>
      </c>
      <c r="F633" s="568"/>
      <c r="G633" s="565"/>
      <c r="H633" s="562"/>
      <c r="I633" s="568"/>
      <c r="J633" s="563"/>
      <c r="K633" s="568"/>
      <c r="L633" s="560"/>
    </row>
    <row r="634" spans="1:12" ht="37.5" customHeight="1">
      <c r="A634" s="1002" t="s">
        <v>2337</v>
      </c>
      <c r="B634" s="1003"/>
      <c r="C634" s="1003"/>
      <c r="D634" s="1003"/>
      <c r="E634" s="1004"/>
      <c r="F634" s="566"/>
      <c r="G634" s="564"/>
      <c r="H634" s="564"/>
      <c r="I634" s="566"/>
      <c r="J634" s="559"/>
      <c r="K634" s="567"/>
      <c r="L634" s="567"/>
    </row>
    <row r="635" spans="1:12" s="93" customFormat="1" ht="39" customHeight="1">
      <c r="A635" s="440">
        <v>45987</v>
      </c>
      <c r="B635" s="444">
        <v>589</v>
      </c>
      <c r="C635" s="705" t="s">
        <v>2140</v>
      </c>
      <c r="D635" s="442" t="s">
        <v>52</v>
      </c>
      <c r="E635" s="685">
        <v>2</v>
      </c>
      <c r="F635" s="434" t="s">
        <v>2010</v>
      </c>
      <c r="G635" s="442" t="s">
        <v>2011</v>
      </c>
      <c r="H635" s="434" t="s">
        <v>59</v>
      </c>
      <c r="I635" s="436" t="s">
        <v>53</v>
      </c>
      <c r="J635" s="593">
        <v>45997</v>
      </c>
      <c r="K635" s="435"/>
      <c r="L635" s="548"/>
    </row>
    <row r="636" spans="1:12" s="93" customFormat="1" ht="39" customHeight="1">
      <c r="A636" s="440">
        <v>45987</v>
      </c>
      <c r="B636" s="444">
        <v>590</v>
      </c>
      <c r="C636" s="705" t="s">
        <v>2140</v>
      </c>
      <c r="D636" s="442" t="s">
        <v>52</v>
      </c>
      <c r="E636" s="685">
        <v>1</v>
      </c>
      <c r="F636" s="434" t="s">
        <v>2126</v>
      </c>
      <c r="G636" s="442" t="s">
        <v>2127</v>
      </c>
      <c r="H636" s="434" t="s">
        <v>603</v>
      </c>
      <c r="I636" s="436" t="s">
        <v>53</v>
      </c>
      <c r="J636" s="593">
        <v>46001</v>
      </c>
      <c r="K636" s="435"/>
      <c r="L636" s="548"/>
    </row>
    <row r="637" spans="1:12" s="93" customFormat="1" ht="39" customHeight="1">
      <c r="A637" s="440">
        <v>45996</v>
      </c>
      <c r="B637" s="444">
        <v>591</v>
      </c>
      <c r="C637" s="705"/>
      <c r="D637" s="442" t="s">
        <v>52</v>
      </c>
      <c r="E637" s="685">
        <v>1</v>
      </c>
      <c r="F637" s="434" t="s">
        <v>2315</v>
      </c>
      <c r="G637" s="442" t="s">
        <v>89</v>
      </c>
      <c r="H637" s="434" t="s">
        <v>603</v>
      </c>
      <c r="I637" s="436" t="s">
        <v>53</v>
      </c>
      <c r="J637" s="593">
        <v>46002</v>
      </c>
      <c r="K637" s="435"/>
      <c r="L637" s="548"/>
    </row>
    <row r="638" spans="1:12" s="93" customFormat="1" ht="39" customHeight="1">
      <c r="A638" s="440">
        <v>45969</v>
      </c>
      <c r="B638" s="444">
        <v>592</v>
      </c>
      <c r="C638" s="705" t="s">
        <v>2270</v>
      </c>
      <c r="D638" s="442" t="s">
        <v>52</v>
      </c>
      <c r="E638" s="685">
        <v>2</v>
      </c>
      <c r="F638" s="434" t="s">
        <v>2272</v>
      </c>
      <c r="G638" s="442" t="s">
        <v>2273</v>
      </c>
      <c r="H638" s="434" t="s">
        <v>2327</v>
      </c>
      <c r="I638" s="436" t="s">
        <v>1961</v>
      </c>
      <c r="J638" s="593">
        <v>46002</v>
      </c>
      <c r="K638" s="435"/>
      <c r="L638" s="548"/>
    </row>
    <row r="639" spans="1:12" s="89" customFormat="1" ht="45.75" customHeight="1">
      <c r="A639" s="440">
        <v>45985</v>
      </c>
      <c r="B639" s="444">
        <v>593</v>
      </c>
      <c r="C639" s="705"/>
      <c r="D639" s="442" t="s">
        <v>52</v>
      </c>
      <c r="E639" s="685">
        <v>1</v>
      </c>
      <c r="F639" s="434" t="s">
        <v>2124</v>
      </c>
      <c r="G639" s="442" t="s">
        <v>2125</v>
      </c>
      <c r="H639" s="434" t="s">
        <v>603</v>
      </c>
      <c r="I639" s="436" t="s">
        <v>56</v>
      </c>
      <c r="J639" s="593">
        <v>46004</v>
      </c>
      <c r="K639" s="435"/>
      <c r="L639" s="548"/>
    </row>
    <row r="640" spans="1:12" s="89" customFormat="1" ht="45" customHeight="1">
      <c r="A640" s="440">
        <v>46008</v>
      </c>
      <c r="B640" s="444">
        <v>594</v>
      </c>
      <c r="C640" s="705" t="s">
        <v>2270</v>
      </c>
      <c r="D640" s="442" t="s">
        <v>52</v>
      </c>
      <c r="E640" s="685">
        <v>2</v>
      </c>
      <c r="F640" s="434" t="s">
        <v>2272</v>
      </c>
      <c r="G640" s="442" t="s">
        <v>2273</v>
      </c>
      <c r="H640" s="434" t="s">
        <v>2327</v>
      </c>
      <c r="I640" s="436" t="s">
        <v>1961</v>
      </c>
      <c r="J640" s="593">
        <v>46016</v>
      </c>
      <c r="K640" s="435"/>
      <c r="L640" s="548"/>
    </row>
    <row r="641" spans="1:12" s="93" customFormat="1" ht="45.75" customHeight="1">
      <c r="A641" s="440">
        <v>45943</v>
      </c>
      <c r="B641" s="444">
        <v>595</v>
      </c>
      <c r="C641" s="681"/>
      <c r="D641" s="442" t="s">
        <v>96</v>
      </c>
      <c r="E641" s="435">
        <v>2</v>
      </c>
      <c r="F641" s="434" t="s">
        <v>2288</v>
      </c>
      <c r="G641" s="442" t="s">
        <v>2289</v>
      </c>
      <c r="H641" s="434" t="s">
        <v>603</v>
      </c>
      <c r="I641" s="436" t="s">
        <v>56</v>
      </c>
      <c r="J641" s="593">
        <v>46011</v>
      </c>
      <c r="K641" s="435"/>
      <c r="L641" s="548"/>
    </row>
    <row r="642" spans="1:12" s="89" customFormat="1" ht="45.75" customHeight="1">
      <c r="A642" s="440">
        <v>45996</v>
      </c>
      <c r="B642" s="444">
        <v>596</v>
      </c>
      <c r="C642" s="705"/>
      <c r="D642" s="442" t="s">
        <v>2341</v>
      </c>
      <c r="E642" s="685">
        <v>2</v>
      </c>
      <c r="F642" s="434" t="s">
        <v>2338</v>
      </c>
      <c r="G642" s="442" t="s">
        <v>2339</v>
      </c>
      <c r="H642" s="434" t="s">
        <v>2340</v>
      </c>
      <c r="I642" s="436" t="s">
        <v>720</v>
      </c>
      <c r="J642" s="593">
        <v>46014</v>
      </c>
      <c r="K642" s="435"/>
      <c r="L642" s="548"/>
    </row>
    <row r="643" spans="1:12" s="581" customFormat="1" ht="43.5" customHeight="1">
      <c r="A643" s="1005" t="s">
        <v>1801</v>
      </c>
      <c r="B643" s="1006"/>
      <c r="C643" s="1006"/>
      <c r="D643" s="1007"/>
      <c r="E643" s="719">
        <f>SUM(E635:E642)</f>
        <v>13</v>
      </c>
      <c r="F643" s="568"/>
      <c r="G643" s="565"/>
      <c r="H643" s="562"/>
      <c r="I643" s="568"/>
      <c r="J643" s="563"/>
      <c r="K643" s="568"/>
      <c r="L643" s="560"/>
    </row>
    <row r="644" spans="1:12" ht="37.5" customHeight="1">
      <c r="A644" s="1018" t="s">
        <v>2381</v>
      </c>
      <c r="B644" s="1019"/>
      <c r="C644" s="1019"/>
      <c r="D644" s="1019"/>
      <c r="E644" s="1020"/>
      <c r="F644" s="739"/>
      <c r="G644" s="740"/>
      <c r="H644" s="740"/>
      <c r="I644" s="739"/>
      <c r="J644" s="741"/>
      <c r="K644" s="742"/>
      <c r="L644" s="742"/>
    </row>
    <row r="645" spans="1:12" s="89" customFormat="1" ht="45.75" customHeight="1">
      <c r="A645" s="440">
        <v>45887</v>
      </c>
      <c r="B645" s="444">
        <v>597</v>
      </c>
      <c r="C645" s="705"/>
      <c r="D645" s="442" t="s">
        <v>96</v>
      </c>
      <c r="E645" s="685">
        <v>2</v>
      </c>
      <c r="F645" s="434" t="s">
        <v>2158</v>
      </c>
      <c r="G645" s="442" t="s">
        <v>2159</v>
      </c>
      <c r="H645" s="434" t="s">
        <v>603</v>
      </c>
      <c r="I645" s="436" t="s">
        <v>748</v>
      </c>
      <c r="J645" s="593">
        <v>46025</v>
      </c>
      <c r="K645" s="435"/>
      <c r="L645" s="548"/>
    </row>
    <row r="646" spans="1:12" s="89" customFormat="1" ht="45.75" customHeight="1">
      <c r="A646" s="440">
        <v>45987</v>
      </c>
      <c r="B646" s="444">
        <v>598</v>
      </c>
      <c r="C646" s="705"/>
      <c r="D646" s="442" t="s">
        <v>52</v>
      </c>
      <c r="E646" s="685">
        <v>1</v>
      </c>
      <c r="F646" s="434" t="s">
        <v>2126</v>
      </c>
      <c r="G646" s="442" t="s">
        <v>2127</v>
      </c>
      <c r="H646" s="434" t="s">
        <v>603</v>
      </c>
      <c r="I646" s="436" t="s">
        <v>53</v>
      </c>
      <c r="J646" s="593">
        <v>46025</v>
      </c>
      <c r="K646" s="435" t="s">
        <v>2393</v>
      </c>
      <c r="L646" s="548"/>
    </row>
    <row r="647" spans="1:12" s="89" customFormat="1" ht="45.75" customHeight="1">
      <c r="A647" s="440">
        <v>46003</v>
      </c>
      <c r="B647" s="444">
        <v>599</v>
      </c>
      <c r="C647" s="705"/>
      <c r="D647" s="442" t="s">
        <v>52</v>
      </c>
      <c r="E647" s="685">
        <v>2</v>
      </c>
      <c r="F647" s="434" t="s">
        <v>1707</v>
      </c>
      <c r="G647" s="442" t="s">
        <v>1708</v>
      </c>
      <c r="H647" s="434" t="s">
        <v>2347</v>
      </c>
      <c r="I647" s="436" t="s">
        <v>56</v>
      </c>
      <c r="J647" s="593">
        <v>46024</v>
      </c>
      <c r="K647" s="435" t="s">
        <v>2394</v>
      </c>
      <c r="L647" s="548"/>
    </row>
    <row r="648" spans="1:12" s="93" customFormat="1" ht="45.75" customHeight="1">
      <c r="A648" s="440">
        <v>45996</v>
      </c>
      <c r="B648" s="444">
        <v>600</v>
      </c>
      <c r="C648" s="705"/>
      <c r="D648" s="442" t="s">
        <v>52</v>
      </c>
      <c r="E648" s="685">
        <v>1</v>
      </c>
      <c r="F648" s="434" t="s">
        <v>687</v>
      </c>
      <c r="G648" s="442" t="s">
        <v>2232</v>
      </c>
      <c r="H648" s="434" t="s">
        <v>603</v>
      </c>
      <c r="I648" s="436" t="s">
        <v>56</v>
      </c>
      <c r="J648" s="593">
        <v>46025</v>
      </c>
      <c r="K648" s="435" t="s">
        <v>2394</v>
      </c>
      <c r="L648" s="548"/>
    </row>
    <row r="649" spans="1:12" s="89" customFormat="1" ht="45.75" customHeight="1">
      <c r="A649" s="440">
        <v>46008</v>
      </c>
      <c r="B649" s="444">
        <v>601</v>
      </c>
      <c r="C649" s="728"/>
      <c r="D649" s="442" t="s">
        <v>52</v>
      </c>
      <c r="E649" s="685">
        <v>2</v>
      </c>
      <c r="F649" s="434" t="s">
        <v>2124</v>
      </c>
      <c r="G649" s="442" t="s">
        <v>2125</v>
      </c>
      <c r="H649" s="434" t="s">
        <v>603</v>
      </c>
      <c r="I649" s="436" t="s">
        <v>56</v>
      </c>
      <c r="J649" s="593">
        <v>46035</v>
      </c>
      <c r="K649" s="435" t="s">
        <v>2393</v>
      </c>
      <c r="L649" s="548"/>
    </row>
    <row r="650" spans="1:12" s="89" customFormat="1" ht="45.75" customHeight="1">
      <c r="A650" s="440">
        <v>46013</v>
      </c>
      <c r="B650" s="444">
        <v>602</v>
      </c>
      <c r="C650" s="728" t="s">
        <v>2348</v>
      </c>
      <c r="D650" s="442" t="s">
        <v>52</v>
      </c>
      <c r="E650" s="685">
        <v>1</v>
      </c>
      <c r="F650" s="434" t="s">
        <v>1956</v>
      </c>
      <c r="G650" s="442" t="s">
        <v>1434</v>
      </c>
      <c r="H650" s="434" t="s">
        <v>603</v>
      </c>
      <c r="I650" s="436" t="s">
        <v>748</v>
      </c>
      <c r="J650" s="593">
        <v>46032</v>
      </c>
      <c r="K650" s="435" t="s">
        <v>2393</v>
      </c>
      <c r="L650" s="548"/>
    </row>
    <row r="651" spans="1:12" s="93" customFormat="1" ht="39" customHeight="1">
      <c r="A651" s="440">
        <v>46037</v>
      </c>
      <c r="B651" s="444">
        <v>603</v>
      </c>
      <c r="C651" s="681" t="s">
        <v>2395</v>
      </c>
      <c r="D651" s="442" t="s">
        <v>2197</v>
      </c>
      <c r="E651" s="435">
        <v>1</v>
      </c>
      <c r="F651" s="434" t="s">
        <v>2194</v>
      </c>
      <c r="G651" s="442" t="s">
        <v>2193</v>
      </c>
      <c r="H651" s="434" t="s">
        <v>59</v>
      </c>
      <c r="I651" s="436" t="s">
        <v>578</v>
      </c>
      <c r="J651" s="593">
        <v>46035</v>
      </c>
      <c r="K651" s="435" t="s">
        <v>2394</v>
      </c>
      <c r="L651" s="508"/>
    </row>
    <row r="652" spans="1:12" s="89" customFormat="1" ht="45.75" customHeight="1">
      <c r="A652" s="440">
        <v>46031</v>
      </c>
      <c r="B652" s="444">
        <v>604</v>
      </c>
      <c r="C652" s="728"/>
      <c r="D652" s="442" t="s">
        <v>1858</v>
      </c>
      <c r="E652" s="685">
        <v>1</v>
      </c>
      <c r="F652" s="434" t="s">
        <v>2378</v>
      </c>
      <c r="G652" s="442" t="s">
        <v>2379</v>
      </c>
      <c r="H652" s="434" t="s">
        <v>2380</v>
      </c>
      <c r="I652" s="436" t="s">
        <v>53</v>
      </c>
      <c r="J652" s="593">
        <v>46042</v>
      </c>
      <c r="K652" s="435" t="s">
        <v>2394</v>
      </c>
      <c r="L652" s="548"/>
    </row>
    <row r="653" spans="1:12" s="581" customFormat="1" ht="43.5" customHeight="1">
      <c r="A653" s="1005" t="s">
        <v>1801</v>
      </c>
      <c r="B653" s="1006"/>
      <c r="C653" s="1006"/>
      <c r="D653" s="1007"/>
      <c r="E653" s="719">
        <f>SUM(E645:E652)</f>
        <v>11</v>
      </c>
      <c r="F653" s="568"/>
      <c r="G653" s="565"/>
      <c r="H653" s="562"/>
      <c r="I653" s="568"/>
      <c r="J653" s="563"/>
      <c r="K653" s="568"/>
      <c r="L653" s="560"/>
    </row>
    <row r="654" spans="1:12" ht="37.5" customHeight="1">
      <c r="A654" s="1018" t="s">
        <v>2500</v>
      </c>
      <c r="B654" s="1019"/>
      <c r="C654" s="1019"/>
      <c r="D654" s="1019"/>
      <c r="E654" s="1020"/>
      <c r="F654" s="739"/>
      <c r="G654" s="740"/>
      <c r="H654" s="740"/>
      <c r="I654" s="739"/>
      <c r="J654" s="741"/>
      <c r="K654" s="742"/>
      <c r="L654" s="742"/>
    </row>
    <row r="655" spans="1:12" s="89" customFormat="1" ht="42.75" customHeight="1">
      <c r="A655" s="440">
        <v>46061</v>
      </c>
      <c r="B655" s="444">
        <v>605</v>
      </c>
      <c r="C655" s="705"/>
      <c r="D655" s="442" t="s">
        <v>177</v>
      </c>
      <c r="E655" s="685">
        <v>4</v>
      </c>
      <c r="F655" s="434" t="s">
        <v>2499</v>
      </c>
      <c r="G655" s="442" t="s">
        <v>685</v>
      </c>
      <c r="H655" s="434" t="s">
        <v>2392</v>
      </c>
      <c r="I655" s="436" t="s">
        <v>53</v>
      </c>
      <c r="J655" s="593">
        <v>46063</v>
      </c>
      <c r="K655" s="435"/>
      <c r="L655" s="548"/>
    </row>
    <row r="656" spans="1:12" s="581" customFormat="1" ht="43.5" customHeight="1">
      <c r="A656" s="1005" t="s">
        <v>1801</v>
      </c>
      <c r="B656" s="1006"/>
      <c r="C656" s="1006"/>
      <c r="D656" s="1007"/>
      <c r="E656" s="719">
        <f>SUM(E655)</f>
        <v>4</v>
      </c>
      <c r="F656" s="568"/>
      <c r="G656" s="565"/>
      <c r="H656" s="562"/>
      <c r="I656" s="568"/>
      <c r="J656" s="563"/>
      <c r="K656" s="568"/>
      <c r="L656" s="560"/>
    </row>
    <row r="657" spans="1:12" ht="37.5" customHeight="1">
      <c r="A657" s="1018" t="s">
        <v>2501</v>
      </c>
      <c r="B657" s="1019"/>
      <c r="C657" s="1019"/>
      <c r="D657" s="1019"/>
      <c r="E657" s="1020"/>
      <c r="F657" s="739"/>
      <c r="G657" s="740"/>
      <c r="H657" s="740"/>
      <c r="I657" s="739"/>
      <c r="J657" s="741"/>
      <c r="K657" s="742"/>
      <c r="L657" s="742"/>
    </row>
    <row r="658" spans="1:12" s="89" customFormat="1" ht="42.75" customHeight="1">
      <c r="A658" s="440">
        <v>46086</v>
      </c>
      <c r="B658" s="444">
        <v>606</v>
      </c>
      <c r="C658" s="705"/>
      <c r="D658" s="442" t="s">
        <v>177</v>
      </c>
      <c r="E658" s="685">
        <v>1</v>
      </c>
      <c r="F658" s="434" t="s">
        <v>2412</v>
      </c>
      <c r="G658" s="442" t="s">
        <v>685</v>
      </c>
      <c r="H658" s="434" t="s">
        <v>884</v>
      </c>
      <c r="I658" s="436" t="s">
        <v>578</v>
      </c>
      <c r="J658" s="593">
        <v>46091</v>
      </c>
      <c r="K658" s="435"/>
      <c r="L658" s="548"/>
    </row>
    <row r="659" spans="1:12" s="89" customFormat="1" ht="42.75" customHeight="1">
      <c r="A659" s="440">
        <v>46093</v>
      </c>
      <c r="B659" s="444">
        <v>607</v>
      </c>
      <c r="C659" s="705"/>
      <c r="D659" s="442" t="s">
        <v>52</v>
      </c>
      <c r="E659" s="685">
        <v>2</v>
      </c>
      <c r="F659" s="434" t="s">
        <v>2322</v>
      </c>
      <c r="G659" s="442" t="s">
        <v>95</v>
      </c>
      <c r="H659" s="434" t="s">
        <v>59</v>
      </c>
      <c r="I659" s="436" t="s">
        <v>56</v>
      </c>
      <c r="J659" s="593">
        <v>46086</v>
      </c>
      <c r="K659" s="435"/>
      <c r="L659" s="548"/>
    </row>
    <row r="660" spans="1:12" s="89" customFormat="1" ht="42.75" customHeight="1">
      <c r="A660" s="440">
        <v>46093</v>
      </c>
      <c r="B660" s="444">
        <v>608</v>
      </c>
      <c r="C660" s="705"/>
      <c r="D660" s="442" t="s">
        <v>52</v>
      </c>
      <c r="E660" s="685">
        <v>1</v>
      </c>
      <c r="F660" s="434" t="s">
        <v>1363</v>
      </c>
      <c r="G660" s="442" t="s">
        <v>95</v>
      </c>
      <c r="H660" s="434" t="s">
        <v>59</v>
      </c>
      <c r="I660" s="436" t="s">
        <v>56</v>
      </c>
      <c r="J660" s="593">
        <v>46088</v>
      </c>
      <c r="K660" s="435"/>
      <c r="L660" s="548"/>
    </row>
    <row r="661" spans="1:12" s="89" customFormat="1" ht="42.75" customHeight="1">
      <c r="A661" s="440">
        <v>46085</v>
      </c>
      <c r="B661" s="444">
        <v>609</v>
      </c>
      <c r="C661" s="705"/>
      <c r="D661" s="442" t="s">
        <v>52</v>
      </c>
      <c r="E661" s="685">
        <v>1</v>
      </c>
      <c r="F661" s="434" t="s">
        <v>2414</v>
      </c>
      <c r="G661" s="442" t="s">
        <v>2497</v>
      </c>
      <c r="H661" s="434" t="s">
        <v>603</v>
      </c>
      <c r="I661" s="436" t="s">
        <v>56</v>
      </c>
      <c r="J661" s="593">
        <v>46088</v>
      </c>
      <c r="K661" s="435"/>
      <c r="L661" s="548"/>
    </row>
    <row r="662" spans="1:12" s="89" customFormat="1" ht="42.75" customHeight="1">
      <c r="A662" s="440">
        <v>46086</v>
      </c>
      <c r="B662" s="444">
        <v>610</v>
      </c>
      <c r="C662" s="705"/>
      <c r="D662" s="442" t="s">
        <v>52</v>
      </c>
      <c r="E662" s="685">
        <v>2</v>
      </c>
      <c r="F662" s="434" t="s">
        <v>1320</v>
      </c>
      <c r="G662" s="442" t="s">
        <v>1321</v>
      </c>
      <c r="H662" s="434" t="s">
        <v>603</v>
      </c>
      <c r="I662" s="436" t="s">
        <v>56</v>
      </c>
      <c r="J662" s="593">
        <v>46095</v>
      </c>
      <c r="K662" s="435"/>
      <c r="L662" s="548"/>
    </row>
    <row r="663" spans="1:12" s="89" customFormat="1" ht="42.75" customHeight="1">
      <c r="A663" s="440">
        <v>46086</v>
      </c>
      <c r="B663" s="444">
        <v>611</v>
      </c>
      <c r="C663" s="705"/>
      <c r="D663" s="442" t="s">
        <v>52</v>
      </c>
      <c r="E663" s="685">
        <v>1</v>
      </c>
      <c r="F663" s="434" t="s">
        <v>2483</v>
      </c>
      <c r="G663" s="442" t="s">
        <v>1230</v>
      </c>
      <c r="H663" s="434" t="s">
        <v>59</v>
      </c>
      <c r="I663" s="436" t="s">
        <v>53</v>
      </c>
      <c r="J663" s="593">
        <v>46092</v>
      </c>
      <c r="K663" s="435"/>
      <c r="L663" s="548"/>
    </row>
    <row r="664" spans="1:12" s="89" customFormat="1" ht="42.75" customHeight="1">
      <c r="A664" s="440">
        <v>46086</v>
      </c>
      <c r="B664" s="444">
        <v>612</v>
      </c>
      <c r="C664" s="705"/>
      <c r="D664" s="442" t="s">
        <v>177</v>
      </c>
      <c r="E664" s="685">
        <v>1</v>
      </c>
      <c r="F664" s="434" t="s">
        <v>2557</v>
      </c>
      <c r="G664" s="442" t="s">
        <v>685</v>
      </c>
      <c r="H664" s="434" t="s">
        <v>2491</v>
      </c>
      <c r="I664" s="436" t="s">
        <v>179</v>
      </c>
      <c r="J664" s="593">
        <v>46093</v>
      </c>
      <c r="K664" s="435"/>
      <c r="L664" s="548"/>
    </row>
    <row r="665" spans="1:12" s="89" customFormat="1" ht="42.75" customHeight="1">
      <c r="A665" s="440">
        <v>46094</v>
      </c>
      <c r="B665" s="444">
        <v>613</v>
      </c>
      <c r="C665" s="705"/>
      <c r="D665" s="442" t="s">
        <v>52</v>
      </c>
      <c r="E665" s="685">
        <v>2</v>
      </c>
      <c r="F665" s="434" t="s">
        <v>2558</v>
      </c>
      <c r="G665" s="442" t="s">
        <v>2559</v>
      </c>
      <c r="H665" s="434" t="s">
        <v>59</v>
      </c>
      <c r="I665" s="436" t="s">
        <v>56</v>
      </c>
      <c r="J665" s="593">
        <v>46098</v>
      </c>
      <c r="K665" s="435"/>
      <c r="L665" s="548"/>
    </row>
    <row r="666" spans="1:12" s="89" customFormat="1" ht="42.75" customHeight="1">
      <c r="A666" s="440">
        <v>46086</v>
      </c>
      <c r="B666" s="444">
        <v>614</v>
      </c>
      <c r="C666" s="705"/>
      <c r="D666" s="442" t="s">
        <v>177</v>
      </c>
      <c r="E666" s="685">
        <v>1</v>
      </c>
      <c r="F666" s="434" t="s">
        <v>2498</v>
      </c>
      <c r="G666" s="442" t="s">
        <v>1304</v>
      </c>
      <c r="H666" s="434" t="s">
        <v>2880</v>
      </c>
      <c r="I666" s="436" t="s">
        <v>578</v>
      </c>
      <c r="J666" s="593">
        <v>46088</v>
      </c>
      <c r="K666" s="435"/>
      <c r="L666" s="548"/>
    </row>
    <row r="667" spans="1:12" s="581" customFormat="1" ht="43.5" customHeight="1">
      <c r="A667" s="1005" t="s">
        <v>1801</v>
      </c>
      <c r="B667" s="1006"/>
      <c r="C667" s="1006"/>
      <c r="D667" s="1007"/>
      <c r="E667" s="719">
        <f>SUM(E658:E666)</f>
        <v>12</v>
      </c>
      <c r="F667" s="568"/>
      <c r="G667" s="565"/>
      <c r="H667" s="562"/>
      <c r="I667" s="568"/>
      <c r="J667" s="563"/>
      <c r="K667" s="568"/>
      <c r="L667" s="560"/>
    </row>
    <row r="668" spans="1:12" ht="37.5" customHeight="1">
      <c r="A668" s="1018" t="s">
        <v>3286</v>
      </c>
      <c r="B668" s="1019"/>
      <c r="C668" s="1019"/>
      <c r="D668" s="1019"/>
      <c r="E668" s="1020"/>
      <c r="F668" s="739"/>
      <c r="G668" s="740"/>
      <c r="H668" s="740"/>
      <c r="I668" s="739"/>
      <c r="J668" s="741"/>
      <c r="K668" s="742"/>
      <c r="L668" s="742"/>
    </row>
    <row r="669" spans="1:12" s="89" customFormat="1" ht="42.75" customHeight="1">
      <c r="A669" s="440">
        <v>46109</v>
      </c>
      <c r="B669" s="444">
        <v>615</v>
      </c>
      <c r="C669" s="705"/>
      <c r="D669" s="442" t="s">
        <v>657</v>
      </c>
      <c r="E669" s="685">
        <v>2</v>
      </c>
      <c r="F669" s="685" t="s">
        <v>2989</v>
      </c>
      <c r="G669" s="434" t="s">
        <v>2776</v>
      </c>
      <c r="H669" s="442" t="s">
        <v>654</v>
      </c>
      <c r="I669" s="434" t="s">
        <v>578</v>
      </c>
      <c r="J669" s="593">
        <v>46114</v>
      </c>
      <c r="K669" s="435"/>
      <c r="L669" s="548"/>
    </row>
    <row r="670" spans="1:12" s="89" customFormat="1" ht="42.75" customHeight="1">
      <c r="A670" s="440">
        <v>46109</v>
      </c>
      <c r="B670" s="444">
        <v>616</v>
      </c>
      <c r="C670" s="705"/>
      <c r="D670" s="442" t="s">
        <v>657</v>
      </c>
      <c r="E670" s="685">
        <v>2</v>
      </c>
      <c r="F670" s="685" t="s">
        <v>2990</v>
      </c>
      <c r="G670" s="434" t="s">
        <v>2638</v>
      </c>
      <c r="H670" s="442" t="s">
        <v>654</v>
      </c>
      <c r="I670" s="434" t="s">
        <v>578</v>
      </c>
      <c r="J670" s="593">
        <v>46114</v>
      </c>
      <c r="K670" s="435"/>
      <c r="L670" s="548"/>
    </row>
    <row r="671" spans="1:12" s="89" customFormat="1" ht="42.75" customHeight="1">
      <c r="A671" s="440">
        <v>46109</v>
      </c>
      <c r="B671" s="444">
        <v>617</v>
      </c>
      <c r="C671" s="705"/>
      <c r="D671" s="442" t="s">
        <v>657</v>
      </c>
      <c r="E671" s="685">
        <v>2</v>
      </c>
      <c r="F671" s="685" t="s">
        <v>2991</v>
      </c>
      <c r="G671" s="434" t="s">
        <v>2618</v>
      </c>
      <c r="H671" s="442" t="s">
        <v>2920</v>
      </c>
      <c r="I671" s="434" t="s">
        <v>578</v>
      </c>
      <c r="J671" s="593">
        <v>46114</v>
      </c>
      <c r="K671" s="435"/>
      <c r="L671" s="548"/>
    </row>
    <row r="672" spans="1:12" s="89" customFormat="1" ht="42.75" customHeight="1">
      <c r="A672" s="440">
        <v>46109</v>
      </c>
      <c r="B672" s="444">
        <v>618</v>
      </c>
      <c r="C672" s="705"/>
      <c r="D672" s="442" t="s">
        <v>657</v>
      </c>
      <c r="E672" s="685">
        <v>2</v>
      </c>
      <c r="F672" s="685" t="s">
        <v>2992</v>
      </c>
      <c r="G672" s="434" t="s">
        <v>2599</v>
      </c>
      <c r="H672" s="442" t="s">
        <v>2993</v>
      </c>
      <c r="I672" s="434" t="s">
        <v>2994</v>
      </c>
      <c r="J672" s="593">
        <v>46114</v>
      </c>
      <c r="K672" s="435"/>
      <c r="L672" s="548"/>
    </row>
    <row r="673" spans="1:12" s="89" customFormat="1" ht="42.75" customHeight="1">
      <c r="A673" s="440">
        <v>46108</v>
      </c>
      <c r="B673" s="444">
        <v>619</v>
      </c>
      <c r="C673" s="705"/>
      <c r="D673" s="442" t="s">
        <v>52</v>
      </c>
      <c r="E673" s="685">
        <v>2</v>
      </c>
      <c r="F673" s="434" t="s">
        <v>2878</v>
      </c>
      <c r="G673" s="442" t="s">
        <v>2879</v>
      </c>
      <c r="H673" s="434" t="s">
        <v>59</v>
      </c>
      <c r="I673" s="436" t="s">
        <v>56</v>
      </c>
      <c r="J673" s="593">
        <v>46122</v>
      </c>
      <c r="K673" s="435"/>
      <c r="L673" s="548"/>
    </row>
    <row r="674" spans="1:12" s="89" customFormat="1" ht="42.75" customHeight="1">
      <c r="A674" s="440">
        <v>46126</v>
      </c>
      <c r="B674" s="444">
        <v>620</v>
      </c>
      <c r="C674" s="705"/>
      <c r="D674" s="442" t="s">
        <v>52</v>
      </c>
      <c r="E674" s="685">
        <v>1</v>
      </c>
      <c r="F674" s="434" t="s">
        <v>2272</v>
      </c>
      <c r="G674" s="442" t="s">
        <v>89</v>
      </c>
      <c r="H674" s="434" t="s">
        <v>59</v>
      </c>
      <c r="I674" s="436" t="s">
        <v>1961</v>
      </c>
      <c r="J674" s="593">
        <v>46128</v>
      </c>
      <c r="K674" s="435"/>
      <c r="L674" s="548"/>
    </row>
    <row r="675" spans="1:12" s="89" customFormat="1" ht="42.75" customHeight="1">
      <c r="A675" s="440">
        <v>46126</v>
      </c>
      <c r="B675" s="444">
        <v>621</v>
      </c>
      <c r="C675" s="705"/>
      <c r="D675" s="442" t="s">
        <v>52</v>
      </c>
      <c r="E675" s="685">
        <v>2</v>
      </c>
      <c r="F675" s="434" t="s">
        <v>2010</v>
      </c>
      <c r="G675" s="442" t="s">
        <v>95</v>
      </c>
      <c r="H675" s="434" t="s">
        <v>59</v>
      </c>
      <c r="I675" s="436" t="s">
        <v>53</v>
      </c>
      <c r="J675" s="548">
        <v>46134</v>
      </c>
      <c r="K675" s="435"/>
      <c r="L675" s="548"/>
    </row>
    <row r="676" spans="1:12" s="89" customFormat="1" ht="42.75" customHeight="1">
      <c r="A676" s="440">
        <v>46128</v>
      </c>
      <c r="B676" s="444">
        <v>622</v>
      </c>
      <c r="C676" s="705"/>
      <c r="D676" s="434" t="s">
        <v>2265</v>
      </c>
      <c r="E676" s="685">
        <v>1</v>
      </c>
      <c r="F676" s="442" t="s">
        <v>3067</v>
      </c>
      <c r="G676" s="434" t="s">
        <v>3068</v>
      </c>
      <c r="H676" s="434" t="s">
        <v>59</v>
      </c>
      <c r="I676" s="436" t="s">
        <v>53</v>
      </c>
      <c r="J676" s="548">
        <v>46140</v>
      </c>
      <c r="K676" s="435"/>
      <c r="L676" s="548"/>
    </row>
    <row r="677" spans="1:12" s="89" customFormat="1" ht="42.75" customHeight="1">
      <c r="A677" s="440">
        <v>46130</v>
      </c>
      <c r="B677" s="444">
        <v>623</v>
      </c>
      <c r="C677" s="705" t="s">
        <v>3073</v>
      </c>
      <c r="D677" s="434" t="s">
        <v>2265</v>
      </c>
      <c r="E677" s="685">
        <v>3</v>
      </c>
      <c r="F677" s="442" t="s">
        <v>3072</v>
      </c>
      <c r="G677" s="434" t="s">
        <v>2254</v>
      </c>
      <c r="H677" s="434" t="s">
        <v>3074</v>
      </c>
      <c r="I677" s="436" t="s">
        <v>3075</v>
      </c>
      <c r="J677" s="548">
        <v>46141</v>
      </c>
      <c r="K677" s="435"/>
      <c r="L677" s="548"/>
    </row>
    <row r="678" spans="1:12" s="89" customFormat="1" ht="42.75" customHeight="1">
      <c r="A678" s="440">
        <v>46130</v>
      </c>
      <c r="B678" s="444">
        <v>624</v>
      </c>
      <c r="C678" s="705" t="s">
        <v>3077</v>
      </c>
      <c r="D678" s="434" t="s">
        <v>2265</v>
      </c>
      <c r="E678" s="685">
        <v>3</v>
      </c>
      <c r="F678" s="442" t="s">
        <v>3076</v>
      </c>
      <c r="G678" s="434" t="s">
        <v>2257</v>
      </c>
      <c r="H678" s="434" t="s">
        <v>3074</v>
      </c>
      <c r="I678" s="436" t="s">
        <v>3075</v>
      </c>
      <c r="J678" s="548">
        <v>46141</v>
      </c>
      <c r="K678" s="435"/>
      <c r="L678" s="548"/>
    </row>
    <row r="679" spans="1:12" s="89" customFormat="1" ht="42.75" customHeight="1">
      <c r="A679" s="440">
        <v>46130</v>
      </c>
      <c r="B679" s="444">
        <v>625</v>
      </c>
      <c r="C679" s="705" t="s">
        <v>3079</v>
      </c>
      <c r="D679" s="434" t="s">
        <v>2265</v>
      </c>
      <c r="E679" s="685">
        <v>3</v>
      </c>
      <c r="F679" s="442" t="s">
        <v>3078</v>
      </c>
      <c r="G679" s="434" t="s">
        <v>2260</v>
      </c>
      <c r="H679" s="434" t="s">
        <v>3074</v>
      </c>
      <c r="I679" s="436" t="s">
        <v>3075</v>
      </c>
      <c r="J679" s="548">
        <v>46136</v>
      </c>
      <c r="K679" s="435"/>
      <c r="L679" s="548"/>
    </row>
    <row r="680" spans="1:12" s="89" customFormat="1" ht="42.75" customHeight="1">
      <c r="A680" s="440">
        <v>46130</v>
      </c>
      <c r="B680" s="444">
        <v>626</v>
      </c>
      <c r="C680" s="705" t="s">
        <v>3081</v>
      </c>
      <c r="D680" s="434" t="s">
        <v>2265</v>
      </c>
      <c r="E680" s="685">
        <v>3</v>
      </c>
      <c r="F680" s="442" t="s">
        <v>3080</v>
      </c>
      <c r="G680" s="434" t="s">
        <v>2248</v>
      </c>
      <c r="H680" s="434" t="s">
        <v>3074</v>
      </c>
      <c r="I680" s="436" t="s">
        <v>3082</v>
      </c>
      <c r="J680" s="548">
        <v>46139</v>
      </c>
      <c r="K680" s="435"/>
      <c r="L680" s="548"/>
    </row>
    <row r="681" spans="1:12" s="89" customFormat="1" ht="42.75" customHeight="1">
      <c r="A681" s="440">
        <v>46130</v>
      </c>
      <c r="B681" s="444">
        <v>627</v>
      </c>
      <c r="C681" s="705" t="s">
        <v>3084</v>
      </c>
      <c r="D681" s="434" t="s">
        <v>2265</v>
      </c>
      <c r="E681" s="685">
        <v>3</v>
      </c>
      <c r="F681" s="442" t="s">
        <v>3083</v>
      </c>
      <c r="G681" s="434" t="s">
        <v>2251</v>
      </c>
      <c r="H681" s="434" t="s">
        <v>3074</v>
      </c>
      <c r="I681" s="436" t="s">
        <v>3082</v>
      </c>
      <c r="J681" s="548">
        <v>46137</v>
      </c>
      <c r="K681" s="435"/>
      <c r="L681" s="548"/>
    </row>
    <row r="682" spans="1:12" s="89" customFormat="1" ht="42.75" customHeight="1">
      <c r="A682" s="440">
        <v>46130</v>
      </c>
      <c r="B682" s="444">
        <v>628</v>
      </c>
      <c r="C682" s="705" t="s">
        <v>3090</v>
      </c>
      <c r="D682" s="434" t="s">
        <v>2265</v>
      </c>
      <c r="E682" s="685">
        <v>3</v>
      </c>
      <c r="F682" s="442" t="s">
        <v>3085</v>
      </c>
      <c r="G682" s="434" t="s">
        <v>2263</v>
      </c>
      <c r="H682" s="434" t="s">
        <v>3086</v>
      </c>
      <c r="I682" s="436" t="s">
        <v>3087</v>
      </c>
      <c r="J682" s="548">
        <v>46141</v>
      </c>
      <c r="K682" s="435"/>
      <c r="L682" s="548"/>
    </row>
    <row r="683" spans="1:12" s="581" customFormat="1" ht="43.5" customHeight="1">
      <c r="A683" s="1005" t="s">
        <v>1801</v>
      </c>
      <c r="B683" s="1006"/>
      <c r="C683" s="1006"/>
      <c r="D683" s="1007"/>
      <c r="E683" s="719">
        <f>SUM(E669:E682)</f>
        <v>32</v>
      </c>
      <c r="F683" s="568"/>
      <c r="G683" s="565"/>
      <c r="H683" s="562"/>
      <c r="I683" s="568"/>
      <c r="J683" s="563"/>
      <c r="K683" s="568"/>
      <c r="L683" s="560"/>
    </row>
    <row r="684" spans="1:12" ht="37.5" customHeight="1">
      <c r="A684" s="1018" t="s">
        <v>3287</v>
      </c>
      <c r="B684" s="1019"/>
      <c r="C684" s="1019"/>
      <c r="D684" s="1019"/>
      <c r="E684" s="1020"/>
      <c r="F684" s="739"/>
      <c r="G684" s="740"/>
      <c r="H684" s="740"/>
      <c r="I684" s="739"/>
      <c r="J684" s="741"/>
      <c r="K684" s="742"/>
      <c r="L684" s="742"/>
    </row>
    <row r="685" spans="1:12" s="89" customFormat="1" ht="42.75" customHeight="1">
      <c r="A685" s="440">
        <v>46130</v>
      </c>
      <c r="B685" s="444">
        <v>629</v>
      </c>
      <c r="C685" s="705" t="s">
        <v>3089</v>
      </c>
      <c r="D685" s="434" t="s">
        <v>2265</v>
      </c>
      <c r="E685" s="685">
        <v>3</v>
      </c>
      <c r="F685" s="442" t="s">
        <v>3088</v>
      </c>
      <c r="G685" s="434" t="s">
        <v>2245</v>
      </c>
      <c r="H685" s="434" t="s">
        <v>3074</v>
      </c>
      <c r="I685" s="436" t="s">
        <v>53</v>
      </c>
      <c r="J685" s="548">
        <v>46146</v>
      </c>
      <c r="K685" s="435"/>
      <c r="L685" s="548"/>
    </row>
    <row r="686" spans="1:12" s="89" customFormat="1" ht="42.75" customHeight="1">
      <c r="A686" s="440">
        <v>46132</v>
      </c>
      <c r="B686" s="444">
        <v>630</v>
      </c>
      <c r="C686" s="705" t="s">
        <v>3097</v>
      </c>
      <c r="D686" s="434" t="s">
        <v>657</v>
      </c>
      <c r="E686" s="685">
        <v>1</v>
      </c>
      <c r="F686" s="685" t="s">
        <v>2611</v>
      </c>
      <c r="G686" s="442" t="s">
        <v>3094</v>
      </c>
      <c r="H686" s="434" t="s">
        <v>3096</v>
      </c>
      <c r="I686" s="434" t="s">
        <v>3095</v>
      </c>
      <c r="J686" s="593">
        <v>46151</v>
      </c>
      <c r="K686" s="435"/>
      <c r="L686" s="548"/>
    </row>
    <row r="687" spans="1:12" s="89" customFormat="1" ht="42.75" customHeight="1">
      <c r="A687" s="440">
        <v>46129</v>
      </c>
      <c r="B687" s="444">
        <v>631</v>
      </c>
      <c r="C687" s="705"/>
      <c r="D687" s="442" t="s">
        <v>52</v>
      </c>
      <c r="E687" s="685">
        <v>1</v>
      </c>
      <c r="F687" s="685" t="s">
        <v>2409</v>
      </c>
      <c r="G687" s="442" t="s">
        <v>2497</v>
      </c>
      <c r="H687" s="434" t="s">
        <v>59</v>
      </c>
      <c r="I687" s="434" t="s">
        <v>56</v>
      </c>
      <c r="J687" s="593">
        <v>46153</v>
      </c>
      <c r="K687" s="435"/>
      <c r="L687" s="548"/>
    </row>
    <row r="688" spans="1:12" s="89" customFormat="1" ht="42.75" customHeight="1">
      <c r="A688" s="440">
        <v>46129</v>
      </c>
      <c r="B688" s="444">
        <v>632</v>
      </c>
      <c r="C688" s="705"/>
      <c r="D688" s="442" t="s">
        <v>52</v>
      </c>
      <c r="E688" s="685">
        <v>1</v>
      </c>
      <c r="F688" s="685" t="s">
        <v>2866</v>
      </c>
      <c r="G688" s="442" t="s">
        <v>2497</v>
      </c>
      <c r="H688" s="434" t="s">
        <v>3100</v>
      </c>
      <c r="I688" s="434" t="s">
        <v>56</v>
      </c>
      <c r="J688" s="593">
        <v>46153</v>
      </c>
      <c r="K688" s="435"/>
      <c r="L688" s="548"/>
    </row>
  </sheetData>
  <protectedRanges>
    <protectedRange sqref="E451" name="Range1_22_3_3_3_1_1_1_1_1_1_3_2_1_2_1_1_1_1_1_1_1_1_1_1_2_5_5"/>
    <protectedRange sqref="E622" name="Range1_22_3_3_3_1_1_1_1_1_1_3_2_1_2_1_1_1_1_1_1_1_1_1_1_2_5_5_1"/>
  </protectedRanges>
  <autoFilter ref="A1:X619" xr:uid="{F9C45E00-4F0B-47EF-954E-63BDA7C5550C}">
    <filterColumn colId="10" showButton="0"/>
  </autoFilter>
  <mergeCells count="69">
    <mergeCell ref="A683:D683"/>
    <mergeCell ref="A668:E668"/>
    <mergeCell ref="C471:C475"/>
    <mergeCell ref="C467:C469"/>
    <mergeCell ref="A667:D667"/>
    <mergeCell ref="C480:C481"/>
    <mergeCell ref="A483:D483"/>
    <mergeCell ref="C476:C477"/>
    <mergeCell ref="A484:E484"/>
    <mergeCell ref="A513:D513"/>
    <mergeCell ref="A494:D494"/>
    <mergeCell ref="A657:E657"/>
    <mergeCell ref="C581:C589"/>
    <mergeCell ref="A594:D594"/>
    <mergeCell ref="A595:E595"/>
    <mergeCell ref="A536:D536"/>
    <mergeCell ref="A684:E684"/>
    <mergeCell ref="A514:E514"/>
    <mergeCell ref="C540:C543"/>
    <mergeCell ref="A643:D643"/>
    <mergeCell ref="A644:E644"/>
    <mergeCell ref="A612:D612"/>
    <mergeCell ref="A613:E613"/>
    <mergeCell ref="C596:C597"/>
    <mergeCell ref="A633:D633"/>
    <mergeCell ref="A634:E634"/>
    <mergeCell ref="A563:E563"/>
    <mergeCell ref="A551:D551"/>
    <mergeCell ref="A552:E552"/>
    <mergeCell ref="A653:D653"/>
    <mergeCell ref="A654:E654"/>
    <mergeCell ref="A656:D656"/>
    <mergeCell ref="B1:B2"/>
    <mergeCell ref="C1:C2"/>
    <mergeCell ref="D1:D2"/>
    <mergeCell ref="A290:E290"/>
    <mergeCell ref="A344:E344"/>
    <mergeCell ref="A343:D343"/>
    <mergeCell ref="A1:A2"/>
    <mergeCell ref="A309:D309"/>
    <mergeCell ref="A310:E310"/>
    <mergeCell ref="A329:D329"/>
    <mergeCell ref="A330:E330"/>
    <mergeCell ref="K1:L1"/>
    <mergeCell ref="J1:J2"/>
    <mergeCell ref="C110:C111"/>
    <mergeCell ref="G1:G2"/>
    <mergeCell ref="H1:H2"/>
    <mergeCell ref="I1:I2"/>
    <mergeCell ref="F1:F2"/>
    <mergeCell ref="E1:E2"/>
    <mergeCell ref="J445:J448"/>
    <mergeCell ref="A364:D364"/>
    <mergeCell ref="A365:E365"/>
    <mergeCell ref="A429:E429"/>
    <mergeCell ref="A466:E466"/>
    <mergeCell ref="A449:D449"/>
    <mergeCell ref="A450:E450"/>
    <mergeCell ref="A388:D388"/>
    <mergeCell ref="A428:D428"/>
    <mergeCell ref="A389:E389"/>
    <mergeCell ref="A406:D406"/>
    <mergeCell ref="A407:E407"/>
    <mergeCell ref="A465:D465"/>
    <mergeCell ref="A537:E537"/>
    <mergeCell ref="A495:E495"/>
    <mergeCell ref="A579:D579"/>
    <mergeCell ref="A580:E580"/>
    <mergeCell ref="A562:D562"/>
  </mergeCells>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9F253-147C-48AC-B50B-E283DC159F58}">
  <sheetPr codeName="Sheet4">
    <tabColor theme="9" tint="0.39997558519241921"/>
  </sheetPr>
  <dimension ref="A1:L378"/>
  <sheetViews>
    <sheetView zoomScale="80" zoomScaleNormal="80" workbookViewId="0">
      <pane ySplit="1" topLeftCell="A359" activePane="bottomLeft" state="frozen"/>
      <selection activeCell="I7" sqref="I7"/>
      <selection pane="bottomLeft" activeCell="I360" sqref="I360:I368"/>
    </sheetView>
  </sheetViews>
  <sheetFormatPr defaultColWidth="9.140625" defaultRowHeight="15"/>
  <cols>
    <col min="1" max="1" width="11.140625" style="176" customWidth="1"/>
    <col min="2" max="2" width="22.28515625" style="176" customWidth="1"/>
    <col min="3" max="3" width="23.7109375" style="176" customWidth="1"/>
    <col min="4" max="4" width="36.28515625" style="246" customWidth="1"/>
    <col min="5" max="5" width="25.140625" style="176" customWidth="1"/>
    <col min="6" max="6" width="17.28515625" style="176" customWidth="1"/>
    <col min="7" max="7" width="30.42578125" style="246" customWidth="1"/>
    <col min="8" max="8" width="11" style="176" customWidth="1"/>
    <col min="9" max="9" width="12.42578125" style="176" customWidth="1"/>
    <col min="10" max="16384" width="9.140625" style="176"/>
  </cols>
  <sheetData>
    <row r="1" spans="1:9" s="250" customFormat="1" ht="78">
      <c r="A1" s="247" t="s">
        <v>250</v>
      </c>
      <c r="B1" s="247" t="s">
        <v>251</v>
      </c>
      <c r="C1" s="247" t="s">
        <v>252</v>
      </c>
      <c r="D1" s="247" t="s">
        <v>8</v>
      </c>
      <c r="E1" s="248" t="s">
        <v>253</v>
      </c>
      <c r="F1" s="248" t="s">
        <v>254</v>
      </c>
      <c r="G1" s="249" t="s">
        <v>255</v>
      </c>
      <c r="H1" s="247" t="s">
        <v>256</v>
      </c>
      <c r="I1" s="247" t="s">
        <v>257</v>
      </c>
    </row>
    <row r="2" spans="1:9" ht="30">
      <c r="A2" s="177">
        <v>44931</v>
      </c>
      <c r="B2" s="178"/>
      <c r="C2" s="168" t="s">
        <v>433</v>
      </c>
      <c r="D2" s="168" t="s">
        <v>434</v>
      </c>
      <c r="E2" s="179" t="s">
        <v>97</v>
      </c>
      <c r="F2" s="180" t="s">
        <v>53</v>
      </c>
      <c r="G2" s="181" t="s">
        <v>437</v>
      </c>
      <c r="H2" s="94">
        <v>200</v>
      </c>
      <c r="I2" s="95">
        <v>3.49</v>
      </c>
    </row>
    <row r="3" spans="1:9" ht="30">
      <c r="A3" s="177">
        <v>44931</v>
      </c>
      <c r="B3" s="178"/>
      <c r="C3" s="168" t="s">
        <v>435</v>
      </c>
      <c r="D3" s="168" t="s">
        <v>436</v>
      </c>
      <c r="E3" s="179" t="s">
        <v>97</v>
      </c>
      <c r="F3" s="180" t="s">
        <v>53</v>
      </c>
      <c r="G3" s="181" t="s">
        <v>437</v>
      </c>
      <c r="H3" s="94">
        <v>200</v>
      </c>
      <c r="I3" s="95">
        <v>3.21</v>
      </c>
    </row>
    <row r="4" spans="1:9" ht="90">
      <c r="A4" s="177">
        <v>44931</v>
      </c>
      <c r="B4" s="178"/>
      <c r="C4" s="119" t="s">
        <v>438</v>
      </c>
      <c r="D4" s="119" t="s">
        <v>439</v>
      </c>
      <c r="E4" s="123" t="s">
        <v>456</v>
      </c>
      <c r="F4" s="119" t="s">
        <v>450</v>
      </c>
      <c r="G4" s="122" t="s">
        <v>458</v>
      </c>
      <c r="H4" s="120">
        <v>100</v>
      </c>
      <c r="I4" s="121">
        <f>6.39+0.37</f>
        <v>6.76</v>
      </c>
    </row>
    <row r="5" spans="1:9">
      <c r="A5" s="177">
        <v>44931</v>
      </c>
      <c r="B5" s="178"/>
      <c r="C5" s="119" t="s">
        <v>440</v>
      </c>
      <c r="D5" s="151" t="s">
        <v>441</v>
      </c>
      <c r="E5" s="152" t="s">
        <v>121</v>
      </c>
      <c r="F5" s="119" t="s">
        <v>53</v>
      </c>
      <c r="G5" s="120" t="s">
        <v>459</v>
      </c>
      <c r="H5" s="120">
        <v>100</v>
      </c>
      <c r="I5" s="121">
        <f>1.47+0.37</f>
        <v>1.8399999999999999</v>
      </c>
    </row>
    <row r="6" spans="1:9">
      <c r="A6" s="177">
        <v>44931</v>
      </c>
      <c r="B6" s="178"/>
      <c r="C6" s="119" t="s">
        <v>442</v>
      </c>
      <c r="D6" s="151" t="s">
        <v>441</v>
      </c>
      <c r="E6" s="152" t="s">
        <v>121</v>
      </c>
      <c r="F6" s="119" t="s">
        <v>451</v>
      </c>
      <c r="G6" s="120" t="s">
        <v>460</v>
      </c>
      <c r="H6" s="120">
        <v>100</v>
      </c>
      <c r="I6" s="121">
        <f>1.47+0.37</f>
        <v>1.8399999999999999</v>
      </c>
    </row>
    <row r="7" spans="1:9">
      <c r="A7" s="177">
        <v>44931</v>
      </c>
      <c r="B7" s="178"/>
      <c r="C7" s="119" t="s">
        <v>443</v>
      </c>
      <c r="D7" s="151" t="s">
        <v>441</v>
      </c>
      <c r="E7" s="152" t="s">
        <v>121</v>
      </c>
      <c r="F7" s="119" t="s">
        <v>53</v>
      </c>
      <c r="G7" s="120" t="s">
        <v>461</v>
      </c>
      <c r="H7" s="120">
        <v>100</v>
      </c>
      <c r="I7" s="121">
        <f>1.93+0.37</f>
        <v>2.2999999999999998</v>
      </c>
    </row>
    <row r="8" spans="1:9" ht="150">
      <c r="A8" s="177">
        <v>44931</v>
      </c>
      <c r="B8" s="178"/>
      <c r="C8" s="119" t="s">
        <v>444</v>
      </c>
      <c r="D8" s="119" t="s">
        <v>445</v>
      </c>
      <c r="E8" s="123" t="s">
        <v>456</v>
      </c>
      <c r="F8" s="119" t="s">
        <v>452</v>
      </c>
      <c r="G8" s="120" t="s">
        <v>462</v>
      </c>
      <c r="H8" s="120">
        <v>100</v>
      </c>
      <c r="I8" s="121">
        <f>1.29+0.37</f>
        <v>1.6600000000000001</v>
      </c>
    </row>
    <row r="9" spans="1:9" ht="105">
      <c r="A9" s="177">
        <v>44931</v>
      </c>
      <c r="B9" s="178"/>
      <c r="C9" s="119" t="s">
        <v>446</v>
      </c>
      <c r="D9" s="119" t="s">
        <v>447</v>
      </c>
      <c r="E9" s="123" t="s">
        <v>456</v>
      </c>
      <c r="F9" s="119" t="s">
        <v>453</v>
      </c>
      <c r="G9" s="120" t="s">
        <v>463</v>
      </c>
      <c r="H9" s="120">
        <v>100</v>
      </c>
      <c r="I9" s="121">
        <f>1.55+0.37</f>
        <v>1.92</v>
      </c>
    </row>
    <row r="10" spans="1:9" ht="90">
      <c r="A10" s="177">
        <v>44931</v>
      </c>
      <c r="B10" s="178"/>
      <c r="C10" s="119" t="s">
        <v>448</v>
      </c>
      <c r="D10" s="119" t="s">
        <v>449</v>
      </c>
      <c r="E10" s="123" t="s">
        <v>457</v>
      </c>
      <c r="F10" s="119" t="s">
        <v>454</v>
      </c>
      <c r="G10" s="120" t="s">
        <v>464</v>
      </c>
      <c r="H10" s="122" t="s">
        <v>455</v>
      </c>
      <c r="I10" s="121">
        <v>1.08</v>
      </c>
    </row>
    <row r="11" spans="1:9" ht="30">
      <c r="A11" s="177">
        <v>44936</v>
      </c>
      <c r="B11" s="178"/>
      <c r="C11" s="168" t="s">
        <v>431</v>
      </c>
      <c r="D11" s="168" t="s">
        <v>261</v>
      </c>
      <c r="E11" s="179" t="s">
        <v>432</v>
      </c>
      <c r="F11" s="180" t="s">
        <v>53</v>
      </c>
      <c r="G11" s="181" t="s">
        <v>411</v>
      </c>
      <c r="H11" s="94">
        <v>2000</v>
      </c>
      <c r="I11" s="95">
        <f>1.72+0.39</f>
        <v>2.11</v>
      </c>
    </row>
    <row r="12" spans="1:9" ht="30">
      <c r="A12" s="177">
        <v>44936</v>
      </c>
      <c r="B12" s="178"/>
      <c r="C12" s="168" t="s">
        <v>431</v>
      </c>
      <c r="D12" s="168" t="s">
        <v>261</v>
      </c>
      <c r="E12" s="179" t="s">
        <v>432</v>
      </c>
      <c r="F12" s="180" t="s">
        <v>53</v>
      </c>
      <c r="G12" s="181" t="s">
        <v>411</v>
      </c>
      <c r="H12" s="94">
        <v>5000</v>
      </c>
      <c r="I12" s="95">
        <f>1.72+0.3333</f>
        <v>2.0533000000000001</v>
      </c>
    </row>
    <row r="13" spans="1:9" ht="30">
      <c r="A13" s="177">
        <v>44936</v>
      </c>
      <c r="B13" s="178"/>
      <c r="C13" s="168" t="s">
        <v>267</v>
      </c>
      <c r="D13" s="168" t="s">
        <v>465</v>
      </c>
      <c r="E13" s="179" t="s">
        <v>466</v>
      </c>
      <c r="F13" s="180" t="s">
        <v>53</v>
      </c>
      <c r="G13" s="181" t="s">
        <v>411</v>
      </c>
      <c r="H13" s="94">
        <v>1500</v>
      </c>
      <c r="I13" s="95">
        <f>1.44+0.39</f>
        <v>1.83</v>
      </c>
    </row>
    <row r="14" spans="1:9" ht="30">
      <c r="A14" s="177">
        <v>44936</v>
      </c>
      <c r="B14" s="178"/>
      <c r="C14" s="168" t="s">
        <v>267</v>
      </c>
      <c r="D14" s="168" t="s">
        <v>465</v>
      </c>
      <c r="E14" s="179" t="s">
        <v>467</v>
      </c>
      <c r="F14" s="180" t="s">
        <v>53</v>
      </c>
      <c r="G14" s="181" t="s">
        <v>411</v>
      </c>
      <c r="H14" s="94">
        <v>1500</v>
      </c>
      <c r="I14" s="95">
        <f>1.44+0.39+0.39</f>
        <v>2.2200000000000002</v>
      </c>
    </row>
    <row r="15" spans="1:9" ht="60">
      <c r="A15" s="177">
        <v>44936</v>
      </c>
      <c r="B15" s="178"/>
      <c r="C15" s="168" t="s">
        <v>468</v>
      </c>
      <c r="D15" s="168" t="s">
        <v>84</v>
      </c>
      <c r="E15" s="179" t="s">
        <v>469</v>
      </c>
      <c r="F15" s="180" t="s">
        <v>470</v>
      </c>
      <c r="G15" s="181" t="s">
        <v>471</v>
      </c>
      <c r="H15" s="94">
        <v>1000</v>
      </c>
      <c r="I15" s="95">
        <f>1.44+0.26</f>
        <v>1.7</v>
      </c>
    </row>
    <row r="16" spans="1:9" ht="60">
      <c r="A16" s="177">
        <v>44936</v>
      </c>
      <c r="B16" s="178"/>
      <c r="C16" s="168" t="s">
        <v>468</v>
      </c>
      <c r="D16" s="168" t="s">
        <v>84</v>
      </c>
      <c r="E16" s="179" t="s">
        <v>469</v>
      </c>
      <c r="F16" s="180" t="s">
        <v>470</v>
      </c>
      <c r="G16" s="181" t="s">
        <v>471</v>
      </c>
      <c r="H16" s="94">
        <v>5000</v>
      </c>
      <c r="I16" s="95">
        <f>1.44+0.21</f>
        <v>1.65</v>
      </c>
    </row>
    <row r="17" spans="1:9" ht="60">
      <c r="A17" s="177">
        <v>44936</v>
      </c>
      <c r="B17" s="178"/>
      <c r="C17" s="168" t="s">
        <v>468</v>
      </c>
      <c r="D17" s="168" t="s">
        <v>84</v>
      </c>
      <c r="E17" s="179" t="s">
        <v>472</v>
      </c>
      <c r="F17" s="180" t="s">
        <v>470</v>
      </c>
      <c r="G17" s="181" t="s">
        <v>471</v>
      </c>
      <c r="H17" s="94">
        <v>1000</v>
      </c>
      <c r="I17" s="95">
        <f>1.44+0.26+0.26</f>
        <v>1.96</v>
      </c>
    </row>
    <row r="18" spans="1:9" ht="60">
      <c r="A18" s="177">
        <v>44936</v>
      </c>
      <c r="B18" s="178"/>
      <c r="C18" s="168" t="s">
        <v>468</v>
      </c>
      <c r="D18" s="168" t="s">
        <v>84</v>
      </c>
      <c r="E18" s="179" t="s">
        <v>472</v>
      </c>
      <c r="F18" s="180" t="s">
        <v>470</v>
      </c>
      <c r="G18" s="181" t="s">
        <v>471</v>
      </c>
      <c r="H18" s="94">
        <v>5000</v>
      </c>
      <c r="I18" s="95">
        <f>1.44+0.21+0.21</f>
        <v>1.8599999999999999</v>
      </c>
    </row>
    <row r="19" spans="1:9" ht="60">
      <c r="A19" s="177">
        <v>44936</v>
      </c>
      <c r="B19" s="178"/>
      <c r="C19" s="168" t="s">
        <v>468</v>
      </c>
      <c r="D19" s="168" t="s">
        <v>84</v>
      </c>
      <c r="E19" s="179" t="s">
        <v>473</v>
      </c>
      <c r="F19" s="180" t="s">
        <v>470</v>
      </c>
      <c r="G19" s="181" t="s">
        <v>471</v>
      </c>
      <c r="H19" s="94">
        <v>1000</v>
      </c>
      <c r="I19" s="95">
        <f>1.44+0.37</f>
        <v>1.81</v>
      </c>
    </row>
    <row r="20" spans="1:9" ht="60">
      <c r="A20" s="177">
        <v>44936</v>
      </c>
      <c r="B20" s="178"/>
      <c r="C20" s="168" t="s">
        <v>468</v>
      </c>
      <c r="D20" s="168" t="s">
        <v>84</v>
      </c>
      <c r="E20" s="179" t="s">
        <v>473</v>
      </c>
      <c r="F20" s="180" t="s">
        <v>470</v>
      </c>
      <c r="G20" s="181" t="s">
        <v>471</v>
      </c>
      <c r="H20" s="94">
        <v>5000</v>
      </c>
      <c r="I20" s="95">
        <f>1.44+0.31</f>
        <v>1.75</v>
      </c>
    </row>
    <row r="21" spans="1:9" ht="60">
      <c r="A21" s="177">
        <v>44936</v>
      </c>
      <c r="B21" s="178"/>
      <c r="C21" s="168" t="s">
        <v>468</v>
      </c>
      <c r="D21" s="168" t="s">
        <v>84</v>
      </c>
      <c r="E21" s="179" t="s">
        <v>474</v>
      </c>
      <c r="F21" s="180" t="s">
        <v>470</v>
      </c>
      <c r="G21" s="181" t="s">
        <v>471</v>
      </c>
      <c r="H21" s="94">
        <v>1000</v>
      </c>
      <c r="I21" s="95">
        <f>1.44+0.37+0.37</f>
        <v>2.1800000000000002</v>
      </c>
    </row>
    <row r="22" spans="1:9" ht="60">
      <c r="A22" s="177">
        <v>44936</v>
      </c>
      <c r="B22" s="178"/>
      <c r="C22" s="168" t="s">
        <v>468</v>
      </c>
      <c r="D22" s="168" t="s">
        <v>84</v>
      </c>
      <c r="E22" s="179" t="s">
        <v>474</v>
      </c>
      <c r="F22" s="180" t="s">
        <v>470</v>
      </c>
      <c r="G22" s="181" t="s">
        <v>471</v>
      </c>
      <c r="H22" s="94">
        <v>5000</v>
      </c>
      <c r="I22" s="95">
        <f>1.44+0.31+0.31</f>
        <v>2.06</v>
      </c>
    </row>
    <row r="23" spans="1:9" ht="30">
      <c r="A23" s="177">
        <v>44936</v>
      </c>
      <c r="B23" s="178"/>
      <c r="C23" s="168" t="s">
        <v>475</v>
      </c>
      <c r="D23" s="168" t="s">
        <v>261</v>
      </c>
      <c r="E23" s="179" t="s">
        <v>476</v>
      </c>
      <c r="F23" s="180" t="s">
        <v>53</v>
      </c>
      <c r="G23" s="181" t="s">
        <v>55</v>
      </c>
      <c r="H23" s="94">
        <v>500</v>
      </c>
      <c r="I23" s="95">
        <f>2.01+0.5</f>
        <v>2.5099999999999998</v>
      </c>
    </row>
    <row r="24" spans="1:9" ht="30">
      <c r="A24" s="177">
        <v>44938</v>
      </c>
      <c r="B24" s="178"/>
      <c r="C24" s="168" t="s">
        <v>477</v>
      </c>
      <c r="D24" s="168" t="s">
        <v>424</v>
      </c>
      <c r="E24" s="179" t="s">
        <v>478</v>
      </c>
      <c r="F24" s="180" t="s">
        <v>53</v>
      </c>
      <c r="G24" s="181" t="s">
        <v>479</v>
      </c>
      <c r="H24" s="94" t="s">
        <v>480</v>
      </c>
      <c r="I24" s="95">
        <f>8.05+0.571</f>
        <v>8.6210000000000004</v>
      </c>
    </row>
    <row r="25" spans="1:9" ht="45">
      <c r="A25" s="177">
        <v>44938</v>
      </c>
      <c r="B25" s="178"/>
      <c r="C25" s="168" t="s">
        <v>481</v>
      </c>
      <c r="D25" s="168" t="s">
        <v>482</v>
      </c>
      <c r="E25" s="179" t="s">
        <v>483</v>
      </c>
      <c r="F25" s="180" t="s">
        <v>484</v>
      </c>
      <c r="G25" s="181" t="s">
        <v>485</v>
      </c>
      <c r="H25" s="94">
        <v>500</v>
      </c>
      <c r="I25" s="95">
        <v>3.45</v>
      </c>
    </row>
    <row r="26" spans="1:9" ht="30">
      <c r="A26" s="177">
        <v>44965</v>
      </c>
      <c r="B26" s="178"/>
      <c r="C26" s="178" t="s">
        <v>516</v>
      </c>
      <c r="D26" s="182" t="s">
        <v>517</v>
      </c>
      <c r="E26" s="178" t="s">
        <v>519</v>
      </c>
      <c r="F26" s="178"/>
      <c r="G26" s="183" t="s">
        <v>518</v>
      </c>
      <c r="H26" s="178">
        <v>2000</v>
      </c>
      <c r="I26" s="184">
        <v>9.8000000000000007</v>
      </c>
    </row>
    <row r="27" spans="1:9" ht="30">
      <c r="A27" s="177">
        <v>44968</v>
      </c>
      <c r="B27" s="178"/>
      <c r="C27" s="168" t="s">
        <v>494</v>
      </c>
      <c r="D27" s="185" t="s">
        <v>495</v>
      </c>
      <c r="E27" s="186" t="s">
        <v>496</v>
      </c>
      <c r="F27" s="180" t="s">
        <v>497</v>
      </c>
      <c r="G27" s="187" t="s">
        <v>498</v>
      </c>
      <c r="H27" s="94">
        <v>500</v>
      </c>
      <c r="I27" s="95">
        <v>2.11</v>
      </c>
    </row>
    <row r="28" spans="1:9" ht="30">
      <c r="A28" s="177">
        <v>44968</v>
      </c>
      <c r="B28" s="178"/>
      <c r="C28" s="178" t="s">
        <v>499</v>
      </c>
      <c r="D28" s="188" t="s">
        <v>504</v>
      </c>
      <c r="E28" s="189" t="s">
        <v>503</v>
      </c>
      <c r="F28" s="178" t="s">
        <v>53</v>
      </c>
      <c r="G28" s="182" t="s">
        <v>501</v>
      </c>
      <c r="H28" s="178">
        <v>2000</v>
      </c>
      <c r="I28" s="184">
        <v>2.6</v>
      </c>
    </row>
    <row r="29" spans="1:9" ht="30">
      <c r="A29" s="177">
        <v>44968</v>
      </c>
      <c r="B29" s="178"/>
      <c r="C29" s="178" t="s">
        <v>500</v>
      </c>
      <c r="D29" s="182" t="s">
        <v>504</v>
      </c>
      <c r="E29" s="178" t="s">
        <v>503</v>
      </c>
      <c r="F29" s="178" t="s">
        <v>502</v>
      </c>
      <c r="G29" s="182" t="s">
        <v>501</v>
      </c>
      <c r="H29" s="178">
        <v>2000</v>
      </c>
      <c r="I29" s="184">
        <v>2.94</v>
      </c>
    </row>
    <row r="30" spans="1:9">
      <c r="A30" s="177">
        <v>44968</v>
      </c>
      <c r="B30" s="178"/>
      <c r="C30" s="178" t="s">
        <v>505</v>
      </c>
      <c r="D30" s="182"/>
      <c r="E30" s="178" t="s">
        <v>506</v>
      </c>
      <c r="F30" s="178"/>
      <c r="G30" s="182"/>
      <c r="H30" s="178"/>
      <c r="I30" s="184">
        <v>2.6</v>
      </c>
    </row>
    <row r="31" spans="1:9" ht="30">
      <c r="A31" s="177">
        <v>44968</v>
      </c>
      <c r="B31" s="178"/>
      <c r="C31" s="178" t="s">
        <v>507</v>
      </c>
      <c r="D31" s="182" t="s">
        <v>512</v>
      </c>
      <c r="E31" s="178" t="s">
        <v>513</v>
      </c>
      <c r="F31" s="178" t="s">
        <v>514</v>
      </c>
      <c r="G31" s="182" t="s">
        <v>515</v>
      </c>
      <c r="H31" s="178" t="s">
        <v>508</v>
      </c>
      <c r="I31" s="178">
        <v>2.75</v>
      </c>
    </row>
    <row r="32" spans="1:9" ht="30">
      <c r="A32" s="177">
        <v>44968</v>
      </c>
      <c r="B32" s="178"/>
      <c r="C32" s="178" t="s">
        <v>507</v>
      </c>
      <c r="D32" s="182" t="s">
        <v>512</v>
      </c>
      <c r="E32" s="178" t="s">
        <v>513</v>
      </c>
      <c r="F32" s="178" t="s">
        <v>514</v>
      </c>
      <c r="G32" s="182" t="s">
        <v>515</v>
      </c>
      <c r="H32" s="178" t="s">
        <v>509</v>
      </c>
      <c r="I32" s="178">
        <v>2.65</v>
      </c>
    </row>
    <row r="33" spans="1:9" ht="30">
      <c r="A33" s="177">
        <v>44968</v>
      </c>
      <c r="B33" s="178"/>
      <c r="C33" s="178" t="s">
        <v>507</v>
      </c>
      <c r="D33" s="182" t="s">
        <v>512</v>
      </c>
      <c r="E33" s="178" t="s">
        <v>513</v>
      </c>
      <c r="F33" s="178" t="s">
        <v>514</v>
      </c>
      <c r="G33" s="182" t="s">
        <v>515</v>
      </c>
      <c r="H33" s="178" t="s">
        <v>510</v>
      </c>
      <c r="I33" s="178">
        <v>2.4500000000000002</v>
      </c>
    </row>
    <row r="34" spans="1:9" ht="30">
      <c r="A34" s="177">
        <v>44968</v>
      </c>
      <c r="B34" s="178"/>
      <c r="C34" s="178" t="s">
        <v>507</v>
      </c>
      <c r="D34" s="182" t="s">
        <v>512</v>
      </c>
      <c r="E34" s="178" t="s">
        <v>513</v>
      </c>
      <c r="F34" s="178" t="s">
        <v>514</v>
      </c>
      <c r="G34" s="182" t="s">
        <v>515</v>
      </c>
      <c r="H34" s="178" t="s">
        <v>511</v>
      </c>
      <c r="I34" s="184">
        <v>2.2000000000000002</v>
      </c>
    </row>
    <row r="35" spans="1:9">
      <c r="A35" s="177">
        <v>44970</v>
      </c>
      <c r="B35" s="178"/>
      <c r="C35" s="178" t="s">
        <v>520</v>
      </c>
      <c r="D35" s="188" t="s">
        <v>525</v>
      </c>
      <c r="E35" s="178"/>
      <c r="F35" s="178" t="s">
        <v>53</v>
      </c>
      <c r="G35" s="182" t="s">
        <v>501</v>
      </c>
      <c r="H35" s="178">
        <v>2000</v>
      </c>
      <c r="I35" s="178">
        <v>2.2599999999999998</v>
      </c>
    </row>
    <row r="36" spans="1:9">
      <c r="A36" s="177">
        <v>44970</v>
      </c>
      <c r="B36" s="178"/>
      <c r="C36" s="178" t="s">
        <v>521</v>
      </c>
      <c r="D36" s="188" t="s">
        <v>525</v>
      </c>
      <c r="E36" s="178"/>
      <c r="F36" s="178" t="s">
        <v>502</v>
      </c>
      <c r="G36" s="182" t="s">
        <v>501</v>
      </c>
      <c r="H36" s="178">
        <v>2000</v>
      </c>
      <c r="I36" s="178">
        <v>2.56</v>
      </c>
    </row>
    <row r="37" spans="1:9">
      <c r="A37" s="177">
        <v>44970</v>
      </c>
      <c r="B37" s="178"/>
      <c r="C37" s="178" t="s">
        <v>522</v>
      </c>
      <c r="D37" s="188" t="s">
        <v>525</v>
      </c>
      <c r="E37" s="178"/>
      <c r="F37" s="178" t="s">
        <v>53</v>
      </c>
      <c r="G37" s="182" t="s">
        <v>524</v>
      </c>
      <c r="H37" s="178">
        <v>5000</v>
      </c>
      <c r="I37" s="178">
        <v>5.16</v>
      </c>
    </row>
    <row r="38" spans="1:9">
      <c r="A38" s="177">
        <v>44970</v>
      </c>
      <c r="B38" s="178"/>
      <c r="C38" s="178" t="s">
        <v>523</v>
      </c>
      <c r="D38" s="188" t="s">
        <v>525</v>
      </c>
      <c r="E38" s="178"/>
      <c r="F38" s="178" t="s">
        <v>502</v>
      </c>
      <c r="G38" s="182" t="s">
        <v>524</v>
      </c>
      <c r="H38" s="178">
        <v>5000</v>
      </c>
      <c r="I38" s="178">
        <v>5.36</v>
      </c>
    </row>
    <row r="39" spans="1:9">
      <c r="A39" s="177">
        <v>44970</v>
      </c>
      <c r="B39" s="178"/>
      <c r="C39" s="178" t="s">
        <v>527</v>
      </c>
      <c r="D39" s="188" t="s">
        <v>526</v>
      </c>
      <c r="E39" s="178"/>
      <c r="F39" s="178" t="s">
        <v>53</v>
      </c>
      <c r="G39" s="182" t="s">
        <v>501</v>
      </c>
      <c r="H39" s="178">
        <v>2000</v>
      </c>
      <c r="I39" s="184">
        <v>4.55</v>
      </c>
    </row>
    <row r="40" spans="1:9">
      <c r="A40" s="177">
        <v>44970</v>
      </c>
      <c r="B40" s="178"/>
      <c r="C40" s="178" t="s">
        <v>528</v>
      </c>
      <c r="D40" s="188" t="s">
        <v>526</v>
      </c>
      <c r="E40" s="178"/>
      <c r="F40" s="178" t="s">
        <v>502</v>
      </c>
      <c r="G40" s="182" t="s">
        <v>501</v>
      </c>
      <c r="H40" s="178">
        <v>2000</v>
      </c>
      <c r="I40" s="184">
        <v>4.7</v>
      </c>
    </row>
    <row r="41" spans="1:9">
      <c r="A41" s="177">
        <v>44970</v>
      </c>
      <c r="B41" s="178"/>
      <c r="C41" s="178" t="s">
        <v>529</v>
      </c>
      <c r="D41" s="188" t="s">
        <v>526</v>
      </c>
      <c r="E41" s="178"/>
      <c r="F41" s="178" t="s">
        <v>53</v>
      </c>
      <c r="G41" s="182" t="s">
        <v>524</v>
      </c>
      <c r="H41" s="178">
        <v>5000</v>
      </c>
      <c r="I41" s="184">
        <v>4.4800000000000004</v>
      </c>
    </row>
    <row r="42" spans="1:9">
      <c r="A42" s="177">
        <v>44970</v>
      </c>
      <c r="B42" s="178"/>
      <c r="C42" s="178" t="s">
        <v>530</v>
      </c>
      <c r="D42" s="188" t="s">
        <v>526</v>
      </c>
      <c r="E42" s="178"/>
      <c r="F42" s="178" t="s">
        <v>502</v>
      </c>
      <c r="G42" s="182" t="s">
        <v>524</v>
      </c>
      <c r="H42" s="178">
        <v>5000</v>
      </c>
      <c r="I42" s="184">
        <v>4.5999999999999996</v>
      </c>
    </row>
    <row r="43" spans="1:9">
      <c r="A43" s="177">
        <v>44970</v>
      </c>
      <c r="B43" s="178"/>
      <c r="C43" s="178" t="s">
        <v>531</v>
      </c>
      <c r="D43" s="188" t="s">
        <v>535</v>
      </c>
      <c r="E43" s="178"/>
      <c r="F43" s="178" t="s">
        <v>53</v>
      </c>
      <c r="G43" s="182" t="s">
        <v>501</v>
      </c>
      <c r="H43" s="178">
        <v>2000</v>
      </c>
      <c r="I43" s="184">
        <v>4.0999999999999996</v>
      </c>
    </row>
    <row r="44" spans="1:9">
      <c r="A44" s="177">
        <v>44970</v>
      </c>
      <c r="B44" s="178"/>
      <c r="C44" s="178" t="s">
        <v>532</v>
      </c>
      <c r="D44" s="188" t="s">
        <v>535</v>
      </c>
      <c r="E44" s="178"/>
      <c r="F44" s="178" t="s">
        <v>502</v>
      </c>
      <c r="G44" s="182" t="s">
        <v>501</v>
      </c>
      <c r="H44" s="178">
        <v>2000</v>
      </c>
      <c r="I44" s="184">
        <v>4.3499999999999996</v>
      </c>
    </row>
    <row r="45" spans="1:9">
      <c r="A45" s="177">
        <v>44970</v>
      </c>
      <c r="B45" s="178"/>
      <c r="C45" s="178" t="s">
        <v>533</v>
      </c>
      <c r="D45" s="188" t="s">
        <v>535</v>
      </c>
      <c r="E45" s="178"/>
      <c r="F45" s="178" t="s">
        <v>53</v>
      </c>
      <c r="G45" s="182" t="s">
        <v>524</v>
      </c>
      <c r="H45" s="178">
        <v>5000</v>
      </c>
      <c r="I45" s="184">
        <v>3.9</v>
      </c>
    </row>
    <row r="46" spans="1:9">
      <c r="A46" s="177">
        <v>44970</v>
      </c>
      <c r="B46" s="178"/>
      <c r="C46" s="178" t="s">
        <v>534</v>
      </c>
      <c r="D46" s="188" t="s">
        <v>535</v>
      </c>
      <c r="E46" s="178"/>
      <c r="F46" s="178" t="s">
        <v>502</v>
      </c>
      <c r="G46" s="182" t="s">
        <v>524</v>
      </c>
      <c r="H46" s="178">
        <v>5000</v>
      </c>
      <c r="I46" s="184">
        <v>4.3</v>
      </c>
    </row>
    <row r="47" spans="1:9" ht="31.5">
      <c r="A47" s="177">
        <v>44974</v>
      </c>
      <c r="B47" s="178"/>
      <c r="C47" s="178" t="s">
        <v>481</v>
      </c>
      <c r="D47" s="124" t="s">
        <v>482</v>
      </c>
      <c r="E47" s="182" t="s">
        <v>1044</v>
      </c>
      <c r="F47" s="178" t="s">
        <v>484</v>
      </c>
      <c r="G47" s="182" t="s">
        <v>485</v>
      </c>
      <c r="H47" s="178" t="s">
        <v>541</v>
      </c>
      <c r="I47" s="184">
        <v>3.01</v>
      </c>
    </row>
    <row r="48" spans="1:9" ht="15.75">
      <c r="A48" s="177">
        <v>44974</v>
      </c>
      <c r="B48" s="178"/>
      <c r="C48" s="178" t="s">
        <v>542</v>
      </c>
      <c r="D48" s="124" t="s">
        <v>495</v>
      </c>
      <c r="E48" s="178"/>
      <c r="F48" s="178" t="s">
        <v>543</v>
      </c>
      <c r="G48" s="182" t="s">
        <v>544</v>
      </c>
      <c r="H48" s="178">
        <v>500</v>
      </c>
      <c r="I48" s="184">
        <v>2.16</v>
      </c>
    </row>
    <row r="49" spans="1:9" ht="15.75">
      <c r="A49" s="177">
        <v>44974</v>
      </c>
      <c r="B49" s="178"/>
      <c r="C49" s="178" t="s">
        <v>542</v>
      </c>
      <c r="D49" s="124" t="s">
        <v>495</v>
      </c>
      <c r="E49" s="178"/>
      <c r="F49" s="178" t="s">
        <v>543</v>
      </c>
      <c r="G49" s="182" t="s">
        <v>544</v>
      </c>
      <c r="H49" s="178">
        <v>1000</v>
      </c>
      <c r="I49" s="184">
        <v>2.13</v>
      </c>
    </row>
    <row r="50" spans="1:9">
      <c r="A50" s="177">
        <v>44980</v>
      </c>
      <c r="B50" s="178"/>
      <c r="C50" s="178" t="s">
        <v>568</v>
      </c>
      <c r="D50" s="182" t="s">
        <v>571</v>
      </c>
      <c r="E50" s="178"/>
      <c r="F50" s="178"/>
      <c r="G50" s="182" t="s">
        <v>515</v>
      </c>
      <c r="H50" s="178">
        <v>500</v>
      </c>
      <c r="I50" s="178">
        <v>7.23</v>
      </c>
    </row>
    <row r="51" spans="1:9">
      <c r="A51" s="177">
        <v>44980</v>
      </c>
      <c r="B51" s="178"/>
      <c r="C51" s="178" t="s">
        <v>568</v>
      </c>
      <c r="D51" s="182" t="s">
        <v>571</v>
      </c>
      <c r="E51" s="178"/>
      <c r="F51" s="178"/>
      <c r="G51" s="182" t="s">
        <v>515</v>
      </c>
      <c r="H51" s="178" t="s">
        <v>572</v>
      </c>
      <c r="I51" s="178">
        <v>6.96</v>
      </c>
    </row>
    <row r="52" spans="1:9">
      <c r="A52" s="177">
        <v>44980</v>
      </c>
      <c r="B52" s="178"/>
      <c r="C52" s="178" t="s">
        <v>569</v>
      </c>
      <c r="D52" s="182" t="s">
        <v>571</v>
      </c>
      <c r="E52" s="178"/>
      <c r="F52" s="178"/>
      <c r="G52" s="182" t="s">
        <v>515</v>
      </c>
      <c r="H52" s="178">
        <v>500</v>
      </c>
      <c r="I52" s="178">
        <v>7.14</v>
      </c>
    </row>
    <row r="53" spans="1:9">
      <c r="A53" s="177">
        <v>44980</v>
      </c>
      <c r="B53" s="178"/>
      <c r="C53" s="178" t="s">
        <v>569</v>
      </c>
      <c r="D53" s="182" t="s">
        <v>571</v>
      </c>
      <c r="E53" s="178"/>
      <c r="F53" s="178"/>
      <c r="G53" s="182" t="s">
        <v>515</v>
      </c>
      <c r="H53" s="178" t="s">
        <v>572</v>
      </c>
      <c r="I53" s="178">
        <v>6.85</v>
      </c>
    </row>
    <row r="54" spans="1:9">
      <c r="A54" s="177">
        <v>44980</v>
      </c>
      <c r="B54" s="178"/>
      <c r="C54" s="178" t="s">
        <v>570</v>
      </c>
      <c r="D54" s="182" t="s">
        <v>573</v>
      </c>
      <c r="E54" s="178"/>
      <c r="F54" s="178"/>
      <c r="G54" s="182" t="s">
        <v>515</v>
      </c>
      <c r="H54" s="178">
        <v>500</v>
      </c>
      <c r="I54" s="178">
        <v>1.46</v>
      </c>
    </row>
    <row r="55" spans="1:9">
      <c r="A55" s="177">
        <v>44980</v>
      </c>
      <c r="B55" s="178"/>
      <c r="C55" s="178" t="s">
        <v>570</v>
      </c>
      <c r="D55" s="182" t="s">
        <v>573</v>
      </c>
      <c r="E55" s="178"/>
      <c r="F55" s="178"/>
      <c r="G55" s="182" t="s">
        <v>515</v>
      </c>
      <c r="H55" s="178" t="s">
        <v>572</v>
      </c>
      <c r="I55" s="178">
        <v>1.4</v>
      </c>
    </row>
    <row r="56" spans="1:9" ht="30">
      <c r="A56" s="177">
        <v>44981</v>
      </c>
      <c r="B56" s="178"/>
      <c r="C56" s="178" t="s">
        <v>555</v>
      </c>
      <c r="D56" s="182" t="s">
        <v>557</v>
      </c>
      <c r="E56" s="178"/>
      <c r="F56" s="178"/>
      <c r="G56" s="182" t="s">
        <v>559</v>
      </c>
      <c r="H56" s="178"/>
      <c r="I56" s="178">
        <v>26.21</v>
      </c>
    </row>
    <row r="57" spans="1:9" ht="30">
      <c r="A57" s="177">
        <v>44981</v>
      </c>
      <c r="B57" s="178"/>
      <c r="C57" s="178" t="s">
        <v>556</v>
      </c>
      <c r="D57" s="182" t="s">
        <v>558</v>
      </c>
      <c r="E57" s="178"/>
      <c r="F57" s="178"/>
      <c r="G57" s="182" t="s">
        <v>559</v>
      </c>
      <c r="H57" s="178"/>
      <c r="I57" s="178">
        <v>26.64</v>
      </c>
    </row>
    <row r="58" spans="1:9" ht="30">
      <c r="A58" s="177">
        <v>44981</v>
      </c>
      <c r="B58" s="178"/>
      <c r="C58" s="178" t="s">
        <v>560</v>
      </c>
      <c r="D58" s="182" t="s">
        <v>567</v>
      </c>
      <c r="E58" s="178"/>
      <c r="F58" s="178"/>
      <c r="G58" s="182"/>
      <c r="H58" s="178"/>
      <c r="I58" s="178">
        <v>12.54</v>
      </c>
    </row>
    <row r="59" spans="1:9" ht="30">
      <c r="A59" s="177">
        <v>44981</v>
      </c>
      <c r="B59" s="178"/>
      <c r="C59" s="178" t="s">
        <v>561</v>
      </c>
      <c r="D59" s="182" t="s">
        <v>566</v>
      </c>
      <c r="E59" s="178"/>
      <c r="F59" s="178"/>
      <c r="G59" s="182"/>
      <c r="H59" s="178"/>
      <c r="I59" s="178">
        <v>31.78</v>
      </c>
    </row>
    <row r="60" spans="1:9" ht="30">
      <c r="A60" s="177">
        <v>44981</v>
      </c>
      <c r="B60" s="178"/>
      <c r="C60" s="178" t="s">
        <v>562</v>
      </c>
      <c r="D60" s="182" t="s">
        <v>565</v>
      </c>
      <c r="E60" s="178"/>
      <c r="F60" s="178"/>
      <c r="G60" s="182"/>
      <c r="H60" s="178"/>
      <c r="I60" s="178">
        <v>18.84</v>
      </c>
    </row>
    <row r="61" spans="1:9" ht="30">
      <c r="A61" s="177">
        <v>44981</v>
      </c>
      <c r="B61" s="178"/>
      <c r="C61" s="178" t="s">
        <v>563</v>
      </c>
      <c r="D61" s="182" t="s">
        <v>564</v>
      </c>
      <c r="E61" s="178"/>
      <c r="F61" s="178"/>
      <c r="G61" s="182"/>
      <c r="H61" s="178"/>
      <c r="I61" s="178">
        <v>28.25</v>
      </c>
    </row>
    <row r="62" spans="1:9">
      <c r="A62" s="177">
        <v>44985</v>
      </c>
      <c r="B62" s="178"/>
      <c r="C62" s="178" t="s">
        <v>574</v>
      </c>
      <c r="D62" s="182" t="s">
        <v>575</v>
      </c>
      <c r="E62" s="178"/>
      <c r="F62" s="178"/>
      <c r="G62" s="182" t="s">
        <v>430</v>
      </c>
      <c r="H62" s="178">
        <v>500</v>
      </c>
      <c r="I62" s="178">
        <v>10.15</v>
      </c>
    </row>
    <row r="63" spans="1:9">
      <c r="A63" s="177">
        <v>44987</v>
      </c>
      <c r="B63" s="178"/>
      <c r="C63" s="178" t="s">
        <v>576</v>
      </c>
      <c r="D63" s="182" t="s">
        <v>495</v>
      </c>
      <c r="E63" s="178" t="s">
        <v>577</v>
      </c>
      <c r="F63" s="178" t="s">
        <v>53</v>
      </c>
      <c r="G63" s="182" t="s">
        <v>544</v>
      </c>
      <c r="H63" s="178">
        <v>300</v>
      </c>
      <c r="I63" s="178">
        <v>2.16</v>
      </c>
    </row>
    <row r="64" spans="1:9">
      <c r="A64" s="177">
        <v>44992</v>
      </c>
      <c r="B64" s="178"/>
      <c r="C64" s="178" t="s">
        <v>579</v>
      </c>
      <c r="D64" s="182" t="s">
        <v>260</v>
      </c>
      <c r="E64" s="178" t="s">
        <v>580</v>
      </c>
      <c r="F64" s="178" t="s">
        <v>53</v>
      </c>
      <c r="G64" s="182" t="s">
        <v>581</v>
      </c>
      <c r="H64" s="178">
        <v>500</v>
      </c>
      <c r="I64" s="178">
        <f>2.01+0.42</f>
        <v>2.4299999999999997</v>
      </c>
    </row>
    <row r="65" spans="1:9">
      <c r="A65" s="177">
        <v>44993</v>
      </c>
      <c r="B65" s="178"/>
      <c r="C65" s="178" t="s">
        <v>579</v>
      </c>
      <c r="D65" s="182" t="s">
        <v>260</v>
      </c>
      <c r="E65" s="178" t="s">
        <v>582</v>
      </c>
      <c r="F65" s="178" t="s">
        <v>53</v>
      </c>
      <c r="G65" s="182" t="s">
        <v>581</v>
      </c>
      <c r="H65" s="178">
        <v>500</v>
      </c>
      <c r="I65" s="178">
        <f>2.01+0.34+0.34</f>
        <v>2.6899999999999995</v>
      </c>
    </row>
    <row r="66" spans="1:9" ht="30">
      <c r="A66" s="177">
        <v>45002</v>
      </c>
      <c r="B66" s="182" t="s">
        <v>608</v>
      </c>
      <c r="C66" s="178" t="s">
        <v>605</v>
      </c>
      <c r="D66" s="182" t="s">
        <v>606</v>
      </c>
      <c r="E66" s="178"/>
      <c r="F66" s="178"/>
      <c r="G66" s="182"/>
      <c r="H66" s="178"/>
      <c r="I66" s="190">
        <v>3.1</v>
      </c>
    </row>
    <row r="67" spans="1:9" ht="30">
      <c r="A67" s="177">
        <v>45002</v>
      </c>
      <c r="B67" s="182" t="s">
        <v>608</v>
      </c>
      <c r="C67" s="178" t="s">
        <v>604</v>
      </c>
      <c r="D67" s="182" t="s">
        <v>607</v>
      </c>
      <c r="E67" s="178"/>
      <c r="F67" s="178"/>
      <c r="G67" s="182"/>
      <c r="H67" s="178"/>
      <c r="I67" s="190">
        <v>2.82</v>
      </c>
    </row>
    <row r="68" spans="1:9" ht="30">
      <c r="A68" s="177">
        <v>45005</v>
      </c>
      <c r="B68" s="182"/>
      <c r="C68" s="178" t="s">
        <v>609</v>
      </c>
      <c r="D68" s="182" t="s">
        <v>610</v>
      </c>
      <c r="E68" s="178" t="s">
        <v>611</v>
      </c>
      <c r="F68" s="178" t="s">
        <v>612</v>
      </c>
      <c r="G68" s="182" t="s">
        <v>602</v>
      </c>
      <c r="H68" s="178" t="s">
        <v>613</v>
      </c>
      <c r="I68" s="190">
        <v>2.41</v>
      </c>
    </row>
    <row r="69" spans="1:9" ht="30">
      <c r="A69" s="177">
        <v>45005</v>
      </c>
      <c r="B69" s="182"/>
      <c r="C69" s="178" t="s">
        <v>614</v>
      </c>
      <c r="D69" s="182" t="s">
        <v>615</v>
      </c>
      <c r="E69" s="178" t="s">
        <v>611</v>
      </c>
      <c r="F69" s="178" t="s">
        <v>616</v>
      </c>
      <c r="G69" s="182" t="s">
        <v>602</v>
      </c>
      <c r="H69" s="178" t="s">
        <v>613</v>
      </c>
      <c r="I69" s="190">
        <v>3.2</v>
      </c>
    </row>
    <row r="70" spans="1:9" ht="15.75">
      <c r="A70" s="177">
        <v>45016</v>
      </c>
      <c r="B70" s="178"/>
      <c r="C70" s="124" t="s">
        <v>658</v>
      </c>
      <c r="D70" s="124" t="s">
        <v>685</v>
      </c>
      <c r="E70" s="124" t="s">
        <v>962</v>
      </c>
      <c r="F70" s="124" t="s">
        <v>69</v>
      </c>
      <c r="G70" s="174" t="s">
        <v>957</v>
      </c>
      <c r="H70" s="94" t="s">
        <v>613</v>
      </c>
      <c r="I70" s="95">
        <f>1.44+0.41</f>
        <v>1.8499999999999999</v>
      </c>
    </row>
    <row r="71" spans="1:9" ht="30">
      <c r="A71" s="177">
        <v>45021</v>
      </c>
      <c r="B71" s="178"/>
      <c r="C71" s="191" t="s">
        <v>923</v>
      </c>
      <c r="D71" s="192" t="s">
        <v>924</v>
      </c>
      <c r="E71" s="178"/>
      <c r="F71" s="178"/>
      <c r="G71" s="193" t="s">
        <v>929</v>
      </c>
      <c r="H71" s="193">
        <v>2000</v>
      </c>
      <c r="I71" s="194">
        <v>2.87</v>
      </c>
    </row>
    <row r="72" spans="1:9" ht="30">
      <c r="A72" s="177">
        <v>45021</v>
      </c>
      <c r="B72" s="178"/>
      <c r="C72" s="191" t="s">
        <v>925</v>
      </c>
      <c r="D72" s="192" t="s">
        <v>924</v>
      </c>
      <c r="E72" s="178"/>
      <c r="F72" s="178"/>
      <c r="G72" s="195" t="s">
        <v>930</v>
      </c>
      <c r="H72" s="195">
        <v>5000</v>
      </c>
      <c r="I72" s="196">
        <v>3.39</v>
      </c>
    </row>
    <row r="73" spans="1:9" ht="31.5">
      <c r="A73" s="177">
        <v>45021</v>
      </c>
      <c r="B73" s="178"/>
      <c r="C73" s="191" t="s">
        <v>926</v>
      </c>
      <c r="D73" s="192" t="s">
        <v>927</v>
      </c>
      <c r="E73" s="178"/>
      <c r="F73" s="178"/>
      <c r="G73" s="193" t="s">
        <v>929</v>
      </c>
      <c r="H73" s="193">
        <v>2000</v>
      </c>
      <c r="I73" s="194">
        <v>3.42</v>
      </c>
    </row>
    <row r="74" spans="1:9" ht="31.5">
      <c r="A74" s="177">
        <v>45021</v>
      </c>
      <c r="B74" s="178"/>
      <c r="C74" s="191" t="s">
        <v>928</v>
      </c>
      <c r="D74" s="192" t="s">
        <v>927</v>
      </c>
      <c r="E74" s="178"/>
      <c r="F74" s="178"/>
      <c r="G74" s="195" t="s">
        <v>930</v>
      </c>
      <c r="H74" s="195">
        <v>5000</v>
      </c>
      <c r="I74" s="196">
        <v>3.94</v>
      </c>
    </row>
    <row r="75" spans="1:9" ht="15.75">
      <c r="A75" s="177">
        <v>45034</v>
      </c>
      <c r="B75" s="178"/>
      <c r="C75" s="197" t="s">
        <v>975</v>
      </c>
      <c r="D75" s="197" t="s">
        <v>387</v>
      </c>
      <c r="E75" s="178"/>
      <c r="F75" s="170" t="s">
        <v>53</v>
      </c>
      <c r="G75" s="171" t="s">
        <v>602</v>
      </c>
      <c r="H75" s="94">
        <v>1000</v>
      </c>
      <c r="I75" s="95">
        <v>11.31</v>
      </c>
    </row>
    <row r="76" spans="1:9" ht="15.75">
      <c r="A76" s="177">
        <v>45034</v>
      </c>
      <c r="B76" s="178"/>
      <c r="C76" s="197" t="s">
        <v>975</v>
      </c>
      <c r="D76" s="197" t="s">
        <v>387</v>
      </c>
      <c r="E76" s="178"/>
      <c r="F76" s="170" t="s">
        <v>53</v>
      </c>
      <c r="G76" s="171" t="s">
        <v>602</v>
      </c>
      <c r="H76" s="94">
        <v>2000</v>
      </c>
      <c r="I76" s="95">
        <v>10.79</v>
      </c>
    </row>
    <row r="77" spans="1:9" ht="31.5">
      <c r="A77" s="177">
        <v>45035</v>
      </c>
      <c r="B77" s="178"/>
      <c r="C77" s="197" t="s">
        <v>895</v>
      </c>
      <c r="D77" s="197" t="s">
        <v>896</v>
      </c>
      <c r="E77" s="198" t="s">
        <v>121</v>
      </c>
      <c r="F77" s="170" t="s">
        <v>897</v>
      </c>
      <c r="G77" s="171" t="s">
        <v>898</v>
      </c>
      <c r="H77" s="94">
        <v>800</v>
      </c>
      <c r="I77" s="95">
        <v>3.03</v>
      </c>
    </row>
    <row r="78" spans="1:9" ht="31.5">
      <c r="A78" s="177">
        <v>45035</v>
      </c>
      <c r="B78" s="178"/>
      <c r="C78" s="197" t="s">
        <v>899</v>
      </c>
      <c r="D78" s="197" t="s">
        <v>791</v>
      </c>
      <c r="E78" s="198" t="s">
        <v>121</v>
      </c>
      <c r="F78" s="170" t="s">
        <v>897</v>
      </c>
      <c r="G78" s="171" t="s">
        <v>900</v>
      </c>
      <c r="H78" s="94">
        <v>800</v>
      </c>
      <c r="I78" s="95">
        <v>2.5099999999999998</v>
      </c>
    </row>
    <row r="79" spans="1:9" ht="15.75">
      <c r="A79" s="177">
        <v>45036</v>
      </c>
      <c r="B79" s="178"/>
      <c r="C79" s="197" t="s">
        <v>895</v>
      </c>
      <c r="D79" s="197" t="s">
        <v>896</v>
      </c>
      <c r="E79" s="198" t="s">
        <v>121</v>
      </c>
      <c r="F79" s="170" t="s">
        <v>69</v>
      </c>
      <c r="G79" s="171" t="s">
        <v>902</v>
      </c>
      <c r="H79" s="94">
        <v>800</v>
      </c>
      <c r="I79" s="95">
        <v>4.13</v>
      </c>
    </row>
    <row r="80" spans="1:9" ht="15.75">
      <c r="A80" s="177">
        <v>45036</v>
      </c>
      <c r="B80" s="178"/>
      <c r="C80" s="197" t="s">
        <v>899</v>
      </c>
      <c r="D80" s="197" t="s">
        <v>791</v>
      </c>
      <c r="E80" s="198" t="s">
        <v>121</v>
      </c>
      <c r="F80" s="170" t="s">
        <v>69</v>
      </c>
      <c r="G80" s="171" t="s">
        <v>902</v>
      </c>
      <c r="H80" s="94">
        <v>800</v>
      </c>
      <c r="I80" s="95">
        <v>2.83</v>
      </c>
    </row>
    <row r="81" spans="1:9" ht="31.5">
      <c r="A81" s="177">
        <v>45037</v>
      </c>
      <c r="B81" s="197" t="s">
        <v>976</v>
      </c>
      <c r="C81" s="197" t="s">
        <v>975</v>
      </c>
      <c r="D81" s="197" t="s">
        <v>387</v>
      </c>
      <c r="E81" s="199" t="s">
        <v>977</v>
      </c>
      <c r="F81" s="170" t="s">
        <v>53</v>
      </c>
      <c r="G81" s="171" t="s">
        <v>602</v>
      </c>
      <c r="H81" s="94">
        <v>1000</v>
      </c>
      <c r="I81" s="95">
        <v>6.44</v>
      </c>
    </row>
    <row r="82" spans="1:9" ht="31.5">
      <c r="A82" s="177">
        <v>45037</v>
      </c>
      <c r="B82" s="197" t="s">
        <v>976</v>
      </c>
      <c r="C82" s="197" t="s">
        <v>975</v>
      </c>
      <c r="D82" s="197" t="s">
        <v>387</v>
      </c>
      <c r="E82" s="199" t="s">
        <v>977</v>
      </c>
      <c r="F82" s="170" t="s">
        <v>53</v>
      </c>
      <c r="G82" s="171" t="s">
        <v>602</v>
      </c>
      <c r="H82" s="94">
        <v>2000</v>
      </c>
      <c r="I82" s="95">
        <v>6.15</v>
      </c>
    </row>
    <row r="83" spans="1:9" ht="31.5">
      <c r="A83" s="177">
        <v>45037</v>
      </c>
      <c r="B83" s="197" t="s">
        <v>980</v>
      </c>
      <c r="C83" s="197" t="s">
        <v>978</v>
      </c>
      <c r="D83" s="197" t="s">
        <v>979</v>
      </c>
      <c r="E83" s="199" t="s">
        <v>981</v>
      </c>
      <c r="F83" s="170" t="s">
        <v>53</v>
      </c>
      <c r="G83" s="171" t="s">
        <v>602</v>
      </c>
      <c r="H83" s="94" t="s">
        <v>572</v>
      </c>
      <c r="I83" s="95">
        <v>6.83</v>
      </c>
    </row>
    <row r="84" spans="1:9" ht="31.5">
      <c r="A84" s="177">
        <v>45037</v>
      </c>
      <c r="B84" s="197" t="s">
        <v>980</v>
      </c>
      <c r="C84" s="197" t="s">
        <v>978</v>
      </c>
      <c r="D84" s="197" t="s">
        <v>979</v>
      </c>
      <c r="E84" s="199" t="s">
        <v>982</v>
      </c>
      <c r="F84" s="170" t="s">
        <v>53</v>
      </c>
      <c r="G84" s="171" t="s">
        <v>602</v>
      </c>
      <c r="H84" s="94" t="s">
        <v>572</v>
      </c>
      <c r="I84" s="95">
        <v>6.9</v>
      </c>
    </row>
    <row r="85" spans="1:9" ht="31.5">
      <c r="A85" s="177">
        <v>45037</v>
      </c>
      <c r="B85" s="197" t="s">
        <v>985</v>
      </c>
      <c r="C85" s="197" t="s">
        <v>983</v>
      </c>
      <c r="D85" s="197" t="s">
        <v>984</v>
      </c>
      <c r="E85" s="199" t="s">
        <v>981</v>
      </c>
      <c r="F85" s="170" t="s">
        <v>53</v>
      </c>
      <c r="G85" s="171" t="s">
        <v>602</v>
      </c>
      <c r="H85" s="94" t="s">
        <v>572</v>
      </c>
      <c r="I85" s="95">
        <v>7.57</v>
      </c>
    </row>
    <row r="86" spans="1:9" ht="31.5">
      <c r="A86" s="177">
        <v>45037</v>
      </c>
      <c r="B86" s="197" t="s">
        <v>985</v>
      </c>
      <c r="C86" s="197" t="s">
        <v>983</v>
      </c>
      <c r="D86" s="197" t="s">
        <v>984</v>
      </c>
      <c r="E86" s="199" t="s">
        <v>982</v>
      </c>
      <c r="F86" s="170" t="s">
        <v>53</v>
      </c>
      <c r="G86" s="171" t="s">
        <v>602</v>
      </c>
      <c r="H86" s="94" t="s">
        <v>572</v>
      </c>
      <c r="I86" s="95">
        <v>7.64</v>
      </c>
    </row>
    <row r="87" spans="1:9" ht="31.5">
      <c r="A87" s="177">
        <v>45037</v>
      </c>
      <c r="B87" s="197" t="s">
        <v>988</v>
      </c>
      <c r="C87" s="197" t="s">
        <v>986</v>
      </c>
      <c r="D87" s="197" t="s">
        <v>987</v>
      </c>
      <c r="E87" s="199" t="s">
        <v>981</v>
      </c>
      <c r="F87" s="170" t="s">
        <v>53</v>
      </c>
      <c r="G87" s="171" t="s">
        <v>602</v>
      </c>
      <c r="H87" s="94" t="s">
        <v>572</v>
      </c>
      <c r="I87" s="95">
        <v>8.68</v>
      </c>
    </row>
    <row r="88" spans="1:9" ht="31.5">
      <c r="A88" s="177">
        <v>45037</v>
      </c>
      <c r="B88" s="197" t="s">
        <v>988</v>
      </c>
      <c r="C88" s="197" t="s">
        <v>986</v>
      </c>
      <c r="D88" s="197" t="s">
        <v>979</v>
      </c>
      <c r="E88" s="199" t="s">
        <v>982</v>
      </c>
      <c r="F88" s="170" t="s">
        <v>53</v>
      </c>
      <c r="G88" s="171" t="s">
        <v>602</v>
      </c>
      <c r="H88" s="94" t="s">
        <v>572</v>
      </c>
      <c r="I88" s="95">
        <v>8.7799999999999994</v>
      </c>
    </row>
    <row r="89" spans="1:9" ht="31.5">
      <c r="A89" s="177">
        <v>45040</v>
      </c>
      <c r="B89" s="178"/>
      <c r="C89" s="168" t="s">
        <v>972</v>
      </c>
      <c r="D89" s="168" t="s">
        <v>973</v>
      </c>
      <c r="E89" s="179" t="s">
        <v>97</v>
      </c>
      <c r="F89" s="180" t="s">
        <v>53</v>
      </c>
      <c r="G89" s="187" t="s">
        <v>974</v>
      </c>
      <c r="H89" s="94">
        <v>3000</v>
      </c>
      <c r="I89" s="95">
        <v>34.979999999999997</v>
      </c>
    </row>
    <row r="90" spans="1:9" ht="31.5">
      <c r="A90" s="177">
        <v>45050</v>
      </c>
      <c r="B90" s="178"/>
      <c r="C90" s="124" t="s">
        <v>1008</v>
      </c>
      <c r="D90" s="124" t="s">
        <v>495</v>
      </c>
      <c r="E90" s="138" t="s">
        <v>1009</v>
      </c>
      <c r="F90" s="124" t="s">
        <v>53</v>
      </c>
      <c r="G90" s="187" t="s">
        <v>498</v>
      </c>
      <c r="H90" s="94">
        <v>2500</v>
      </c>
      <c r="I90" s="95">
        <v>2.11</v>
      </c>
    </row>
    <row r="91" spans="1:9" ht="31.5">
      <c r="A91" s="177">
        <v>45050</v>
      </c>
      <c r="B91" s="178"/>
      <c r="C91" s="124" t="s">
        <v>1008</v>
      </c>
      <c r="D91" s="124" t="s">
        <v>495</v>
      </c>
      <c r="E91" s="138" t="s">
        <v>1009</v>
      </c>
      <c r="F91" s="124" t="s">
        <v>53</v>
      </c>
      <c r="G91" s="187" t="s">
        <v>498</v>
      </c>
      <c r="H91" s="94">
        <v>5000</v>
      </c>
      <c r="I91" s="95">
        <v>2.06</v>
      </c>
    </row>
    <row r="92" spans="1:9" ht="31.5">
      <c r="A92" s="177">
        <v>45050</v>
      </c>
      <c r="B92" s="178"/>
      <c r="C92" s="124" t="s">
        <v>1008</v>
      </c>
      <c r="D92" s="124" t="s">
        <v>495</v>
      </c>
      <c r="E92" s="138" t="s">
        <v>1009</v>
      </c>
      <c r="F92" s="124" t="s">
        <v>53</v>
      </c>
      <c r="G92" s="187" t="s">
        <v>498</v>
      </c>
      <c r="H92" s="94">
        <v>7000</v>
      </c>
      <c r="I92" s="95">
        <v>2.0299999999999998</v>
      </c>
    </row>
    <row r="93" spans="1:9" ht="15.75">
      <c r="A93" s="177">
        <v>45051</v>
      </c>
      <c r="B93" s="182"/>
      <c r="C93" s="178" t="s">
        <v>785</v>
      </c>
      <c r="D93" s="182" t="s">
        <v>786</v>
      </c>
      <c r="E93" s="178"/>
      <c r="F93" s="178"/>
      <c r="G93" s="182" t="s">
        <v>788</v>
      </c>
      <c r="H93" s="178">
        <v>1000</v>
      </c>
      <c r="I93" s="196">
        <v>18.55</v>
      </c>
    </row>
    <row r="94" spans="1:9" ht="15.75">
      <c r="A94" s="177">
        <v>45051</v>
      </c>
      <c r="B94" s="182"/>
      <c r="C94" s="178" t="s">
        <v>785</v>
      </c>
      <c r="D94" s="182" t="s">
        <v>786</v>
      </c>
      <c r="E94" s="178"/>
      <c r="F94" s="178"/>
      <c r="G94" s="182" t="s">
        <v>789</v>
      </c>
      <c r="H94" s="178">
        <v>2000</v>
      </c>
      <c r="I94" s="196">
        <v>19.7</v>
      </c>
    </row>
    <row r="95" spans="1:9" ht="30">
      <c r="A95" s="177">
        <v>45051</v>
      </c>
      <c r="B95" s="178"/>
      <c r="C95" s="164" t="s">
        <v>352</v>
      </c>
      <c r="D95" s="164" t="s">
        <v>847</v>
      </c>
      <c r="E95" s="164" t="s">
        <v>848</v>
      </c>
      <c r="F95" s="164" t="s">
        <v>849</v>
      </c>
      <c r="G95" s="164" t="s">
        <v>850</v>
      </c>
      <c r="H95" s="200">
        <v>500</v>
      </c>
      <c r="I95" s="201">
        <v>11.09</v>
      </c>
    </row>
    <row r="96" spans="1:9" ht="30">
      <c r="A96" s="177">
        <v>45051</v>
      </c>
      <c r="B96" s="178"/>
      <c r="C96" s="164" t="s">
        <v>352</v>
      </c>
      <c r="D96" s="164" t="s">
        <v>847</v>
      </c>
      <c r="E96" s="164" t="s">
        <v>848</v>
      </c>
      <c r="F96" s="164" t="s">
        <v>849</v>
      </c>
      <c r="G96" s="164" t="s">
        <v>850</v>
      </c>
      <c r="H96" s="200">
        <v>1000</v>
      </c>
      <c r="I96" s="201">
        <v>10.58</v>
      </c>
    </row>
    <row r="97" spans="1:9" ht="30">
      <c r="A97" s="177">
        <v>45051</v>
      </c>
      <c r="B97" s="178"/>
      <c r="C97" s="168" t="s">
        <v>267</v>
      </c>
      <c r="D97" s="168" t="s">
        <v>465</v>
      </c>
      <c r="E97" s="179" t="s">
        <v>959</v>
      </c>
      <c r="F97" s="180" t="s">
        <v>53</v>
      </c>
      <c r="G97" s="187" t="s">
        <v>411</v>
      </c>
      <c r="H97" s="94" t="s">
        <v>613</v>
      </c>
      <c r="I97" s="95">
        <f>1.44+0.41</f>
        <v>1.8499999999999999</v>
      </c>
    </row>
    <row r="98" spans="1:9" ht="30">
      <c r="A98" s="177">
        <v>45051</v>
      </c>
      <c r="B98" s="178"/>
      <c r="C98" s="168" t="s">
        <v>267</v>
      </c>
      <c r="D98" s="168" t="s">
        <v>465</v>
      </c>
      <c r="E98" s="179" t="s">
        <v>959</v>
      </c>
      <c r="F98" s="180" t="s">
        <v>53</v>
      </c>
      <c r="G98" s="187" t="s">
        <v>411</v>
      </c>
      <c r="H98" s="94">
        <v>1000</v>
      </c>
      <c r="I98" s="95">
        <f>1.44+0.37</f>
        <v>1.81</v>
      </c>
    </row>
    <row r="99" spans="1:9" ht="30">
      <c r="A99" s="177">
        <v>45051</v>
      </c>
      <c r="B99" s="178"/>
      <c r="C99" s="168" t="s">
        <v>267</v>
      </c>
      <c r="D99" s="168" t="s">
        <v>465</v>
      </c>
      <c r="E99" s="179" t="s">
        <v>960</v>
      </c>
      <c r="F99" s="180" t="s">
        <v>53</v>
      </c>
      <c r="G99" s="187" t="s">
        <v>411</v>
      </c>
      <c r="H99" s="94" t="s">
        <v>961</v>
      </c>
      <c r="I99" s="95">
        <f>1.44+0.67</f>
        <v>2.11</v>
      </c>
    </row>
    <row r="100" spans="1:9" ht="15.75">
      <c r="A100" s="177">
        <v>45054</v>
      </c>
      <c r="B100" s="182"/>
      <c r="C100" s="178" t="s">
        <v>785</v>
      </c>
      <c r="D100" s="182" t="s">
        <v>786</v>
      </c>
      <c r="E100" s="178"/>
      <c r="F100" s="178"/>
      <c r="G100" s="182" t="s">
        <v>788</v>
      </c>
      <c r="H100" s="178">
        <v>1000</v>
      </c>
      <c r="I100" s="196">
        <v>14.96</v>
      </c>
    </row>
    <row r="101" spans="1:9" ht="15.75">
      <c r="A101" s="177">
        <v>45054</v>
      </c>
      <c r="B101" s="182"/>
      <c r="C101" s="178"/>
      <c r="D101" s="182" t="s">
        <v>787</v>
      </c>
      <c r="E101" s="178"/>
      <c r="F101" s="178"/>
      <c r="G101" s="182"/>
      <c r="H101" s="178">
        <v>1000</v>
      </c>
      <c r="I101" s="196">
        <v>3.7</v>
      </c>
    </row>
    <row r="102" spans="1:9" ht="31.5">
      <c r="A102" s="177">
        <v>45055</v>
      </c>
      <c r="B102" s="171" t="s">
        <v>922</v>
      </c>
      <c r="C102" s="167" t="s">
        <v>919</v>
      </c>
      <c r="D102" s="168" t="s">
        <v>920</v>
      </c>
      <c r="E102" s="168" t="s">
        <v>921</v>
      </c>
      <c r="F102" s="169" t="s">
        <v>53</v>
      </c>
      <c r="G102" s="170" t="s">
        <v>602</v>
      </c>
      <c r="H102" s="171">
        <v>3000</v>
      </c>
      <c r="I102" s="95">
        <v>2.8</v>
      </c>
    </row>
    <row r="103" spans="1:9" ht="135">
      <c r="A103" s="177">
        <v>45058</v>
      </c>
      <c r="B103" s="178"/>
      <c r="C103" s="197" t="s">
        <v>859</v>
      </c>
      <c r="D103" s="197" t="s">
        <v>860</v>
      </c>
      <c r="E103" s="198" t="s">
        <v>861</v>
      </c>
      <c r="F103" s="170" t="s">
        <v>862</v>
      </c>
      <c r="G103" s="171" t="s">
        <v>863</v>
      </c>
      <c r="H103" s="94" t="s">
        <v>793</v>
      </c>
      <c r="I103" s="95">
        <f>14.33+1</f>
        <v>15.33</v>
      </c>
    </row>
    <row r="104" spans="1:9" ht="135">
      <c r="A104" s="177">
        <v>45058</v>
      </c>
      <c r="B104" s="178"/>
      <c r="C104" s="197" t="s">
        <v>859</v>
      </c>
      <c r="D104" s="197" t="s">
        <v>860</v>
      </c>
      <c r="E104" s="198" t="s">
        <v>861</v>
      </c>
      <c r="F104" s="170" t="s">
        <v>862</v>
      </c>
      <c r="G104" s="171" t="s">
        <v>863</v>
      </c>
      <c r="H104" s="94" t="s">
        <v>794</v>
      </c>
      <c r="I104" s="95">
        <f>13.14+0.86</f>
        <v>14</v>
      </c>
    </row>
    <row r="105" spans="1:9" ht="15.75">
      <c r="A105" s="177">
        <v>45064</v>
      </c>
      <c r="B105" s="182" t="s">
        <v>773</v>
      </c>
      <c r="C105" s="178" t="s">
        <v>777</v>
      </c>
      <c r="D105" s="182" t="s">
        <v>778</v>
      </c>
      <c r="E105" s="178" t="s">
        <v>133</v>
      </c>
      <c r="F105" s="178"/>
      <c r="G105" s="182"/>
      <c r="H105" s="178">
        <v>500</v>
      </c>
      <c r="I105" s="196">
        <v>4.83</v>
      </c>
    </row>
    <row r="106" spans="1:9" ht="15.75">
      <c r="A106" s="177">
        <v>45064</v>
      </c>
      <c r="B106" s="182" t="s">
        <v>774</v>
      </c>
      <c r="C106" s="178" t="s">
        <v>779</v>
      </c>
      <c r="D106" s="182" t="s">
        <v>95</v>
      </c>
      <c r="E106" s="178" t="s">
        <v>133</v>
      </c>
      <c r="F106" s="178"/>
      <c r="G106" s="182"/>
      <c r="H106" s="178">
        <v>500</v>
      </c>
      <c r="I106" s="196">
        <v>4.96</v>
      </c>
    </row>
    <row r="107" spans="1:9" ht="30">
      <c r="A107" s="177">
        <v>45064</v>
      </c>
      <c r="B107" s="182" t="s">
        <v>775</v>
      </c>
      <c r="C107" s="178" t="s">
        <v>780</v>
      </c>
      <c r="D107" s="182" t="s">
        <v>781</v>
      </c>
      <c r="E107" s="178" t="s">
        <v>133</v>
      </c>
      <c r="F107" s="178"/>
      <c r="G107" s="182"/>
      <c r="H107" s="178">
        <v>500</v>
      </c>
      <c r="I107" s="196">
        <v>1.98</v>
      </c>
    </row>
    <row r="108" spans="1:9" ht="15.75">
      <c r="A108" s="177">
        <v>45064</v>
      </c>
      <c r="B108" s="182" t="s">
        <v>776</v>
      </c>
      <c r="C108" s="178" t="s">
        <v>782</v>
      </c>
      <c r="D108" s="182" t="s">
        <v>783</v>
      </c>
      <c r="E108" s="178" t="s">
        <v>772</v>
      </c>
      <c r="F108" s="178"/>
      <c r="G108" s="182"/>
      <c r="H108" s="178">
        <v>500</v>
      </c>
      <c r="I108" s="196">
        <v>2.85</v>
      </c>
    </row>
    <row r="109" spans="1:9" ht="15.75">
      <c r="A109" s="177">
        <v>45064</v>
      </c>
      <c r="B109" s="182" t="s">
        <v>776</v>
      </c>
      <c r="C109" s="178" t="s">
        <v>782</v>
      </c>
      <c r="D109" s="182" t="s">
        <v>784</v>
      </c>
      <c r="E109" s="178"/>
      <c r="F109" s="178"/>
      <c r="G109" s="182"/>
      <c r="H109" s="178">
        <v>500</v>
      </c>
      <c r="I109" s="196">
        <v>2.5499999999999998</v>
      </c>
    </row>
    <row r="110" spans="1:9" ht="15.75">
      <c r="A110" s="177">
        <v>45069</v>
      </c>
      <c r="B110" s="182"/>
      <c r="C110" s="178" t="s">
        <v>790</v>
      </c>
      <c r="D110" s="182" t="s">
        <v>791</v>
      </c>
      <c r="E110" s="178" t="s">
        <v>792</v>
      </c>
      <c r="F110" s="178" t="s">
        <v>69</v>
      </c>
      <c r="G110" s="182" t="s">
        <v>602</v>
      </c>
      <c r="H110" s="178" t="s">
        <v>793</v>
      </c>
      <c r="I110" s="196">
        <f>10.88+0.94</f>
        <v>11.82</v>
      </c>
    </row>
    <row r="111" spans="1:9" ht="15.75">
      <c r="A111" s="177">
        <v>45069</v>
      </c>
      <c r="B111" s="182"/>
      <c r="C111" s="178" t="s">
        <v>790</v>
      </c>
      <c r="D111" s="182" t="s">
        <v>791</v>
      </c>
      <c r="E111" s="178" t="s">
        <v>792</v>
      </c>
      <c r="F111" s="178" t="s">
        <v>69</v>
      </c>
      <c r="G111" s="182" t="s">
        <v>602</v>
      </c>
      <c r="H111" s="178" t="s">
        <v>794</v>
      </c>
      <c r="I111" s="196">
        <f>10.4+0.94</f>
        <v>11.34</v>
      </c>
    </row>
    <row r="112" spans="1:9" ht="15.75">
      <c r="A112" s="177">
        <v>45069</v>
      </c>
      <c r="B112" s="182"/>
      <c r="C112" s="178" t="s">
        <v>790</v>
      </c>
      <c r="D112" s="182" t="s">
        <v>791</v>
      </c>
      <c r="E112" s="178" t="s">
        <v>795</v>
      </c>
      <c r="F112" s="178" t="s">
        <v>69</v>
      </c>
      <c r="G112" s="182" t="s">
        <v>602</v>
      </c>
      <c r="H112" s="178" t="s">
        <v>793</v>
      </c>
      <c r="I112" s="196">
        <f>10.75+0.94</f>
        <v>11.69</v>
      </c>
    </row>
    <row r="113" spans="1:9" ht="15.75">
      <c r="A113" s="177">
        <v>45069</v>
      </c>
      <c r="B113" s="182"/>
      <c r="C113" s="178" t="s">
        <v>790</v>
      </c>
      <c r="D113" s="182" t="s">
        <v>791</v>
      </c>
      <c r="E113" s="178" t="s">
        <v>795</v>
      </c>
      <c r="F113" s="178" t="s">
        <v>69</v>
      </c>
      <c r="G113" s="182" t="s">
        <v>602</v>
      </c>
      <c r="H113" s="178" t="s">
        <v>794</v>
      </c>
      <c r="I113" s="196">
        <f>10.29+0.94</f>
        <v>11.229999999999999</v>
      </c>
    </row>
    <row r="114" spans="1:9" ht="15.75">
      <c r="A114" s="177">
        <v>45069</v>
      </c>
      <c r="B114" s="182"/>
      <c r="C114" s="178" t="s">
        <v>790</v>
      </c>
      <c r="D114" s="182" t="s">
        <v>791</v>
      </c>
      <c r="E114" s="178" t="s">
        <v>637</v>
      </c>
      <c r="F114" s="178" t="s">
        <v>53</v>
      </c>
      <c r="G114" s="182" t="s">
        <v>602</v>
      </c>
      <c r="H114" s="178" t="s">
        <v>793</v>
      </c>
      <c r="I114" s="196">
        <v>12.21</v>
      </c>
    </row>
    <row r="115" spans="1:9" ht="15.75">
      <c r="A115" s="177">
        <v>45069</v>
      </c>
      <c r="B115" s="182"/>
      <c r="C115" s="178" t="s">
        <v>790</v>
      </c>
      <c r="D115" s="182" t="s">
        <v>791</v>
      </c>
      <c r="E115" s="178" t="s">
        <v>637</v>
      </c>
      <c r="F115" s="178" t="s">
        <v>53</v>
      </c>
      <c r="G115" s="182" t="s">
        <v>602</v>
      </c>
      <c r="H115" s="178" t="s">
        <v>794</v>
      </c>
      <c r="I115" s="196">
        <v>11.68</v>
      </c>
    </row>
    <row r="116" spans="1:9" ht="15.75">
      <c r="A116" s="177">
        <v>45071</v>
      </c>
      <c r="B116" s="182"/>
      <c r="C116" s="178" t="s">
        <v>796</v>
      </c>
      <c r="D116" s="182" t="s">
        <v>797</v>
      </c>
      <c r="E116" s="178"/>
      <c r="F116" s="178" t="s">
        <v>798</v>
      </c>
      <c r="G116" s="182" t="s">
        <v>459</v>
      </c>
      <c r="H116" s="178">
        <v>5000</v>
      </c>
      <c r="I116" s="196">
        <v>3.03</v>
      </c>
    </row>
    <row r="117" spans="1:9">
      <c r="A117" s="177">
        <v>45072</v>
      </c>
      <c r="B117" s="182" t="s">
        <v>769</v>
      </c>
      <c r="C117" s="178" t="s">
        <v>758</v>
      </c>
      <c r="D117" s="182" t="s">
        <v>759</v>
      </c>
      <c r="E117" s="178" t="s">
        <v>768</v>
      </c>
      <c r="F117" s="178" t="s">
        <v>765</v>
      </c>
      <c r="G117" s="182" t="s">
        <v>764</v>
      </c>
      <c r="H117" s="178">
        <v>500</v>
      </c>
      <c r="I117" s="190">
        <v>3.95</v>
      </c>
    </row>
    <row r="118" spans="1:9">
      <c r="A118" s="177">
        <v>45072</v>
      </c>
      <c r="B118" s="182" t="s">
        <v>770</v>
      </c>
      <c r="C118" s="178" t="s">
        <v>760</v>
      </c>
      <c r="D118" s="182" t="s">
        <v>761</v>
      </c>
      <c r="E118" s="178" t="s">
        <v>768</v>
      </c>
      <c r="F118" s="178" t="s">
        <v>766</v>
      </c>
      <c r="G118" s="182" t="s">
        <v>764</v>
      </c>
      <c r="H118" s="178">
        <v>500</v>
      </c>
      <c r="I118" s="190">
        <v>5.07</v>
      </c>
    </row>
    <row r="119" spans="1:9">
      <c r="A119" s="177">
        <v>45072</v>
      </c>
      <c r="B119" s="182" t="s">
        <v>771</v>
      </c>
      <c r="C119" s="178" t="s">
        <v>762</v>
      </c>
      <c r="D119" s="182" t="s">
        <v>763</v>
      </c>
      <c r="E119" s="178" t="s">
        <v>768</v>
      </c>
      <c r="F119" s="178" t="s">
        <v>767</v>
      </c>
      <c r="G119" s="182" t="s">
        <v>764</v>
      </c>
      <c r="H119" s="178">
        <v>500</v>
      </c>
      <c r="I119" s="190">
        <v>5.62</v>
      </c>
    </row>
    <row r="120" spans="1:9" ht="15.75">
      <c r="A120" s="177">
        <v>45072</v>
      </c>
      <c r="B120" s="182" t="s">
        <v>769</v>
      </c>
      <c r="C120" s="178" t="s">
        <v>758</v>
      </c>
      <c r="D120" s="182" t="s">
        <v>759</v>
      </c>
      <c r="E120" s="178" t="s">
        <v>768</v>
      </c>
      <c r="F120" s="178" t="s">
        <v>765</v>
      </c>
      <c r="G120" s="182" t="s">
        <v>764</v>
      </c>
      <c r="H120" s="178">
        <v>500</v>
      </c>
      <c r="I120" s="196">
        <v>4.16</v>
      </c>
    </row>
    <row r="121" spans="1:9" ht="15.75">
      <c r="A121" s="177">
        <v>45072</v>
      </c>
      <c r="B121" s="182" t="s">
        <v>770</v>
      </c>
      <c r="C121" s="178" t="s">
        <v>760</v>
      </c>
      <c r="D121" s="182" t="s">
        <v>761</v>
      </c>
      <c r="E121" s="178" t="s">
        <v>768</v>
      </c>
      <c r="F121" s="178" t="s">
        <v>766</v>
      </c>
      <c r="G121" s="182" t="s">
        <v>764</v>
      </c>
      <c r="H121" s="178">
        <v>500</v>
      </c>
      <c r="I121" s="196">
        <v>5.35</v>
      </c>
    </row>
    <row r="122" spans="1:9" ht="15.75">
      <c r="A122" s="177">
        <v>45072</v>
      </c>
      <c r="B122" s="182" t="s">
        <v>771</v>
      </c>
      <c r="C122" s="178" t="s">
        <v>762</v>
      </c>
      <c r="D122" s="182" t="s">
        <v>763</v>
      </c>
      <c r="E122" s="178" t="s">
        <v>768</v>
      </c>
      <c r="F122" s="178" t="s">
        <v>767</v>
      </c>
      <c r="G122" s="182" t="s">
        <v>764</v>
      </c>
      <c r="H122" s="178">
        <v>500</v>
      </c>
      <c r="I122" s="196">
        <v>5.95</v>
      </c>
    </row>
    <row r="123" spans="1:9" ht="30">
      <c r="A123" s="177">
        <v>45072</v>
      </c>
      <c r="B123" s="178"/>
      <c r="C123" s="168" t="s">
        <v>964</v>
      </c>
      <c r="D123" s="168" t="s">
        <v>965</v>
      </c>
      <c r="E123" s="179" t="s">
        <v>966</v>
      </c>
      <c r="F123" s="180" t="s">
        <v>967</v>
      </c>
      <c r="G123" s="187" t="s">
        <v>602</v>
      </c>
      <c r="H123" s="94">
        <v>250</v>
      </c>
      <c r="I123" s="95">
        <v>12.5</v>
      </c>
    </row>
    <row r="124" spans="1:9" ht="31.5">
      <c r="A124" s="177">
        <v>45077</v>
      </c>
      <c r="B124" s="178"/>
      <c r="C124" s="197" t="s">
        <v>895</v>
      </c>
      <c r="D124" s="197" t="s">
        <v>896</v>
      </c>
      <c r="E124" s="198" t="s">
        <v>121</v>
      </c>
      <c r="F124" s="170" t="s">
        <v>69</v>
      </c>
      <c r="G124" s="171" t="s">
        <v>901</v>
      </c>
      <c r="H124" s="94">
        <v>800</v>
      </c>
      <c r="I124" s="95">
        <v>4.25</v>
      </c>
    </row>
    <row r="125" spans="1:9" ht="31.5">
      <c r="A125" s="177">
        <v>45077</v>
      </c>
      <c r="B125" s="178"/>
      <c r="C125" s="197" t="s">
        <v>899</v>
      </c>
      <c r="D125" s="197" t="s">
        <v>791</v>
      </c>
      <c r="E125" s="198" t="s">
        <v>121</v>
      </c>
      <c r="F125" s="170" t="s">
        <v>69</v>
      </c>
      <c r="G125" s="171" t="s">
        <v>901</v>
      </c>
      <c r="H125" s="94">
        <v>800</v>
      </c>
      <c r="I125" s="95">
        <v>3.19</v>
      </c>
    </row>
    <row r="126" spans="1:9" ht="30">
      <c r="A126" s="177">
        <v>45094</v>
      </c>
      <c r="B126" s="178"/>
      <c r="C126" s="202" t="s">
        <v>164</v>
      </c>
      <c r="D126" s="133" t="s">
        <v>82</v>
      </c>
      <c r="E126" s="203" t="s">
        <v>165</v>
      </c>
      <c r="F126" s="164" t="s">
        <v>963</v>
      </c>
      <c r="G126" s="187" t="s">
        <v>602</v>
      </c>
      <c r="H126" s="94" t="s">
        <v>794</v>
      </c>
      <c r="I126" s="95">
        <f>1.2+0.4</f>
        <v>1.6</v>
      </c>
    </row>
    <row r="127" spans="1:9" ht="30">
      <c r="A127" s="177">
        <v>45094</v>
      </c>
      <c r="B127" s="178"/>
      <c r="C127" s="202" t="s">
        <v>164</v>
      </c>
      <c r="D127" s="133" t="s">
        <v>82</v>
      </c>
      <c r="E127" s="203" t="s">
        <v>165</v>
      </c>
      <c r="F127" s="164" t="s">
        <v>963</v>
      </c>
      <c r="G127" s="187" t="s">
        <v>602</v>
      </c>
      <c r="H127" s="94" t="s">
        <v>793</v>
      </c>
      <c r="I127" s="95">
        <f>1.2+0.47</f>
        <v>1.67</v>
      </c>
    </row>
    <row r="128" spans="1:9" ht="60">
      <c r="A128" s="177">
        <v>45100</v>
      </c>
      <c r="B128" s="178"/>
      <c r="C128" s="164" t="s">
        <v>352</v>
      </c>
      <c r="D128" s="164" t="s">
        <v>847</v>
      </c>
      <c r="E128" s="164" t="s">
        <v>848</v>
      </c>
      <c r="F128" s="164" t="s">
        <v>851</v>
      </c>
      <c r="G128" s="164" t="s">
        <v>850</v>
      </c>
      <c r="H128" s="200" t="s">
        <v>509</v>
      </c>
      <c r="I128" s="201">
        <v>10.4</v>
      </c>
    </row>
    <row r="129" spans="1:9" ht="15.75">
      <c r="A129" s="177">
        <v>45110</v>
      </c>
      <c r="B129" s="178"/>
      <c r="C129" s="167" t="s">
        <v>931</v>
      </c>
      <c r="D129" s="168" t="s">
        <v>932</v>
      </c>
      <c r="E129" s="168" t="s">
        <v>933</v>
      </c>
      <c r="F129" s="169" t="s">
        <v>934</v>
      </c>
      <c r="G129" s="170" t="s">
        <v>602</v>
      </c>
      <c r="H129" s="171" t="s">
        <v>509</v>
      </c>
      <c r="I129" s="95">
        <v>1.67</v>
      </c>
    </row>
    <row r="130" spans="1:9" ht="45">
      <c r="A130" s="177">
        <v>45111</v>
      </c>
      <c r="B130" s="178"/>
      <c r="C130" s="204" t="s">
        <v>903</v>
      </c>
      <c r="D130" s="133" t="s">
        <v>904</v>
      </c>
      <c r="E130" s="205" t="s">
        <v>905</v>
      </c>
      <c r="F130" s="206" t="s">
        <v>906</v>
      </c>
      <c r="G130" s="133" t="s">
        <v>907</v>
      </c>
      <c r="H130" s="207">
        <v>500</v>
      </c>
      <c r="I130" s="208">
        <v>1.8</v>
      </c>
    </row>
    <row r="131" spans="1:9" ht="30">
      <c r="A131" s="177">
        <v>45111</v>
      </c>
      <c r="B131" s="178"/>
      <c r="C131" s="204" t="s">
        <v>908</v>
      </c>
      <c r="D131" s="133" t="s">
        <v>904</v>
      </c>
      <c r="E131" s="209" t="s">
        <v>909</v>
      </c>
      <c r="F131" s="206" t="s">
        <v>910</v>
      </c>
      <c r="G131" s="133" t="s">
        <v>911</v>
      </c>
      <c r="H131" s="207">
        <v>500</v>
      </c>
      <c r="I131" s="208">
        <v>1.8</v>
      </c>
    </row>
    <row r="132" spans="1:9" ht="30">
      <c r="A132" s="177">
        <v>45111</v>
      </c>
      <c r="B132" s="178"/>
      <c r="C132" s="204" t="s">
        <v>908</v>
      </c>
      <c r="D132" s="133" t="s">
        <v>904</v>
      </c>
      <c r="E132" s="209" t="s">
        <v>912</v>
      </c>
      <c r="F132" s="206" t="s">
        <v>910</v>
      </c>
      <c r="G132" s="133" t="s">
        <v>911</v>
      </c>
      <c r="H132" s="207">
        <v>500</v>
      </c>
      <c r="I132" s="208">
        <v>2.0499999999999998</v>
      </c>
    </row>
    <row r="133" spans="1:9" ht="30">
      <c r="A133" s="177">
        <v>45111</v>
      </c>
      <c r="B133" s="178"/>
      <c r="C133" s="204" t="s">
        <v>913</v>
      </c>
      <c r="D133" s="133" t="s">
        <v>904</v>
      </c>
      <c r="E133" s="205" t="s">
        <v>905</v>
      </c>
      <c r="F133" s="206" t="s">
        <v>914</v>
      </c>
      <c r="G133" s="133" t="s">
        <v>915</v>
      </c>
      <c r="H133" s="207">
        <v>500</v>
      </c>
      <c r="I133" s="208">
        <v>1.9</v>
      </c>
    </row>
    <row r="134" spans="1:9" ht="15.75">
      <c r="A134" s="177">
        <v>45113</v>
      </c>
      <c r="B134" s="182"/>
      <c r="C134" s="178" t="s">
        <v>799</v>
      </c>
      <c r="D134" s="178" t="s">
        <v>800</v>
      </c>
      <c r="E134" s="178"/>
      <c r="F134" s="178"/>
      <c r="G134" s="178"/>
      <c r="H134" s="178">
        <v>250</v>
      </c>
      <c r="I134" s="196">
        <v>2.0499999999999998</v>
      </c>
    </row>
    <row r="135" spans="1:9" ht="15.75">
      <c r="A135" s="177">
        <v>45113</v>
      </c>
      <c r="B135" s="182"/>
      <c r="C135" s="178"/>
      <c r="D135" s="178"/>
      <c r="E135" s="178"/>
      <c r="F135" s="178"/>
      <c r="G135" s="178"/>
      <c r="H135" s="178">
        <v>500</v>
      </c>
      <c r="I135" s="196">
        <v>1.96</v>
      </c>
    </row>
    <row r="136" spans="1:9" ht="15.75">
      <c r="A136" s="177">
        <v>45117</v>
      </c>
      <c r="B136" s="182"/>
      <c r="C136" s="178" t="s">
        <v>799</v>
      </c>
      <c r="D136" s="178" t="s">
        <v>800</v>
      </c>
      <c r="E136" s="178"/>
      <c r="F136" s="178"/>
      <c r="G136" s="178" t="s">
        <v>801</v>
      </c>
      <c r="H136" s="178">
        <v>250</v>
      </c>
      <c r="I136" s="196">
        <v>1.85</v>
      </c>
    </row>
    <row r="137" spans="1:9" ht="15.75">
      <c r="A137" s="177">
        <v>45117</v>
      </c>
      <c r="B137" s="182"/>
      <c r="C137" s="178"/>
      <c r="D137" s="178"/>
      <c r="E137" s="178"/>
      <c r="F137" s="178"/>
      <c r="G137" s="178"/>
      <c r="H137" s="178">
        <v>500</v>
      </c>
      <c r="I137" s="196">
        <v>1.76</v>
      </c>
    </row>
    <row r="138" spans="1:9" ht="45">
      <c r="A138" s="177">
        <v>45119</v>
      </c>
      <c r="B138" s="178"/>
      <c r="C138" s="204" t="s">
        <v>903</v>
      </c>
      <c r="D138" s="133" t="s">
        <v>904</v>
      </c>
      <c r="E138" s="205" t="s">
        <v>905</v>
      </c>
      <c r="F138" s="206" t="s">
        <v>906</v>
      </c>
      <c r="G138" s="133" t="s">
        <v>907</v>
      </c>
      <c r="H138" s="207">
        <v>500</v>
      </c>
      <c r="I138" s="208">
        <v>1.72</v>
      </c>
    </row>
    <row r="139" spans="1:9" ht="30">
      <c r="A139" s="177">
        <v>45119</v>
      </c>
      <c r="B139" s="178"/>
      <c r="C139" s="204" t="s">
        <v>908</v>
      </c>
      <c r="D139" s="133" t="s">
        <v>904</v>
      </c>
      <c r="E139" s="205" t="s">
        <v>905</v>
      </c>
      <c r="F139" s="206" t="s">
        <v>910</v>
      </c>
      <c r="G139" s="133" t="s">
        <v>911</v>
      </c>
      <c r="H139" s="207">
        <v>500</v>
      </c>
      <c r="I139" s="208">
        <v>1.75</v>
      </c>
    </row>
    <row r="140" spans="1:9" ht="45">
      <c r="A140" s="177">
        <v>45120</v>
      </c>
      <c r="B140" s="178"/>
      <c r="C140" s="204" t="s">
        <v>916</v>
      </c>
      <c r="D140" s="133" t="s">
        <v>904</v>
      </c>
      <c r="E140" s="205" t="s">
        <v>905</v>
      </c>
      <c r="F140" s="206" t="s">
        <v>917</v>
      </c>
      <c r="G140" s="133" t="s">
        <v>918</v>
      </c>
      <c r="H140" s="207">
        <v>200</v>
      </c>
      <c r="I140" s="208">
        <v>1.98</v>
      </c>
    </row>
    <row r="141" spans="1:9" ht="47.25">
      <c r="A141" s="177">
        <v>45121</v>
      </c>
      <c r="B141" s="178"/>
      <c r="C141" s="124" t="s">
        <v>997</v>
      </c>
      <c r="D141" s="124" t="s">
        <v>495</v>
      </c>
      <c r="E141" s="138" t="s">
        <v>998</v>
      </c>
      <c r="F141" s="124" t="s">
        <v>999</v>
      </c>
      <c r="G141" s="187" t="s">
        <v>544</v>
      </c>
      <c r="H141" s="94">
        <v>4000</v>
      </c>
      <c r="I141" s="95">
        <v>2.13</v>
      </c>
    </row>
    <row r="142" spans="1:9" ht="47.25">
      <c r="A142" s="177">
        <v>45121</v>
      </c>
      <c r="B142" s="178"/>
      <c r="C142" s="124" t="s">
        <v>1000</v>
      </c>
      <c r="D142" s="124" t="s">
        <v>1001</v>
      </c>
      <c r="E142" s="138" t="s">
        <v>1002</v>
      </c>
      <c r="F142" s="124" t="s">
        <v>999</v>
      </c>
      <c r="G142" s="187" t="s">
        <v>544</v>
      </c>
      <c r="H142" s="94">
        <v>3000</v>
      </c>
      <c r="I142" s="95">
        <v>2.34</v>
      </c>
    </row>
    <row r="143" spans="1:9">
      <c r="A143" s="177">
        <v>45125</v>
      </c>
      <c r="B143" s="178"/>
      <c r="C143" s="193" t="s">
        <v>652</v>
      </c>
      <c r="D143" s="210" t="s">
        <v>653</v>
      </c>
      <c r="E143" s="211" t="s">
        <v>853</v>
      </c>
      <c r="F143" s="178"/>
      <c r="G143" s="211" t="s">
        <v>602</v>
      </c>
      <c r="H143" s="178"/>
      <c r="I143" s="212">
        <f>6.49+0.35</f>
        <v>6.84</v>
      </c>
    </row>
    <row r="144" spans="1:9">
      <c r="A144" s="177">
        <v>45125</v>
      </c>
      <c r="B144" s="178"/>
      <c r="C144" s="193" t="s">
        <v>852</v>
      </c>
      <c r="D144" s="210" t="s">
        <v>656</v>
      </c>
      <c r="E144" s="211" t="s">
        <v>854</v>
      </c>
      <c r="F144" s="178"/>
      <c r="G144" s="211" t="s">
        <v>602</v>
      </c>
      <c r="H144" s="178"/>
      <c r="I144" s="213">
        <v>63.2</v>
      </c>
    </row>
    <row r="145" spans="1:9" ht="31.5">
      <c r="A145" s="178"/>
      <c r="B145" s="178"/>
      <c r="C145" s="191" t="s">
        <v>802</v>
      </c>
      <c r="D145" s="192" t="s">
        <v>803</v>
      </c>
      <c r="E145" s="178"/>
      <c r="F145" s="178"/>
      <c r="G145" s="193" t="s">
        <v>756</v>
      </c>
      <c r="H145" s="193">
        <v>500</v>
      </c>
      <c r="I145" s="214">
        <v>3.49</v>
      </c>
    </row>
    <row r="146" spans="1:9" ht="30">
      <c r="A146" s="178"/>
      <c r="B146" s="178"/>
      <c r="C146" s="191"/>
      <c r="D146" s="192"/>
      <c r="E146" s="178"/>
      <c r="F146" s="178"/>
      <c r="G146" s="193"/>
      <c r="H146" s="195" t="s">
        <v>572</v>
      </c>
      <c r="I146" s="196">
        <v>3.34</v>
      </c>
    </row>
    <row r="147" spans="1:9" ht="15.75">
      <c r="A147" s="178"/>
      <c r="B147" s="178"/>
      <c r="C147" s="191" t="s">
        <v>804</v>
      </c>
      <c r="D147" s="192" t="s">
        <v>805</v>
      </c>
      <c r="E147" s="178"/>
      <c r="F147" s="178"/>
      <c r="G147" s="193" t="s">
        <v>756</v>
      </c>
      <c r="H147" s="193">
        <v>500</v>
      </c>
      <c r="I147" s="214">
        <v>2.99</v>
      </c>
    </row>
    <row r="148" spans="1:9" ht="30">
      <c r="A148" s="178"/>
      <c r="B148" s="178"/>
      <c r="C148" s="191"/>
      <c r="D148" s="192"/>
      <c r="E148" s="178"/>
      <c r="F148" s="178"/>
      <c r="G148" s="193"/>
      <c r="H148" s="195" t="s">
        <v>572</v>
      </c>
      <c r="I148" s="215">
        <v>2.84</v>
      </c>
    </row>
    <row r="149" spans="1:9" ht="15.75">
      <c r="A149" s="178"/>
      <c r="B149" s="178"/>
      <c r="C149" s="191" t="s">
        <v>806</v>
      </c>
      <c r="D149" s="192" t="s">
        <v>84</v>
      </c>
      <c r="E149" s="178"/>
      <c r="F149" s="178"/>
      <c r="G149" s="182"/>
      <c r="H149" s="193">
        <v>500</v>
      </c>
      <c r="I149" s="214">
        <v>4.21</v>
      </c>
    </row>
    <row r="150" spans="1:9" ht="30">
      <c r="A150" s="178"/>
      <c r="B150" s="178"/>
      <c r="C150" s="191"/>
      <c r="D150" s="192"/>
      <c r="E150" s="178"/>
      <c r="F150" s="178"/>
      <c r="G150" s="182"/>
      <c r="H150" s="195" t="s">
        <v>572</v>
      </c>
      <c r="I150" s="196">
        <v>4.0599999999999996</v>
      </c>
    </row>
    <row r="151" spans="1:9" ht="15.75">
      <c r="A151" s="178"/>
      <c r="B151" s="178"/>
      <c r="C151" s="191" t="s">
        <v>807</v>
      </c>
      <c r="D151" s="192" t="s">
        <v>808</v>
      </c>
      <c r="E151" s="178"/>
      <c r="F151" s="178"/>
      <c r="G151" s="182"/>
      <c r="H151" s="193">
        <v>300</v>
      </c>
      <c r="I151" s="196">
        <v>10.44</v>
      </c>
    </row>
    <row r="152" spans="1:9" ht="15.75">
      <c r="A152" s="178"/>
      <c r="B152" s="178"/>
      <c r="C152" s="191" t="s">
        <v>809</v>
      </c>
      <c r="D152" s="192" t="s">
        <v>424</v>
      </c>
      <c r="E152" s="178"/>
      <c r="F152" s="178"/>
      <c r="G152" s="182"/>
      <c r="H152" s="193">
        <v>300</v>
      </c>
      <c r="I152" s="196">
        <v>11.8</v>
      </c>
    </row>
    <row r="153" spans="1:9" ht="30">
      <c r="A153" s="178"/>
      <c r="B153" s="178"/>
      <c r="C153" s="133" t="s">
        <v>672</v>
      </c>
      <c r="D153" s="154" t="s">
        <v>810</v>
      </c>
      <c r="E153" s="159" t="s">
        <v>813</v>
      </c>
      <c r="F153" s="154" t="s">
        <v>578</v>
      </c>
      <c r="G153" s="154" t="s">
        <v>602</v>
      </c>
      <c r="H153" s="178"/>
      <c r="I153" s="157">
        <v>6.02</v>
      </c>
    </row>
    <row r="154" spans="1:9" ht="31.5">
      <c r="A154" s="178"/>
      <c r="B154" s="178"/>
      <c r="C154" s="133" t="s">
        <v>673</v>
      </c>
      <c r="D154" s="154" t="s">
        <v>643</v>
      </c>
      <c r="E154" s="159" t="s">
        <v>813</v>
      </c>
      <c r="F154" s="154" t="s">
        <v>578</v>
      </c>
      <c r="G154" s="154" t="s">
        <v>602</v>
      </c>
      <c r="H154" s="178"/>
      <c r="I154" s="157">
        <v>2.92</v>
      </c>
    </row>
    <row r="155" spans="1:9" ht="31.5">
      <c r="A155" s="178"/>
      <c r="B155" s="178"/>
      <c r="C155" s="133" t="s">
        <v>674</v>
      </c>
      <c r="D155" s="154" t="s">
        <v>601</v>
      </c>
      <c r="E155" s="159" t="s">
        <v>644</v>
      </c>
      <c r="F155" s="154" t="s">
        <v>578</v>
      </c>
      <c r="G155" s="154" t="s">
        <v>602</v>
      </c>
      <c r="H155" s="178"/>
      <c r="I155" s="157">
        <v>0.5</v>
      </c>
    </row>
    <row r="156" spans="1:9" ht="15.75">
      <c r="A156" s="178"/>
      <c r="B156" s="178"/>
      <c r="C156" s="155" t="s">
        <v>811</v>
      </c>
      <c r="D156" s="156" t="s">
        <v>812</v>
      </c>
      <c r="E156" s="160" t="s">
        <v>814</v>
      </c>
      <c r="F156" s="156" t="s">
        <v>53</v>
      </c>
      <c r="G156" s="156" t="s">
        <v>815</v>
      </c>
      <c r="H156" s="178"/>
      <c r="I156" s="158">
        <v>1.39</v>
      </c>
    </row>
    <row r="157" spans="1:9" ht="15.75">
      <c r="A157" s="178"/>
      <c r="B157" s="178"/>
      <c r="C157" s="161" t="s">
        <v>816</v>
      </c>
      <c r="D157" s="162" t="s">
        <v>817</v>
      </c>
      <c r="E157" s="178"/>
      <c r="F157" s="178"/>
      <c r="G157" s="182"/>
      <c r="H157" s="178"/>
      <c r="I157" s="163">
        <v>3.93</v>
      </c>
    </row>
    <row r="158" spans="1:9" ht="15.75">
      <c r="A158" s="178"/>
      <c r="B158" s="178"/>
      <c r="C158" s="161" t="s">
        <v>818</v>
      </c>
      <c r="D158" s="162" t="s">
        <v>819</v>
      </c>
      <c r="E158" s="178"/>
      <c r="F158" s="178"/>
      <c r="G158" s="182"/>
      <c r="H158" s="178"/>
      <c r="I158" s="163">
        <v>0.56999999999999995</v>
      </c>
    </row>
    <row r="159" spans="1:9" ht="15.75">
      <c r="A159" s="178"/>
      <c r="B159" s="178"/>
      <c r="C159" s="216" t="s">
        <v>820</v>
      </c>
      <c r="D159" s="217" t="s">
        <v>590</v>
      </c>
      <c r="E159" s="218" t="s">
        <v>833</v>
      </c>
      <c r="F159" s="218" t="s">
        <v>56</v>
      </c>
      <c r="G159" s="219" t="s">
        <v>85</v>
      </c>
      <c r="H159" s="178"/>
      <c r="I159" s="220">
        <v>12.82</v>
      </c>
    </row>
    <row r="160" spans="1:9" ht="30">
      <c r="A160" s="178"/>
      <c r="B160" s="178"/>
      <c r="C160" s="216" t="s">
        <v>821</v>
      </c>
      <c r="D160" s="217" t="s">
        <v>627</v>
      </c>
      <c r="E160" s="218" t="s">
        <v>833</v>
      </c>
      <c r="F160" s="218" t="s">
        <v>53</v>
      </c>
      <c r="G160" s="219" t="s">
        <v>85</v>
      </c>
      <c r="H160" s="178"/>
      <c r="I160" s="220">
        <v>20.190000000000001</v>
      </c>
    </row>
    <row r="161" spans="1:9" ht="15.75">
      <c r="A161" s="178"/>
      <c r="B161" s="178"/>
      <c r="C161" s="216" t="s">
        <v>822</v>
      </c>
      <c r="D161" s="217" t="s">
        <v>592</v>
      </c>
      <c r="E161" s="218" t="s">
        <v>833</v>
      </c>
      <c r="F161" s="218" t="s">
        <v>53</v>
      </c>
      <c r="G161" s="219" t="s">
        <v>85</v>
      </c>
      <c r="H161" s="178"/>
      <c r="I161" s="220">
        <v>22.74</v>
      </c>
    </row>
    <row r="162" spans="1:9" ht="15.75">
      <c r="A162" s="178"/>
      <c r="B162" s="178"/>
      <c r="C162" s="216" t="s">
        <v>823</v>
      </c>
      <c r="D162" s="217" t="s">
        <v>824</v>
      </c>
      <c r="E162" s="218" t="s">
        <v>833</v>
      </c>
      <c r="F162" s="218" t="s">
        <v>56</v>
      </c>
      <c r="G162" s="219" t="s">
        <v>65</v>
      </c>
      <c r="H162" s="178"/>
      <c r="I162" s="220">
        <v>24.67</v>
      </c>
    </row>
    <row r="163" spans="1:9" ht="15.75">
      <c r="A163" s="178"/>
      <c r="B163" s="178"/>
      <c r="C163" s="216" t="s">
        <v>825</v>
      </c>
      <c r="D163" s="217" t="s">
        <v>826</v>
      </c>
      <c r="E163" s="218" t="s">
        <v>833</v>
      </c>
      <c r="F163" s="218" t="s">
        <v>56</v>
      </c>
      <c r="G163" s="219" t="s">
        <v>65</v>
      </c>
      <c r="H163" s="178"/>
      <c r="I163" s="220">
        <v>380.5</v>
      </c>
    </row>
    <row r="164" spans="1:9" ht="30">
      <c r="A164" s="178"/>
      <c r="B164" s="178"/>
      <c r="C164" s="216" t="s">
        <v>827</v>
      </c>
      <c r="D164" s="217" t="s">
        <v>651</v>
      </c>
      <c r="E164" s="218" t="s">
        <v>833</v>
      </c>
      <c r="F164" s="218" t="s">
        <v>53</v>
      </c>
      <c r="G164" s="219" t="s">
        <v>85</v>
      </c>
      <c r="H164" s="178"/>
      <c r="I164" s="220">
        <v>32.450000000000003</v>
      </c>
    </row>
    <row r="165" spans="1:9" ht="30">
      <c r="A165" s="178"/>
      <c r="B165" s="178"/>
      <c r="C165" s="216" t="s">
        <v>828</v>
      </c>
      <c r="D165" s="217" t="s">
        <v>586</v>
      </c>
      <c r="E165" s="218" t="s">
        <v>833</v>
      </c>
      <c r="F165" s="218" t="s">
        <v>307</v>
      </c>
      <c r="G165" s="219" t="s">
        <v>85</v>
      </c>
      <c r="H165" s="178"/>
      <c r="I165" s="220">
        <v>39.909999999999997</v>
      </c>
    </row>
    <row r="166" spans="1:9" ht="15.75">
      <c r="A166" s="178"/>
      <c r="B166" s="178"/>
      <c r="C166" s="216" t="s">
        <v>829</v>
      </c>
      <c r="D166" s="217" t="s">
        <v>621</v>
      </c>
      <c r="E166" s="218" t="s">
        <v>833</v>
      </c>
      <c r="F166" s="218" t="s">
        <v>56</v>
      </c>
      <c r="G166" s="219" t="s">
        <v>85</v>
      </c>
      <c r="H166" s="178"/>
      <c r="I166" s="220">
        <v>100.2</v>
      </c>
    </row>
    <row r="167" spans="1:9" ht="30">
      <c r="A167" s="178"/>
      <c r="B167" s="178"/>
      <c r="C167" s="216" t="s">
        <v>830</v>
      </c>
      <c r="D167" s="217" t="s">
        <v>623</v>
      </c>
      <c r="E167" s="218" t="s">
        <v>833</v>
      </c>
      <c r="F167" s="218" t="s">
        <v>56</v>
      </c>
      <c r="G167" s="219" t="s">
        <v>85</v>
      </c>
      <c r="H167" s="178"/>
      <c r="I167" s="220">
        <v>169.1</v>
      </c>
    </row>
    <row r="168" spans="1:9" ht="15.75">
      <c r="A168" s="178"/>
      <c r="B168" s="178"/>
      <c r="C168" s="216" t="s">
        <v>831</v>
      </c>
      <c r="D168" s="217" t="s">
        <v>584</v>
      </c>
      <c r="E168" s="218" t="s">
        <v>833</v>
      </c>
      <c r="F168" s="218" t="s">
        <v>551</v>
      </c>
      <c r="G168" s="219" t="s">
        <v>85</v>
      </c>
      <c r="H168" s="178"/>
      <c r="I168" s="220">
        <v>63.45</v>
      </c>
    </row>
    <row r="169" spans="1:9" ht="15.75">
      <c r="A169" s="178"/>
      <c r="B169" s="178"/>
      <c r="C169" s="216" t="s">
        <v>832</v>
      </c>
      <c r="D169" s="217" t="s">
        <v>588</v>
      </c>
      <c r="E169" s="218" t="s">
        <v>833</v>
      </c>
      <c r="F169" s="218" t="s">
        <v>56</v>
      </c>
      <c r="G169" s="219" t="s">
        <v>65</v>
      </c>
      <c r="H169" s="178"/>
      <c r="I169" s="220">
        <f>102.86+5.44</f>
        <v>108.3</v>
      </c>
    </row>
    <row r="170" spans="1:9" ht="15.75">
      <c r="A170" s="178"/>
      <c r="B170" s="178"/>
      <c r="C170" s="161" t="s">
        <v>834</v>
      </c>
      <c r="D170" s="162" t="s">
        <v>835</v>
      </c>
      <c r="E170" s="178"/>
      <c r="F170" s="178"/>
      <c r="G170" s="182"/>
      <c r="H170" s="178"/>
      <c r="I170" s="163">
        <v>1.2</v>
      </c>
    </row>
    <row r="171" spans="1:9" ht="15.75">
      <c r="A171" s="178"/>
      <c r="B171" s="178"/>
      <c r="C171" s="161" t="s">
        <v>836</v>
      </c>
      <c r="D171" s="162" t="s">
        <v>837</v>
      </c>
      <c r="E171" s="178"/>
      <c r="F171" s="178"/>
      <c r="G171" s="182"/>
      <c r="H171" s="178"/>
      <c r="I171" s="163">
        <v>2.9</v>
      </c>
    </row>
    <row r="172" spans="1:9" ht="15.75">
      <c r="A172" s="178"/>
      <c r="B172" s="178"/>
      <c r="C172" s="161" t="s">
        <v>838</v>
      </c>
      <c r="D172" s="162" t="s">
        <v>839</v>
      </c>
      <c r="E172" s="178"/>
      <c r="F172" s="178"/>
      <c r="G172" s="182"/>
      <c r="H172" s="178"/>
      <c r="I172" s="163">
        <v>6.2</v>
      </c>
    </row>
    <row r="173" spans="1:9" ht="15.75">
      <c r="A173" s="178"/>
      <c r="B173" s="178"/>
      <c r="C173" s="161" t="s">
        <v>840</v>
      </c>
      <c r="D173" s="162" t="s">
        <v>841</v>
      </c>
      <c r="E173" s="178"/>
      <c r="F173" s="178"/>
      <c r="G173" s="182"/>
      <c r="H173" s="178"/>
      <c r="I173" s="163">
        <v>14.85</v>
      </c>
    </row>
    <row r="174" spans="1:9" ht="15.75">
      <c r="A174" s="178"/>
      <c r="B174" s="178"/>
      <c r="C174" s="161" t="s">
        <v>842</v>
      </c>
      <c r="D174" s="162" t="s">
        <v>843</v>
      </c>
      <c r="E174" s="178"/>
      <c r="F174" s="178"/>
      <c r="G174" s="182"/>
      <c r="H174" s="178"/>
      <c r="I174" s="163">
        <v>29.65</v>
      </c>
    </row>
    <row r="175" spans="1:9" ht="30">
      <c r="A175" s="178"/>
      <c r="B175" s="178"/>
      <c r="C175" s="164" t="s">
        <v>609</v>
      </c>
      <c r="D175" s="164" t="s">
        <v>844</v>
      </c>
      <c r="E175" s="164" t="s">
        <v>611</v>
      </c>
      <c r="F175" s="164" t="s">
        <v>845</v>
      </c>
      <c r="G175" s="164" t="s">
        <v>602</v>
      </c>
      <c r="H175" s="165">
        <v>400</v>
      </c>
      <c r="I175" s="166">
        <v>2.41</v>
      </c>
    </row>
    <row r="176" spans="1:9" ht="30">
      <c r="A176" s="178"/>
      <c r="B176" s="178"/>
      <c r="C176" s="164" t="s">
        <v>609</v>
      </c>
      <c r="D176" s="164" t="s">
        <v>844</v>
      </c>
      <c r="E176" s="164" t="s">
        <v>611</v>
      </c>
      <c r="F176" s="164" t="s">
        <v>846</v>
      </c>
      <c r="G176" s="164" t="s">
        <v>602</v>
      </c>
      <c r="H176" s="165">
        <v>400</v>
      </c>
      <c r="I176" s="166">
        <v>2.6</v>
      </c>
    </row>
    <row r="177" spans="1:9" ht="31.5">
      <c r="A177" s="178"/>
      <c r="B177" s="178"/>
      <c r="C177" s="221" t="s">
        <v>855</v>
      </c>
      <c r="D177" s="222" t="s">
        <v>856</v>
      </c>
      <c r="E177" s="178"/>
      <c r="F177" s="153" t="s">
        <v>857</v>
      </c>
      <c r="G177" s="223" t="s">
        <v>858</v>
      </c>
      <c r="H177" s="224">
        <v>1000</v>
      </c>
      <c r="I177" s="225">
        <v>3.86</v>
      </c>
    </row>
    <row r="178" spans="1:9" ht="31.5">
      <c r="A178" s="178"/>
      <c r="B178" s="178"/>
      <c r="C178" s="221" t="s">
        <v>864</v>
      </c>
      <c r="D178" s="222" t="s">
        <v>865</v>
      </c>
      <c r="E178" s="178"/>
      <c r="F178" s="178"/>
      <c r="G178" s="182"/>
      <c r="H178" s="178"/>
      <c r="I178" s="225">
        <v>2.2999999999999998</v>
      </c>
    </row>
    <row r="179" spans="1:9" ht="30">
      <c r="A179" s="178"/>
      <c r="B179" s="178"/>
      <c r="C179" s="226" t="s">
        <v>866</v>
      </c>
      <c r="D179" s="227" t="s">
        <v>867</v>
      </c>
      <c r="E179" s="227" t="s">
        <v>97</v>
      </c>
      <c r="F179" s="147" t="s">
        <v>868</v>
      </c>
      <c r="G179" s="171" t="s">
        <v>602</v>
      </c>
      <c r="H179" s="178"/>
      <c r="I179" s="95">
        <v>41.75</v>
      </c>
    </row>
    <row r="180" spans="1:9" ht="30">
      <c r="A180" s="178"/>
      <c r="B180" s="178"/>
      <c r="C180" s="226" t="s">
        <v>866</v>
      </c>
      <c r="D180" s="227" t="s">
        <v>867</v>
      </c>
      <c r="E180" s="227" t="s">
        <v>97</v>
      </c>
      <c r="F180" s="147" t="s">
        <v>868</v>
      </c>
      <c r="G180" s="171" t="s">
        <v>602</v>
      </c>
      <c r="H180" s="94" t="s">
        <v>793</v>
      </c>
      <c r="I180" s="95">
        <v>46.38</v>
      </c>
    </row>
    <row r="181" spans="1:9" ht="30">
      <c r="A181" s="178"/>
      <c r="B181" s="178"/>
      <c r="C181" s="226" t="s">
        <v>866</v>
      </c>
      <c r="D181" s="227" t="s">
        <v>867</v>
      </c>
      <c r="E181" s="227" t="s">
        <v>97</v>
      </c>
      <c r="F181" s="147" t="s">
        <v>868</v>
      </c>
      <c r="G181" s="171" t="s">
        <v>602</v>
      </c>
      <c r="H181" s="94" t="s">
        <v>794</v>
      </c>
      <c r="I181" s="95">
        <v>44.05</v>
      </c>
    </row>
    <row r="182" spans="1:9" ht="15.75">
      <c r="A182" s="178"/>
      <c r="B182" s="178"/>
      <c r="C182" s="191" t="s">
        <v>869</v>
      </c>
      <c r="D182" s="192" t="s">
        <v>870</v>
      </c>
      <c r="E182" s="178"/>
      <c r="F182" s="178"/>
      <c r="G182" s="182"/>
      <c r="H182" s="193">
        <v>15</v>
      </c>
      <c r="I182" s="214">
        <v>6.98</v>
      </c>
    </row>
    <row r="183" spans="1:9" ht="15.75">
      <c r="A183" s="178"/>
      <c r="B183" s="178"/>
      <c r="C183" s="191" t="s">
        <v>725</v>
      </c>
      <c r="D183" s="192" t="s">
        <v>871</v>
      </c>
      <c r="E183" s="178"/>
      <c r="F183" s="178"/>
      <c r="G183" s="182"/>
      <c r="H183" s="193">
        <v>120</v>
      </c>
      <c r="I183" s="214">
        <v>7.8</v>
      </c>
    </row>
    <row r="184" spans="1:9" ht="15.75">
      <c r="A184" s="178"/>
      <c r="B184" s="178"/>
      <c r="C184" s="191" t="s">
        <v>869</v>
      </c>
      <c r="D184" s="192" t="s">
        <v>870</v>
      </c>
      <c r="E184" s="178"/>
      <c r="F184" s="178"/>
      <c r="G184" s="182"/>
      <c r="H184" s="193">
        <v>15</v>
      </c>
      <c r="I184" s="214">
        <v>6.98</v>
      </c>
    </row>
    <row r="185" spans="1:9" ht="15.75">
      <c r="A185" s="178"/>
      <c r="B185" s="178"/>
      <c r="C185" s="191" t="s">
        <v>725</v>
      </c>
      <c r="D185" s="192" t="s">
        <v>872</v>
      </c>
      <c r="E185" s="178"/>
      <c r="F185" s="178"/>
      <c r="G185" s="182"/>
      <c r="H185" s="193">
        <v>120</v>
      </c>
      <c r="I185" s="214">
        <v>7.8</v>
      </c>
    </row>
    <row r="186" spans="1:9" ht="30">
      <c r="A186" s="178"/>
      <c r="B186" s="178"/>
      <c r="C186" s="228" t="s">
        <v>689</v>
      </c>
      <c r="D186" s="133" t="s">
        <v>690</v>
      </c>
      <c r="E186" s="133" t="s">
        <v>691</v>
      </c>
      <c r="F186" s="133" t="s">
        <v>53</v>
      </c>
      <c r="G186" s="229" t="s">
        <v>411</v>
      </c>
      <c r="H186" s="94">
        <v>100</v>
      </c>
      <c r="I186" s="95">
        <v>4.3</v>
      </c>
    </row>
    <row r="187" spans="1:9" ht="31.5">
      <c r="A187" s="178"/>
      <c r="B187" s="178"/>
      <c r="C187" s="137" t="s">
        <v>873</v>
      </c>
      <c r="D187" s="138" t="s">
        <v>874</v>
      </c>
      <c r="E187" s="138" t="s">
        <v>875</v>
      </c>
      <c r="F187" s="138" t="s">
        <v>876</v>
      </c>
      <c r="G187" s="229" t="s">
        <v>411</v>
      </c>
      <c r="H187" s="94">
        <v>500</v>
      </c>
      <c r="I187" s="95">
        <v>6.15</v>
      </c>
    </row>
    <row r="188" spans="1:9" ht="15.75">
      <c r="A188" s="178"/>
      <c r="B188" s="178"/>
      <c r="C188" s="168" t="s">
        <v>877</v>
      </c>
      <c r="D188" s="168" t="s">
        <v>261</v>
      </c>
      <c r="E188" s="206" t="s">
        <v>878</v>
      </c>
      <c r="F188" s="180" t="s">
        <v>53</v>
      </c>
      <c r="G188" s="187" t="s">
        <v>411</v>
      </c>
      <c r="H188" s="94">
        <v>300</v>
      </c>
      <c r="I188" s="95">
        <v>2.25</v>
      </c>
    </row>
    <row r="189" spans="1:9" ht="75">
      <c r="A189" s="178"/>
      <c r="B189" s="178"/>
      <c r="C189" s="197" t="s">
        <v>879</v>
      </c>
      <c r="D189" s="168" t="s">
        <v>880</v>
      </c>
      <c r="E189" s="206" t="s">
        <v>97</v>
      </c>
      <c r="F189" s="170" t="s">
        <v>881</v>
      </c>
      <c r="G189" s="171" t="s">
        <v>411</v>
      </c>
      <c r="H189" s="94" t="s">
        <v>793</v>
      </c>
      <c r="I189" s="95">
        <v>6.81</v>
      </c>
    </row>
    <row r="190" spans="1:9" ht="75">
      <c r="A190" s="178"/>
      <c r="B190" s="178"/>
      <c r="C190" s="197" t="s">
        <v>882</v>
      </c>
      <c r="D190" s="197" t="s">
        <v>883</v>
      </c>
      <c r="E190" s="206" t="s">
        <v>97</v>
      </c>
      <c r="F190" s="170" t="s">
        <v>881</v>
      </c>
      <c r="G190" s="171" t="s">
        <v>411</v>
      </c>
      <c r="H190" s="94" t="s">
        <v>793</v>
      </c>
      <c r="I190" s="95">
        <v>6.86</v>
      </c>
    </row>
    <row r="191" spans="1:9" ht="75">
      <c r="A191" s="178"/>
      <c r="B191" s="178"/>
      <c r="C191" s="197" t="s">
        <v>879</v>
      </c>
      <c r="D191" s="168" t="s">
        <v>880</v>
      </c>
      <c r="E191" s="230" t="s">
        <v>884</v>
      </c>
      <c r="F191" s="170" t="s">
        <v>881</v>
      </c>
      <c r="G191" s="171" t="s">
        <v>411</v>
      </c>
      <c r="H191" s="94" t="s">
        <v>793</v>
      </c>
      <c r="I191" s="95">
        <v>7.09</v>
      </c>
    </row>
    <row r="192" spans="1:9" ht="75">
      <c r="A192" s="178"/>
      <c r="B192" s="178"/>
      <c r="C192" s="197" t="s">
        <v>882</v>
      </c>
      <c r="D192" s="197" t="s">
        <v>883</v>
      </c>
      <c r="E192" s="230" t="s">
        <v>884</v>
      </c>
      <c r="F192" s="170" t="s">
        <v>881</v>
      </c>
      <c r="G192" s="171" t="s">
        <v>411</v>
      </c>
      <c r="H192" s="94" t="s">
        <v>793</v>
      </c>
      <c r="I192" s="95">
        <v>6.99</v>
      </c>
    </row>
    <row r="193" spans="1:9" ht="30">
      <c r="A193" s="178"/>
      <c r="B193" s="178"/>
      <c r="C193" s="168" t="s">
        <v>879</v>
      </c>
      <c r="D193" s="168" t="s">
        <v>880</v>
      </c>
      <c r="E193" s="206" t="s">
        <v>97</v>
      </c>
      <c r="F193" s="180" t="s">
        <v>53</v>
      </c>
      <c r="G193" s="187" t="s">
        <v>411</v>
      </c>
      <c r="H193" s="94" t="s">
        <v>885</v>
      </c>
      <c r="I193" s="95">
        <v>7.24</v>
      </c>
    </row>
    <row r="194" spans="1:9" ht="30">
      <c r="A194" s="178"/>
      <c r="B194" s="178"/>
      <c r="C194" s="168" t="s">
        <v>879</v>
      </c>
      <c r="D194" s="168" t="s">
        <v>880</v>
      </c>
      <c r="E194" s="206" t="s">
        <v>97</v>
      </c>
      <c r="F194" s="180" t="s">
        <v>53</v>
      </c>
      <c r="G194" s="187" t="s">
        <v>411</v>
      </c>
      <c r="H194" s="94" t="s">
        <v>886</v>
      </c>
      <c r="I194" s="95">
        <v>6.89</v>
      </c>
    </row>
    <row r="195" spans="1:9" ht="30">
      <c r="A195" s="178"/>
      <c r="B195" s="178"/>
      <c r="C195" s="168" t="s">
        <v>887</v>
      </c>
      <c r="D195" s="168" t="s">
        <v>82</v>
      </c>
      <c r="E195" s="206" t="s">
        <v>888</v>
      </c>
      <c r="F195" s="180" t="s">
        <v>53</v>
      </c>
      <c r="G195" s="187" t="s">
        <v>411</v>
      </c>
      <c r="H195" s="94" t="s">
        <v>793</v>
      </c>
      <c r="I195" s="95">
        <v>2.13</v>
      </c>
    </row>
    <row r="196" spans="1:9" ht="45">
      <c r="A196" s="178"/>
      <c r="B196" s="178"/>
      <c r="C196" s="223" t="s">
        <v>889</v>
      </c>
      <c r="D196" s="231" t="s">
        <v>890</v>
      </c>
      <c r="E196" s="223" t="s">
        <v>891</v>
      </c>
      <c r="F196" s="153" t="s">
        <v>892</v>
      </c>
      <c r="G196" s="223" t="s">
        <v>71</v>
      </c>
      <c r="H196" s="224" t="s">
        <v>893</v>
      </c>
      <c r="I196" s="232" t="s">
        <v>894</v>
      </c>
    </row>
    <row r="197" spans="1:9" ht="15.75">
      <c r="A197" s="178"/>
      <c r="B197" s="178"/>
      <c r="C197" s="223"/>
      <c r="D197" s="231"/>
      <c r="E197" s="223"/>
      <c r="F197" s="153"/>
      <c r="G197" s="223"/>
      <c r="H197" s="224"/>
      <c r="I197" s="232"/>
    </row>
    <row r="198" spans="1:9" ht="31.5">
      <c r="A198" s="178"/>
      <c r="B198" s="178"/>
      <c r="C198" s="197" t="s">
        <v>895</v>
      </c>
      <c r="D198" s="197" t="s">
        <v>896</v>
      </c>
      <c r="E198" s="198" t="s">
        <v>121</v>
      </c>
      <c r="F198" s="170" t="s">
        <v>897</v>
      </c>
      <c r="G198" s="171" t="s">
        <v>898</v>
      </c>
      <c r="H198" s="95">
        <v>3.07</v>
      </c>
      <c r="I198" s="178"/>
    </row>
    <row r="199" spans="1:9" ht="31.5">
      <c r="A199" s="178"/>
      <c r="B199" s="178"/>
      <c r="C199" s="197" t="s">
        <v>899</v>
      </c>
      <c r="D199" s="197" t="s">
        <v>791</v>
      </c>
      <c r="E199" s="198" t="s">
        <v>121</v>
      </c>
      <c r="F199" s="170" t="s">
        <v>897</v>
      </c>
      <c r="G199" s="171" t="s">
        <v>900</v>
      </c>
      <c r="H199" s="95">
        <v>2.73</v>
      </c>
      <c r="I199" s="178"/>
    </row>
    <row r="200" spans="1:9" ht="240">
      <c r="A200" s="178"/>
      <c r="B200" s="178"/>
      <c r="C200" s="167" t="s">
        <v>935</v>
      </c>
      <c r="D200" s="168" t="s">
        <v>896</v>
      </c>
      <c r="E200" s="168" t="s">
        <v>97</v>
      </c>
      <c r="F200" s="169" t="s">
        <v>936</v>
      </c>
      <c r="G200" s="170" t="s">
        <v>602</v>
      </c>
      <c r="H200" s="171" t="s">
        <v>937</v>
      </c>
      <c r="I200" s="95">
        <v>3.65</v>
      </c>
    </row>
    <row r="201" spans="1:9" ht="45">
      <c r="A201" s="178"/>
      <c r="B201" s="178"/>
      <c r="C201" s="167" t="s">
        <v>938</v>
      </c>
      <c r="D201" s="168" t="s">
        <v>939</v>
      </c>
      <c r="E201" s="168" t="s">
        <v>940</v>
      </c>
      <c r="F201" s="169" t="s">
        <v>941</v>
      </c>
      <c r="G201" s="170" t="s">
        <v>942</v>
      </c>
      <c r="H201" s="172">
        <v>500</v>
      </c>
      <c r="I201" s="95">
        <f>3.7+1.05</f>
        <v>4.75</v>
      </c>
    </row>
    <row r="202" spans="1:9" ht="45">
      <c r="A202" s="178"/>
      <c r="B202" s="178"/>
      <c r="C202" s="167" t="s">
        <v>938</v>
      </c>
      <c r="D202" s="168" t="s">
        <v>943</v>
      </c>
      <c r="E202" s="168" t="s">
        <v>940</v>
      </c>
      <c r="F202" s="169" t="s">
        <v>941</v>
      </c>
      <c r="G202" s="170" t="s">
        <v>942</v>
      </c>
      <c r="H202" s="172">
        <v>500</v>
      </c>
      <c r="I202" s="95">
        <f>7.54+1.05</f>
        <v>8.59</v>
      </c>
    </row>
    <row r="203" spans="1:9" ht="45">
      <c r="A203" s="178"/>
      <c r="B203" s="178"/>
      <c r="C203" s="167" t="s">
        <v>938</v>
      </c>
      <c r="D203" s="168" t="s">
        <v>939</v>
      </c>
      <c r="E203" s="168" t="s">
        <v>944</v>
      </c>
      <c r="F203" s="169" t="s">
        <v>941</v>
      </c>
      <c r="G203" s="170" t="s">
        <v>942</v>
      </c>
      <c r="H203" s="172">
        <v>500</v>
      </c>
      <c r="I203" s="95">
        <f>3.7+0.5</f>
        <v>4.2</v>
      </c>
    </row>
    <row r="204" spans="1:9" ht="45">
      <c r="A204" s="178"/>
      <c r="B204" s="178"/>
      <c r="C204" s="167" t="s">
        <v>938</v>
      </c>
      <c r="D204" s="168" t="s">
        <v>943</v>
      </c>
      <c r="E204" s="168" t="s">
        <v>944</v>
      </c>
      <c r="F204" s="169" t="s">
        <v>941</v>
      </c>
      <c r="G204" s="170" t="s">
        <v>942</v>
      </c>
      <c r="H204" s="172">
        <v>500</v>
      </c>
      <c r="I204" s="95">
        <f>7.54+0.5</f>
        <v>8.0399999999999991</v>
      </c>
    </row>
    <row r="205" spans="1:9" ht="31.5">
      <c r="A205" s="178"/>
      <c r="B205" s="178"/>
      <c r="C205" s="159" t="s">
        <v>945</v>
      </c>
      <c r="D205" s="154" t="s">
        <v>946</v>
      </c>
      <c r="E205" s="159" t="s">
        <v>947</v>
      </c>
      <c r="F205" s="154" t="s">
        <v>948</v>
      </c>
      <c r="G205" s="154" t="s">
        <v>949</v>
      </c>
      <c r="H205" s="173">
        <v>10000</v>
      </c>
      <c r="I205" s="157">
        <v>1.35</v>
      </c>
    </row>
    <row r="206" spans="1:9" ht="31.5">
      <c r="A206" s="178"/>
      <c r="B206" s="178"/>
      <c r="C206" s="159" t="s">
        <v>945</v>
      </c>
      <c r="D206" s="154" t="s">
        <v>946</v>
      </c>
      <c r="E206" s="159" t="s">
        <v>947</v>
      </c>
      <c r="F206" s="154" t="s">
        <v>948</v>
      </c>
      <c r="G206" s="154" t="s">
        <v>949</v>
      </c>
      <c r="H206" s="173">
        <v>13000</v>
      </c>
      <c r="I206" s="157">
        <v>1.24</v>
      </c>
    </row>
    <row r="207" spans="1:9" ht="31.5">
      <c r="A207" s="178"/>
      <c r="B207" s="178"/>
      <c r="C207" s="159" t="s">
        <v>945</v>
      </c>
      <c r="D207" s="154" t="s">
        <v>946</v>
      </c>
      <c r="E207" s="159" t="s">
        <v>947</v>
      </c>
      <c r="F207" s="154" t="s">
        <v>948</v>
      </c>
      <c r="G207" s="154" t="s">
        <v>949</v>
      </c>
      <c r="H207" s="173">
        <v>20000</v>
      </c>
      <c r="I207" s="157">
        <v>1.1499999999999999</v>
      </c>
    </row>
    <row r="208" spans="1:9">
      <c r="A208" s="178"/>
      <c r="B208" s="178"/>
      <c r="C208" s="119" t="s">
        <v>950</v>
      </c>
      <c r="D208" s="119" t="s">
        <v>951</v>
      </c>
      <c r="E208" s="178"/>
      <c r="F208" s="178"/>
      <c r="G208" s="182"/>
      <c r="H208" s="120" t="s">
        <v>793</v>
      </c>
      <c r="I208" s="119">
        <v>9.3800000000000008</v>
      </c>
    </row>
    <row r="209" spans="1:9">
      <c r="A209" s="178"/>
      <c r="B209" s="178"/>
      <c r="C209" s="119" t="s">
        <v>950</v>
      </c>
      <c r="D209" s="119" t="s">
        <v>951</v>
      </c>
      <c r="E209" s="178"/>
      <c r="F209" s="178"/>
      <c r="G209" s="182"/>
      <c r="H209" s="122" t="s">
        <v>794</v>
      </c>
      <c r="I209" s="121">
        <v>8.66</v>
      </c>
    </row>
    <row r="210" spans="1:9">
      <c r="A210" s="178"/>
      <c r="B210" s="178"/>
      <c r="C210" s="119" t="s">
        <v>950</v>
      </c>
      <c r="D210" s="119" t="s">
        <v>951</v>
      </c>
      <c r="E210" s="178"/>
      <c r="F210" s="178"/>
      <c r="G210" s="182"/>
      <c r="H210" s="122" t="s">
        <v>952</v>
      </c>
      <c r="I210" s="121">
        <v>8.49</v>
      </c>
    </row>
    <row r="211" spans="1:9" ht="15.75">
      <c r="A211" s="178"/>
      <c r="B211" s="178"/>
      <c r="C211" s="191" t="s">
        <v>953</v>
      </c>
      <c r="D211" s="192" t="s">
        <v>954</v>
      </c>
      <c r="E211" s="178"/>
      <c r="F211" s="178"/>
      <c r="G211" s="182"/>
      <c r="H211" s="193">
        <v>500</v>
      </c>
      <c r="I211" s="196">
        <v>37.26</v>
      </c>
    </row>
    <row r="212" spans="1:9">
      <c r="A212" s="178"/>
      <c r="B212" s="178"/>
      <c r="C212" s="195" t="s">
        <v>574</v>
      </c>
      <c r="D212" s="133" t="s">
        <v>955</v>
      </c>
      <c r="E212" s="178"/>
      <c r="F212" s="178"/>
      <c r="G212" s="182"/>
      <c r="H212" s="233">
        <v>500</v>
      </c>
      <c r="I212" s="234">
        <v>9.67</v>
      </c>
    </row>
    <row r="213" spans="1:9" ht="31.5">
      <c r="A213" s="178"/>
      <c r="B213" s="178"/>
      <c r="C213" s="124" t="s">
        <v>956</v>
      </c>
      <c r="D213" s="124" t="s">
        <v>685</v>
      </c>
      <c r="E213" s="174" t="s">
        <v>957</v>
      </c>
      <c r="F213" s="178"/>
      <c r="G213" s="124" t="s">
        <v>958</v>
      </c>
      <c r="H213" s="94">
        <v>500</v>
      </c>
      <c r="I213" s="95">
        <f>1.75+0.43</f>
        <v>2.1800000000000002</v>
      </c>
    </row>
    <row r="214" spans="1:9" ht="31.5">
      <c r="A214" s="178"/>
      <c r="B214" s="178"/>
      <c r="C214" s="124" t="s">
        <v>956</v>
      </c>
      <c r="D214" s="124" t="s">
        <v>685</v>
      </c>
      <c r="E214" s="174" t="s">
        <v>957</v>
      </c>
      <c r="F214" s="178"/>
      <c r="G214" s="124" t="s">
        <v>958</v>
      </c>
      <c r="H214" s="94">
        <v>1000</v>
      </c>
      <c r="I214" s="95">
        <f>1.75+0.38</f>
        <v>2.13</v>
      </c>
    </row>
    <row r="215" spans="1:9" ht="47.25">
      <c r="A215" s="178"/>
      <c r="B215" s="124" t="s">
        <v>970</v>
      </c>
      <c r="C215" s="124" t="s">
        <v>968</v>
      </c>
      <c r="D215" s="124" t="s">
        <v>969</v>
      </c>
      <c r="E215" s="235" t="s">
        <v>971</v>
      </c>
      <c r="F215" s="124" t="s">
        <v>69</v>
      </c>
      <c r="G215" s="182"/>
      <c r="H215" s="94" t="s">
        <v>613</v>
      </c>
      <c r="I215" s="95">
        <f>12.04+0.37</f>
        <v>12.409999999999998</v>
      </c>
    </row>
    <row r="216" spans="1:9" ht="30">
      <c r="A216" s="178"/>
      <c r="B216" s="178"/>
      <c r="C216" s="168" t="s">
        <v>989</v>
      </c>
      <c r="D216" s="168" t="s">
        <v>990</v>
      </c>
      <c r="E216" s="179" t="s">
        <v>991</v>
      </c>
      <c r="F216" s="180" t="s">
        <v>53</v>
      </c>
      <c r="G216" s="187" t="s">
        <v>602</v>
      </c>
      <c r="H216" s="94">
        <v>500</v>
      </c>
      <c r="I216" s="95">
        <f>7.38+0.24</f>
        <v>7.62</v>
      </c>
    </row>
    <row r="217" spans="1:9" ht="30">
      <c r="A217" s="178"/>
      <c r="B217" s="178"/>
      <c r="C217" s="168" t="s">
        <v>989</v>
      </c>
      <c r="D217" s="168" t="s">
        <v>990</v>
      </c>
      <c r="E217" s="179" t="s">
        <v>991</v>
      </c>
      <c r="F217" s="180" t="s">
        <v>53</v>
      </c>
      <c r="G217" s="187" t="s">
        <v>602</v>
      </c>
      <c r="H217" s="94">
        <v>1000</v>
      </c>
      <c r="I217" s="95">
        <f>7.07+0.24</f>
        <v>7.3100000000000005</v>
      </c>
    </row>
    <row r="218" spans="1:9" ht="30">
      <c r="A218" s="178"/>
      <c r="B218" s="178"/>
      <c r="C218" s="168" t="s">
        <v>989</v>
      </c>
      <c r="D218" s="168" t="s">
        <v>990</v>
      </c>
      <c r="E218" s="179" t="s">
        <v>991</v>
      </c>
      <c r="F218" s="180" t="s">
        <v>53</v>
      </c>
      <c r="G218" s="187" t="s">
        <v>602</v>
      </c>
      <c r="H218" s="94">
        <v>2000</v>
      </c>
      <c r="I218" s="95">
        <f>6.75+0.24</f>
        <v>6.99</v>
      </c>
    </row>
    <row r="219" spans="1:9" ht="31.5">
      <c r="A219" s="178"/>
      <c r="B219" s="178"/>
      <c r="C219" s="124" t="s">
        <v>992</v>
      </c>
      <c r="D219" s="124" t="s">
        <v>993</v>
      </c>
      <c r="E219" s="138" t="s">
        <v>994</v>
      </c>
      <c r="F219" s="124" t="s">
        <v>995</v>
      </c>
      <c r="G219" s="187" t="s">
        <v>996</v>
      </c>
      <c r="H219" s="94">
        <v>100</v>
      </c>
      <c r="I219" s="95">
        <v>7.35</v>
      </c>
    </row>
    <row r="220" spans="1:9" ht="31.5">
      <c r="A220" s="178"/>
      <c r="B220" s="178"/>
      <c r="C220" s="124" t="s">
        <v>992</v>
      </c>
      <c r="D220" s="124" t="s">
        <v>993</v>
      </c>
      <c r="E220" s="138" t="s">
        <v>994</v>
      </c>
      <c r="F220" s="124" t="s">
        <v>995</v>
      </c>
      <c r="G220" s="187" t="s">
        <v>996</v>
      </c>
      <c r="H220" s="94">
        <v>500</v>
      </c>
      <c r="I220" s="95">
        <v>6.53</v>
      </c>
    </row>
    <row r="221" spans="1:9" ht="31.5">
      <c r="A221" s="178"/>
      <c r="B221" s="178"/>
      <c r="C221" s="124" t="s">
        <v>992</v>
      </c>
      <c r="D221" s="124" t="s">
        <v>993</v>
      </c>
      <c r="E221" s="138" t="s">
        <v>994</v>
      </c>
      <c r="F221" s="124" t="s">
        <v>995</v>
      </c>
      <c r="G221" s="187" t="s">
        <v>996</v>
      </c>
      <c r="H221" s="94">
        <v>1000</v>
      </c>
      <c r="I221" s="95">
        <v>5.13</v>
      </c>
    </row>
    <row r="222" spans="1:9" ht="15.75">
      <c r="A222" s="178"/>
      <c r="B222" s="178"/>
      <c r="C222" s="124" t="s">
        <v>1003</v>
      </c>
      <c r="D222" s="124" t="s">
        <v>495</v>
      </c>
      <c r="E222" s="138" t="s">
        <v>1004</v>
      </c>
      <c r="F222" s="124" t="s">
        <v>53</v>
      </c>
      <c r="G222" s="187" t="s">
        <v>498</v>
      </c>
      <c r="H222" s="94">
        <v>500</v>
      </c>
      <c r="I222" s="95">
        <v>2.11</v>
      </c>
    </row>
    <row r="223" spans="1:9" ht="31.5">
      <c r="A223" s="178"/>
      <c r="B223" s="178"/>
      <c r="C223" s="124" t="s">
        <v>1005</v>
      </c>
      <c r="D223" s="124" t="s">
        <v>495</v>
      </c>
      <c r="E223" s="138" t="s">
        <v>1006</v>
      </c>
      <c r="F223" s="124" t="s">
        <v>1007</v>
      </c>
      <c r="G223" s="187" t="s">
        <v>498</v>
      </c>
      <c r="H223" s="94">
        <v>2000</v>
      </c>
      <c r="I223" s="95">
        <v>2.23</v>
      </c>
    </row>
    <row r="224" spans="1:9" ht="15.75">
      <c r="A224" s="178"/>
      <c r="B224" s="178"/>
      <c r="C224" s="124" t="s">
        <v>1010</v>
      </c>
      <c r="D224" s="124" t="s">
        <v>1011</v>
      </c>
      <c r="E224" s="138" t="s">
        <v>1012</v>
      </c>
      <c r="F224" s="124" t="s">
        <v>1013</v>
      </c>
      <c r="G224" s="187" t="s">
        <v>1014</v>
      </c>
      <c r="H224" s="94">
        <v>1000</v>
      </c>
      <c r="I224" s="95">
        <v>2.04</v>
      </c>
    </row>
    <row r="225" spans="1:9" ht="63">
      <c r="A225" s="178"/>
      <c r="B225" s="178"/>
      <c r="C225" s="204" t="s">
        <v>754</v>
      </c>
      <c r="D225" s="236" t="s">
        <v>753</v>
      </c>
      <c r="E225" s="124" t="s">
        <v>602</v>
      </c>
      <c r="F225" s="124" t="s">
        <v>970</v>
      </c>
      <c r="G225" s="124" t="s">
        <v>69</v>
      </c>
      <c r="H225" s="235" t="s">
        <v>755</v>
      </c>
      <c r="I225" s="94">
        <v>300</v>
      </c>
    </row>
    <row r="226" spans="1:9" ht="47.25">
      <c r="A226" s="178"/>
      <c r="B226" s="178"/>
      <c r="C226" s="124" t="s">
        <v>997</v>
      </c>
      <c r="D226" s="124" t="s">
        <v>495</v>
      </c>
      <c r="E226" s="138" t="s">
        <v>998</v>
      </c>
      <c r="F226" s="124" t="s">
        <v>999</v>
      </c>
      <c r="G226" s="187" t="s">
        <v>544</v>
      </c>
      <c r="H226" s="94">
        <v>2000</v>
      </c>
      <c r="I226" s="95">
        <v>2.89</v>
      </c>
    </row>
    <row r="227" spans="1:9" ht="47.25">
      <c r="A227" s="178"/>
      <c r="B227" s="178"/>
      <c r="C227" s="124" t="s">
        <v>1000</v>
      </c>
      <c r="D227" s="124" t="s">
        <v>1001</v>
      </c>
      <c r="E227" s="138" t="s">
        <v>1002</v>
      </c>
      <c r="F227" s="124" t="s">
        <v>999</v>
      </c>
      <c r="G227" s="187" t="s">
        <v>544</v>
      </c>
      <c r="H227" s="94">
        <v>2000</v>
      </c>
      <c r="I227" s="95">
        <v>3.54</v>
      </c>
    </row>
    <row r="228" spans="1:9" ht="45">
      <c r="A228" s="178"/>
      <c r="B228" s="178"/>
      <c r="C228" s="237" t="s">
        <v>1015</v>
      </c>
      <c r="D228" s="192" t="s">
        <v>74</v>
      </c>
      <c r="E228" s="178"/>
      <c r="F228" s="178"/>
      <c r="G228" s="182"/>
      <c r="H228" s="178"/>
      <c r="I228" s="238">
        <v>4.49</v>
      </c>
    </row>
    <row r="229" spans="1:9" ht="30">
      <c r="A229" s="178"/>
      <c r="B229" s="178"/>
      <c r="C229" s="237" t="s">
        <v>1016</v>
      </c>
      <c r="D229" s="192" t="s">
        <v>1017</v>
      </c>
      <c r="E229" s="178"/>
      <c r="F229" s="178"/>
      <c r="G229" s="182"/>
      <c r="H229" s="178"/>
      <c r="I229" s="238">
        <v>4.63</v>
      </c>
    </row>
    <row r="230" spans="1:9" ht="31.5">
      <c r="A230" s="178"/>
      <c r="B230" s="178"/>
      <c r="C230" s="237" t="s">
        <v>310</v>
      </c>
      <c r="D230" s="192" t="s">
        <v>311</v>
      </c>
      <c r="E230" s="178"/>
      <c r="F230" s="178"/>
      <c r="G230" s="182"/>
      <c r="H230" s="178"/>
      <c r="I230" s="238">
        <v>4.5</v>
      </c>
    </row>
    <row r="231" spans="1:9" ht="30">
      <c r="A231" s="178"/>
      <c r="B231" s="178"/>
      <c r="C231" s="237" t="s">
        <v>710</v>
      </c>
      <c r="D231" s="192" t="s">
        <v>119</v>
      </c>
      <c r="E231" s="178"/>
      <c r="F231" s="178"/>
      <c r="G231" s="182"/>
      <c r="H231" s="178"/>
      <c r="I231" s="238">
        <v>8.09</v>
      </c>
    </row>
    <row r="232" spans="1:9" ht="30">
      <c r="A232" s="178"/>
      <c r="B232" s="178"/>
      <c r="C232" s="237" t="s">
        <v>711</v>
      </c>
      <c r="D232" s="192" t="s">
        <v>100</v>
      </c>
      <c r="E232" s="178"/>
      <c r="F232" s="178"/>
      <c r="G232" s="182"/>
      <c r="H232" s="178"/>
      <c r="I232" s="238">
        <v>3.28</v>
      </c>
    </row>
    <row r="233" spans="1:9" ht="47.25">
      <c r="A233" s="178"/>
      <c r="B233" s="178"/>
      <c r="C233" s="237" t="s">
        <v>1018</v>
      </c>
      <c r="D233" s="192" t="s">
        <v>1019</v>
      </c>
      <c r="E233" s="178"/>
      <c r="F233" s="178"/>
      <c r="G233" s="182"/>
      <c r="H233" s="178"/>
      <c r="I233" s="238">
        <v>5.78</v>
      </c>
    </row>
    <row r="234" spans="1:9" ht="47.25">
      <c r="A234" s="178"/>
      <c r="B234" s="178"/>
      <c r="C234" s="237" t="s">
        <v>1020</v>
      </c>
      <c r="D234" s="192" t="s">
        <v>553</v>
      </c>
      <c r="E234" s="178"/>
      <c r="F234" s="178"/>
      <c r="G234" s="182"/>
      <c r="H234" s="178"/>
      <c r="I234" s="238">
        <v>6.71</v>
      </c>
    </row>
    <row r="235" spans="1:9" ht="15.75">
      <c r="A235" s="178"/>
      <c r="B235" s="178"/>
      <c r="C235" s="239" t="s">
        <v>1021</v>
      </c>
      <c r="D235" s="240" t="s">
        <v>1022</v>
      </c>
      <c r="E235" s="240"/>
      <c r="F235" s="241" t="s">
        <v>1023</v>
      </c>
      <c r="G235" s="241" t="s">
        <v>1024</v>
      </c>
      <c r="H235" s="240">
        <v>1000</v>
      </c>
      <c r="I235" s="242">
        <v>4.32</v>
      </c>
    </row>
    <row r="236" spans="1:9" ht="30">
      <c r="A236" s="178"/>
      <c r="B236" s="178"/>
      <c r="C236" s="243" t="s">
        <v>1025</v>
      </c>
      <c r="D236" s="240" t="s">
        <v>1026</v>
      </c>
      <c r="E236" s="240" t="s">
        <v>756</v>
      </c>
      <c r="F236" s="244" t="s">
        <v>1027</v>
      </c>
      <c r="G236" s="187"/>
      <c r="H236" s="240">
        <v>500</v>
      </c>
      <c r="I236" s="242">
        <v>3.4</v>
      </c>
    </row>
    <row r="237" spans="1:9" ht="30">
      <c r="A237" s="178"/>
      <c r="B237" s="178"/>
      <c r="C237" s="243" t="s">
        <v>1028</v>
      </c>
      <c r="D237" s="240" t="s">
        <v>1029</v>
      </c>
      <c r="E237" s="240" t="s">
        <v>1030</v>
      </c>
      <c r="F237" s="244" t="s">
        <v>69</v>
      </c>
      <c r="G237" s="187"/>
      <c r="H237" s="240">
        <v>500</v>
      </c>
      <c r="I237" s="242">
        <v>4.1100000000000003</v>
      </c>
    </row>
    <row r="238" spans="1:9" ht="31.5">
      <c r="A238" s="178"/>
      <c r="B238" s="178"/>
      <c r="C238" s="243" t="s">
        <v>1031</v>
      </c>
      <c r="D238" s="240" t="s">
        <v>1032</v>
      </c>
      <c r="E238" s="240" t="s">
        <v>756</v>
      </c>
      <c r="F238" s="240" t="s">
        <v>53</v>
      </c>
      <c r="G238" s="187" t="s">
        <v>1033</v>
      </c>
      <c r="H238" s="240">
        <v>500</v>
      </c>
      <c r="I238" s="242">
        <v>2.37</v>
      </c>
    </row>
    <row r="239" spans="1:9" ht="30">
      <c r="A239" s="178"/>
      <c r="B239" s="178"/>
      <c r="C239" s="243" t="s">
        <v>1034</v>
      </c>
      <c r="D239" s="240" t="s">
        <v>1035</v>
      </c>
      <c r="E239" s="240" t="s">
        <v>1030</v>
      </c>
      <c r="F239" s="240" t="s">
        <v>53</v>
      </c>
      <c r="G239" s="187" t="s">
        <v>1036</v>
      </c>
      <c r="H239" s="240">
        <v>500</v>
      </c>
      <c r="I239" s="242">
        <v>3.03</v>
      </c>
    </row>
    <row r="240" spans="1:9" ht="31.5">
      <c r="A240" s="178"/>
      <c r="B240" s="178"/>
      <c r="C240" s="239" t="s">
        <v>1037</v>
      </c>
      <c r="D240" s="240" t="s">
        <v>1038</v>
      </c>
      <c r="E240" s="240"/>
      <c r="F240" s="241" t="s">
        <v>1039</v>
      </c>
      <c r="G240" s="241" t="s">
        <v>515</v>
      </c>
      <c r="H240" s="245">
        <v>2000</v>
      </c>
      <c r="I240" s="242">
        <v>2.35</v>
      </c>
    </row>
    <row r="241" spans="1:9" ht="31.5">
      <c r="A241" s="178"/>
      <c r="B241" s="178"/>
      <c r="C241" s="239" t="s">
        <v>1037</v>
      </c>
      <c r="D241" s="240" t="s">
        <v>1038</v>
      </c>
      <c r="E241" s="240"/>
      <c r="F241" s="241" t="s">
        <v>1039</v>
      </c>
      <c r="G241" s="241" t="s">
        <v>515</v>
      </c>
      <c r="H241" s="245">
        <v>5000</v>
      </c>
      <c r="I241" s="242">
        <v>2.25</v>
      </c>
    </row>
    <row r="242" spans="1:9" ht="18">
      <c r="A242" s="178"/>
      <c r="B242" s="178"/>
      <c r="C242" s="197" t="s">
        <v>1040</v>
      </c>
      <c r="D242" s="175" t="s">
        <v>1041</v>
      </c>
      <c r="E242" s="198" t="s">
        <v>1042</v>
      </c>
      <c r="F242" s="170" t="s">
        <v>69</v>
      </c>
      <c r="G242" s="171" t="s">
        <v>602</v>
      </c>
      <c r="H242" s="94">
        <v>390000</v>
      </c>
      <c r="I242" s="95">
        <v>4.51</v>
      </c>
    </row>
    <row r="243" spans="1:9" ht="18">
      <c r="A243" s="178"/>
      <c r="B243" s="178"/>
      <c r="C243" s="197" t="s">
        <v>1040</v>
      </c>
      <c r="D243" s="175" t="s">
        <v>1041</v>
      </c>
      <c r="E243" s="198" t="s">
        <v>1042</v>
      </c>
      <c r="F243" s="170" t="s">
        <v>69</v>
      </c>
      <c r="G243" s="171" t="s">
        <v>1043</v>
      </c>
      <c r="H243" s="94">
        <v>390000</v>
      </c>
      <c r="I243" s="95">
        <v>4.53</v>
      </c>
    </row>
    <row r="244" spans="1:9" ht="24.75" customHeight="1">
      <c r="A244" s="177">
        <v>45146</v>
      </c>
      <c r="B244" s="178"/>
      <c r="C244" s="197" t="s">
        <v>1075</v>
      </c>
      <c r="D244" s="175" t="s">
        <v>1076</v>
      </c>
      <c r="E244" s="198" t="s">
        <v>1083</v>
      </c>
      <c r="F244" s="170" t="s">
        <v>1084</v>
      </c>
      <c r="G244" s="171" t="s">
        <v>133</v>
      </c>
      <c r="H244" s="94">
        <v>5000</v>
      </c>
      <c r="I244" s="95">
        <v>5.88</v>
      </c>
    </row>
    <row r="245" spans="1:9" ht="24.75" customHeight="1">
      <c r="A245" s="177">
        <v>45146</v>
      </c>
      <c r="B245" s="178"/>
      <c r="C245" s="197" t="s">
        <v>1077</v>
      </c>
      <c r="D245" s="175" t="s">
        <v>1078</v>
      </c>
      <c r="E245" s="198" t="s">
        <v>1085</v>
      </c>
      <c r="F245" s="170" t="s">
        <v>1084</v>
      </c>
      <c r="G245" s="171" t="s">
        <v>133</v>
      </c>
      <c r="H245" s="94">
        <v>5000</v>
      </c>
      <c r="I245" s="95">
        <v>1.56</v>
      </c>
    </row>
    <row r="246" spans="1:9" ht="24.75" customHeight="1">
      <c r="A246" s="177">
        <v>45146</v>
      </c>
      <c r="B246" s="178"/>
      <c r="C246" s="197" t="s">
        <v>1079</v>
      </c>
      <c r="D246" s="175" t="s">
        <v>1080</v>
      </c>
      <c r="E246" s="198" t="s">
        <v>1086</v>
      </c>
      <c r="F246" s="170" t="s">
        <v>1084</v>
      </c>
      <c r="G246" s="171" t="s">
        <v>133</v>
      </c>
      <c r="H246" s="94">
        <v>5000</v>
      </c>
      <c r="I246" s="95">
        <v>1.46</v>
      </c>
    </row>
    <row r="247" spans="1:9" ht="24.75" customHeight="1">
      <c r="A247" s="177">
        <v>45146</v>
      </c>
      <c r="B247" s="178"/>
      <c r="C247" s="197" t="s">
        <v>1081</v>
      </c>
      <c r="D247" s="175" t="s">
        <v>1082</v>
      </c>
      <c r="E247" s="198" t="s">
        <v>1087</v>
      </c>
      <c r="F247" s="170" t="s">
        <v>1084</v>
      </c>
      <c r="G247" s="171" t="s">
        <v>133</v>
      </c>
      <c r="H247" s="94">
        <v>5000</v>
      </c>
      <c r="I247" s="95">
        <v>3.56</v>
      </c>
    </row>
    <row r="248" spans="1:9" ht="24.75" customHeight="1">
      <c r="A248" s="177">
        <v>45150</v>
      </c>
      <c r="B248" s="178"/>
      <c r="C248" s="197" t="s">
        <v>1090</v>
      </c>
      <c r="D248" s="175" t="s">
        <v>1091</v>
      </c>
      <c r="E248" s="198" t="s">
        <v>1092</v>
      </c>
      <c r="F248" s="170" t="s">
        <v>1093</v>
      </c>
      <c r="G248" s="171" t="s">
        <v>1094</v>
      </c>
      <c r="H248" s="94" t="s">
        <v>1095</v>
      </c>
      <c r="I248" s="95">
        <v>13.35</v>
      </c>
    </row>
    <row r="249" spans="1:9" ht="24.75" customHeight="1">
      <c r="A249" s="177">
        <v>45150</v>
      </c>
      <c r="B249" s="178"/>
      <c r="C249" s="197" t="s">
        <v>1090</v>
      </c>
      <c r="D249" s="175" t="s">
        <v>1091</v>
      </c>
      <c r="E249" s="198" t="s">
        <v>1092</v>
      </c>
      <c r="F249" s="170" t="s">
        <v>1096</v>
      </c>
      <c r="G249" s="171" t="s">
        <v>1097</v>
      </c>
      <c r="H249" s="94" t="s">
        <v>1098</v>
      </c>
      <c r="I249" s="95">
        <v>13.71</v>
      </c>
    </row>
    <row r="250" spans="1:9" ht="42" customHeight="1">
      <c r="A250" s="177">
        <v>45154</v>
      </c>
      <c r="B250" s="178"/>
      <c r="C250" s="300" t="s">
        <v>1099</v>
      </c>
      <c r="D250" s="293" t="s">
        <v>1100</v>
      </c>
      <c r="E250" s="294" t="s">
        <v>1101</v>
      </c>
      <c r="F250" s="295" t="s">
        <v>1102</v>
      </c>
      <c r="G250" s="296" t="s">
        <v>200</v>
      </c>
      <c r="H250" s="296">
        <v>1000</v>
      </c>
      <c r="I250" s="297">
        <v>9.68</v>
      </c>
    </row>
    <row r="251" spans="1:9" ht="42" customHeight="1">
      <c r="A251" s="177">
        <v>45154</v>
      </c>
      <c r="B251" s="178"/>
      <c r="C251" s="300" t="s">
        <v>1103</v>
      </c>
      <c r="D251" s="293" t="s">
        <v>1104</v>
      </c>
      <c r="E251" s="294" t="s">
        <v>1105</v>
      </c>
      <c r="F251" s="295" t="s">
        <v>1102</v>
      </c>
      <c r="G251" s="298" t="s">
        <v>1106</v>
      </c>
      <c r="H251" s="296">
        <v>1000</v>
      </c>
      <c r="I251" s="299">
        <v>8.48</v>
      </c>
    </row>
    <row r="252" spans="1:9" ht="42" customHeight="1">
      <c r="A252" s="177">
        <v>45154</v>
      </c>
      <c r="B252" s="178"/>
      <c r="C252" s="300" t="s">
        <v>1107</v>
      </c>
      <c r="D252" s="293" t="s">
        <v>1108</v>
      </c>
      <c r="E252" s="294" t="s">
        <v>1109</v>
      </c>
      <c r="F252" s="295" t="s">
        <v>1102</v>
      </c>
      <c r="G252" s="296" t="s">
        <v>200</v>
      </c>
      <c r="H252" s="296">
        <v>1000</v>
      </c>
      <c r="I252" s="297">
        <v>4.95</v>
      </c>
    </row>
    <row r="253" spans="1:9" ht="42" customHeight="1">
      <c r="A253" s="177">
        <v>45154</v>
      </c>
      <c r="B253" s="178"/>
      <c r="C253" s="300" t="s">
        <v>1110</v>
      </c>
      <c r="D253" s="293" t="s">
        <v>1111</v>
      </c>
      <c r="E253" s="294" t="s">
        <v>1112</v>
      </c>
      <c r="F253" s="295" t="s">
        <v>1102</v>
      </c>
      <c r="G253" s="296" t="s">
        <v>200</v>
      </c>
      <c r="H253" s="296">
        <v>1000</v>
      </c>
      <c r="I253" s="297">
        <v>2.58</v>
      </c>
    </row>
    <row r="254" spans="1:9" ht="42" customHeight="1">
      <c r="A254" s="177">
        <v>45154</v>
      </c>
      <c r="B254" s="178"/>
      <c r="C254" s="300" t="s">
        <v>1113</v>
      </c>
      <c r="D254" s="293" t="s">
        <v>1114</v>
      </c>
      <c r="E254" s="294" t="s">
        <v>1115</v>
      </c>
      <c r="F254" s="295" t="s">
        <v>1102</v>
      </c>
      <c r="G254" s="296" t="s">
        <v>200</v>
      </c>
      <c r="H254" s="296">
        <v>1000</v>
      </c>
      <c r="I254" s="297">
        <v>10.15</v>
      </c>
    </row>
    <row r="255" spans="1:9" ht="42" customHeight="1">
      <c r="A255" s="177">
        <v>45154</v>
      </c>
      <c r="B255" s="178"/>
      <c r="C255" s="300" t="s">
        <v>1116</v>
      </c>
      <c r="D255" s="293" t="s">
        <v>1117</v>
      </c>
      <c r="E255" s="294" t="s">
        <v>1118</v>
      </c>
      <c r="F255" s="295" t="s">
        <v>1102</v>
      </c>
      <c r="G255" s="296" t="s">
        <v>200</v>
      </c>
      <c r="H255" s="296">
        <v>1000</v>
      </c>
      <c r="I255" s="297">
        <v>11.52</v>
      </c>
    </row>
    <row r="256" spans="1:9" ht="42" customHeight="1">
      <c r="A256" s="177">
        <v>45154</v>
      </c>
      <c r="B256" s="178"/>
      <c r="C256" s="300" t="s">
        <v>1119</v>
      </c>
      <c r="D256" s="293" t="s">
        <v>1120</v>
      </c>
      <c r="E256" s="294" t="s">
        <v>1121</v>
      </c>
      <c r="F256" s="295" t="s">
        <v>1102</v>
      </c>
      <c r="G256" s="296" t="s">
        <v>200</v>
      </c>
      <c r="H256" s="296">
        <v>1000</v>
      </c>
      <c r="I256" s="297">
        <v>7.12</v>
      </c>
    </row>
    <row r="257" spans="1:9" ht="42" customHeight="1">
      <c r="A257" s="177">
        <v>45154</v>
      </c>
      <c r="B257" s="178"/>
      <c r="C257" s="300" t="s">
        <v>1122</v>
      </c>
      <c r="D257" s="293" t="s">
        <v>1123</v>
      </c>
      <c r="E257" s="294" t="s">
        <v>1124</v>
      </c>
      <c r="F257" s="295" t="s">
        <v>1102</v>
      </c>
      <c r="G257" s="296" t="s">
        <v>200</v>
      </c>
      <c r="H257" s="296">
        <v>1000</v>
      </c>
      <c r="I257" s="297">
        <v>4.8</v>
      </c>
    </row>
    <row r="258" spans="1:9" ht="42" customHeight="1">
      <c r="A258" s="177">
        <v>45154</v>
      </c>
      <c r="B258" s="178"/>
      <c r="C258" s="300" t="s">
        <v>1125</v>
      </c>
      <c r="D258" s="293" t="s">
        <v>1126</v>
      </c>
      <c r="E258" s="294" t="s">
        <v>1127</v>
      </c>
      <c r="F258" s="295" t="s">
        <v>1102</v>
      </c>
      <c r="G258" s="296" t="s">
        <v>200</v>
      </c>
      <c r="H258" s="296">
        <v>1000</v>
      </c>
      <c r="I258" s="297">
        <v>6.93</v>
      </c>
    </row>
    <row r="259" spans="1:9" ht="42" customHeight="1">
      <c r="A259" s="177">
        <v>45154</v>
      </c>
      <c r="B259" s="178"/>
      <c r="C259" s="300" t="s">
        <v>1128</v>
      </c>
      <c r="D259" s="293" t="s">
        <v>1129</v>
      </c>
      <c r="E259" s="294" t="s">
        <v>1130</v>
      </c>
      <c r="F259" s="295" t="s">
        <v>1102</v>
      </c>
      <c r="G259" s="296" t="s">
        <v>200</v>
      </c>
      <c r="H259" s="296">
        <v>1000</v>
      </c>
      <c r="I259" s="297">
        <v>7.52</v>
      </c>
    </row>
    <row r="260" spans="1:9" ht="42" customHeight="1">
      <c r="A260" s="177">
        <v>45154</v>
      </c>
      <c r="B260" s="178"/>
      <c r="C260" s="300" t="s">
        <v>1131</v>
      </c>
      <c r="D260" s="293" t="s">
        <v>1132</v>
      </c>
      <c r="E260" s="294" t="s">
        <v>1133</v>
      </c>
      <c r="F260" s="295" t="s">
        <v>1102</v>
      </c>
      <c r="G260" s="296" t="s">
        <v>200</v>
      </c>
      <c r="H260" s="296">
        <v>1000</v>
      </c>
      <c r="I260" s="297">
        <v>2.85</v>
      </c>
    </row>
    <row r="261" spans="1:9" ht="42" customHeight="1">
      <c r="A261" s="177">
        <v>45154</v>
      </c>
      <c r="B261" s="178"/>
      <c r="C261" s="300" t="s">
        <v>1134</v>
      </c>
      <c r="D261" s="293" t="s">
        <v>1135</v>
      </c>
      <c r="E261" s="294" t="s">
        <v>1136</v>
      </c>
      <c r="F261" s="295" t="s">
        <v>1102</v>
      </c>
      <c r="G261" s="296" t="s">
        <v>200</v>
      </c>
      <c r="H261" s="296">
        <v>1000</v>
      </c>
      <c r="I261" s="297">
        <v>5.76</v>
      </c>
    </row>
    <row r="262" spans="1:9" ht="42" customHeight="1">
      <c r="A262" s="177">
        <v>45154</v>
      </c>
      <c r="B262" s="178"/>
      <c r="C262" s="300" t="s">
        <v>1137</v>
      </c>
      <c r="D262" s="293" t="s">
        <v>750</v>
      </c>
      <c r="E262" s="294" t="s">
        <v>1138</v>
      </c>
      <c r="F262" s="295" t="s">
        <v>1102</v>
      </c>
      <c r="G262" s="296" t="s">
        <v>200</v>
      </c>
      <c r="H262" s="296">
        <v>1000</v>
      </c>
      <c r="I262" s="297">
        <v>9.06</v>
      </c>
    </row>
    <row r="263" spans="1:9" ht="42" customHeight="1">
      <c r="A263" s="177">
        <v>45154</v>
      </c>
      <c r="B263" s="178"/>
      <c r="C263" s="300" t="s">
        <v>1139</v>
      </c>
      <c r="D263" s="293" t="s">
        <v>1140</v>
      </c>
      <c r="E263" s="294" t="s">
        <v>1141</v>
      </c>
      <c r="F263" s="295" t="s">
        <v>1102</v>
      </c>
      <c r="G263" s="296" t="s">
        <v>200</v>
      </c>
      <c r="H263" s="296">
        <v>1000</v>
      </c>
      <c r="I263" s="297">
        <v>2.92</v>
      </c>
    </row>
    <row r="264" spans="1:9" ht="42" customHeight="1">
      <c r="A264" s="177">
        <v>45154</v>
      </c>
      <c r="B264" s="178"/>
      <c r="C264" s="300" t="s">
        <v>1142</v>
      </c>
      <c r="D264" s="293" t="s">
        <v>1143</v>
      </c>
      <c r="E264" s="294" t="s">
        <v>1144</v>
      </c>
      <c r="F264" s="295" t="s">
        <v>1102</v>
      </c>
      <c r="G264" s="296" t="s">
        <v>200</v>
      </c>
      <c r="H264" s="296">
        <v>1000</v>
      </c>
      <c r="I264" s="297">
        <v>5.12</v>
      </c>
    </row>
    <row r="265" spans="1:9" ht="42" customHeight="1">
      <c r="A265" s="177">
        <v>45154</v>
      </c>
      <c r="B265" s="178"/>
      <c r="C265" s="300" t="s">
        <v>1145</v>
      </c>
      <c r="D265" s="293" t="s">
        <v>546</v>
      </c>
      <c r="E265" s="294" t="s">
        <v>1146</v>
      </c>
      <c r="F265" s="295" t="s">
        <v>1102</v>
      </c>
      <c r="G265" s="296" t="s">
        <v>200</v>
      </c>
      <c r="H265" s="296">
        <v>1000</v>
      </c>
      <c r="I265" s="297">
        <v>11.98</v>
      </c>
    </row>
    <row r="266" spans="1:9" ht="42" customHeight="1">
      <c r="A266" s="177">
        <v>45154</v>
      </c>
      <c r="B266" s="178"/>
      <c r="C266" s="300" t="s">
        <v>1147</v>
      </c>
      <c r="D266" s="293" t="s">
        <v>546</v>
      </c>
      <c r="E266" s="294" t="s">
        <v>1146</v>
      </c>
      <c r="F266" s="295" t="s">
        <v>1102</v>
      </c>
      <c r="G266" s="296" t="s">
        <v>200</v>
      </c>
      <c r="H266" s="296">
        <v>1000</v>
      </c>
      <c r="I266" s="297">
        <v>3.28</v>
      </c>
    </row>
    <row r="267" spans="1:9">
      <c r="A267" s="177">
        <v>45156</v>
      </c>
      <c r="B267" s="178"/>
      <c r="C267" s="301" t="s">
        <v>1151</v>
      </c>
      <c r="D267" s="302" t="s">
        <v>1152</v>
      </c>
      <c r="E267" s="293" t="s">
        <v>1153</v>
      </c>
      <c r="F267" s="295" t="s">
        <v>1154</v>
      </c>
      <c r="G267" s="296" t="s">
        <v>133</v>
      </c>
      <c r="H267" s="295">
        <v>500</v>
      </c>
      <c r="I267" s="297">
        <v>8.7799999999999994</v>
      </c>
    </row>
    <row r="268" spans="1:9">
      <c r="A268" s="177">
        <v>45156</v>
      </c>
      <c r="B268" s="178"/>
      <c r="C268" s="301" t="s">
        <v>1155</v>
      </c>
      <c r="D268" s="302" t="s">
        <v>1156</v>
      </c>
      <c r="E268" s="293" t="s">
        <v>1157</v>
      </c>
      <c r="F268" s="295" t="s">
        <v>1154</v>
      </c>
      <c r="G268" s="296" t="s">
        <v>133</v>
      </c>
      <c r="H268" s="295">
        <v>500</v>
      </c>
      <c r="I268" s="297">
        <v>4.0599999999999996</v>
      </c>
    </row>
    <row r="269" spans="1:9">
      <c r="A269" s="177">
        <v>45156</v>
      </c>
      <c r="B269" s="178"/>
      <c r="C269" s="301" t="s">
        <v>1158</v>
      </c>
      <c r="D269" s="302" t="s">
        <v>1159</v>
      </c>
      <c r="E269" s="293" t="s">
        <v>1160</v>
      </c>
      <c r="F269" s="295" t="s">
        <v>1154</v>
      </c>
      <c r="G269" s="296" t="s">
        <v>133</v>
      </c>
      <c r="H269" s="295">
        <v>500</v>
      </c>
      <c r="I269" s="297">
        <v>8.6</v>
      </c>
    </row>
    <row r="270" spans="1:9">
      <c r="A270" s="177">
        <v>45156</v>
      </c>
      <c r="B270" s="178"/>
      <c r="C270" s="301" t="s">
        <v>1161</v>
      </c>
      <c r="D270" s="302" t="s">
        <v>1162</v>
      </c>
      <c r="E270" s="293" t="s">
        <v>1163</v>
      </c>
      <c r="F270" s="295" t="s">
        <v>1154</v>
      </c>
      <c r="G270" s="296" t="s">
        <v>133</v>
      </c>
      <c r="H270" s="295">
        <v>300</v>
      </c>
      <c r="I270" s="297">
        <v>5.98</v>
      </c>
    </row>
    <row r="271" spans="1:9">
      <c r="A271" s="177">
        <v>45159</v>
      </c>
      <c r="B271" s="178"/>
      <c r="C271" s="301" t="s">
        <v>1164</v>
      </c>
      <c r="D271" s="302" t="s">
        <v>1165</v>
      </c>
      <c r="E271" s="293" t="s">
        <v>1166</v>
      </c>
      <c r="F271" s="295" t="s">
        <v>1167</v>
      </c>
      <c r="G271" s="296" t="s">
        <v>1168</v>
      </c>
      <c r="H271" s="295" t="s">
        <v>509</v>
      </c>
      <c r="I271" s="297">
        <v>2.2000000000000002</v>
      </c>
    </row>
    <row r="272" spans="1:9">
      <c r="A272" s="177">
        <v>45159</v>
      </c>
      <c r="B272" s="178"/>
      <c r="C272" s="301" t="s">
        <v>1164</v>
      </c>
      <c r="D272" s="302" t="s">
        <v>1165</v>
      </c>
      <c r="E272" s="293" t="s">
        <v>1169</v>
      </c>
      <c r="F272" s="295" t="s">
        <v>1167</v>
      </c>
      <c r="G272" s="296" t="s">
        <v>1168</v>
      </c>
      <c r="H272" s="295" t="s">
        <v>509</v>
      </c>
      <c r="I272" s="297">
        <v>2.06</v>
      </c>
    </row>
    <row r="273" spans="1:9" ht="67.5" customHeight="1">
      <c r="A273" s="177">
        <v>45161</v>
      </c>
      <c r="B273" s="178"/>
      <c r="C273" s="197" t="s">
        <v>997</v>
      </c>
      <c r="D273" s="303" t="s">
        <v>1170</v>
      </c>
      <c r="E273" s="198" t="s">
        <v>1171</v>
      </c>
      <c r="F273" s="170" t="s">
        <v>578</v>
      </c>
      <c r="G273" s="171" t="s">
        <v>1172</v>
      </c>
      <c r="H273" s="94" t="s">
        <v>613</v>
      </c>
      <c r="I273" s="297">
        <v>2.83</v>
      </c>
    </row>
    <row r="274" spans="1:9" s="480" customFormat="1" ht="33.75" customHeight="1">
      <c r="A274" s="481">
        <v>45395</v>
      </c>
      <c r="B274" s="475"/>
      <c r="C274" s="474" t="s">
        <v>1423</v>
      </c>
      <c r="D274" s="475" t="s">
        <v>1424</v>
      </c>
      <c r="E274" s="476" t="s">
        <v>1426</v>
      </c>
      <c r="F274" s="477" t="s">
        <v>50</v>
      </c>
      <c r="G274" s="477" t="s">
        <v>1425</v>
      </c>
      <c r="H274" s="478">
        <v>500</v>
      </c>
      <c r="I274" s="479">
        <f>3+0.21+0.21</f>
        <v>3.42</v>
      </c>
    </row>
    <row r="275" spans="1:9" s="480" customFormat="1" ht="33.75" customHeight="1">
      <c r="A275" s="481">
        <v>45402</v>
      </c>
      <c r="B275" s="475"/>
      <c r="C275" s="474" t="s">
        <v>1430</v>
      </c>
      <c r="D275" s="475" t="s">
        <v>82</v>
      </c>
      <c r="E275" s="476" t="s">
        <v>1431</v>
      </c>
      <c r="F275" s="477" t="s">
        <v>53</v>
      </c>
      <c r="G275" s="477" t="s">
        <v>1432</v>
      </c>
      <c r="H275" s="478" t="s">
        <v>613</v>
      </c>
      <c r="I275" s="479">
        <v>2.13</v>
      </c>
    </row>
    <row r="276" spans="1:9" s="480" customFormat="1" ht="33.75" customHeight="1">
      <c r="A276" s="481">
        <v>45425</v>
      </c>
      <c r="B276" s="475"/>
      <c r="C276" s="474" t="s">
        <v>997</v>
      </c>
      <c r="D276" s="475" t="s">
        <v>495</v>
      </c>
      <c r="E276" s="476" t="s">
        <v>1454</v>
      </c>
      <c r="F276" s="477" t="s">
        <v>578</v>
      </c>
      <c r="G276" s="477" t="s">
        <v>1455</v>
      </c>
      <c r="H276" s="478">
        <v>300</v>
      </c>
      <c r="I276" s="502">
        <v>2</v>
      </c>
    </row>
    <row r="277" spans="1:9" s="480" customFormat="1" ht="33.75" customHeight="1">
      <c r="A277" s="481">
        <v>45425</v>
      </c>
      <c r="B277" s="475"/>
      <c r="C277" s="474" t="s">
        <v>997</v>
      </c>
      <c r="D277" s="475" t="s">
        <v>495</v>
      </c>
      <c r="E277" s="476" t="s">
        <v>1456</v>
      </c>
      <c r="F277" s="477" t="s">
        <v>1457</v>
      </c>
      <c r="G277" s="477" t="s">
        <v>544</v>
      </c>
      <c r="H277" s="478" t="s">
        <v>509</v>
      </c>
      <c r="I277" s="502">
        <v>2.09</v>
      </c>
    </row>
    <row r="278" spans="1:9" s="480" customFormat="1" ht="33.75" customHeight="1">
      <c r="A278" s="481">
        <v>45428</v>
      </c>
      <c r="B278" s="475"/>
      <c r="C278" s="474" t="s">
        <v>1460</v>
      </c>
      <c r="D278" s="475" t="s">
        <v>1461</v>
      </c>
      <c r="E278" s="476" t="s">
        <v>1463</v>
      </c>
      <c r="F278" s="477" t="s">
        <v>1464</v>
      </c>
      <c r="G278" s="477" t="s">
        <v>1462</v>
      </c>
      <c r="H278" s="478">
        <v>1000</v>
      </c>
      <c r="I278" s="479">
        <v>3.22</v>
      </c>
    </row>
    <row r="279" spans="1:9" s="480" customFormat="1" ht="33.75" customHeight="1">
      <c r="A279" s="481">
        <v>45428</v>
      </c>
      <c r="B279" s="475"/>
      <c r="C279" s="474" t="s">
        <v>1465</v>
      </c>
      <c r="D279" s="475" t="s">
        <v>1461</v>
      </c>
      <c r="E279" s="476" t="s">
        <v>1466</v>
      </c>
      <c r="F279" s="477" t="s">
        <v>1464</v>
      </c>
      <c r="G279" s="477" t="s">
        <v>1462</v>
      </c>
      <c r="H279" s="478">
        <v>1000</v>
      </c>
      <c r="I279" s="479">
        <v>3.22</v>
      </c>
    </row>
    <row r="280" spans="1:9" ht="25.5">
      <c r="A280" s="131">
        <v>45311</v>
      </c>
      <c r="B280" s="475"/>
      <c r="C280" s="28" t="s">
        <v>1329</v>
      </c>
      <c r="D280" s="28" t="s">
        <v>1449</v>
      </c>
      <c r="E280" s="19" t="s">
        <v>1263</v>
      </c>
      <c r="F280" s="63" t="s">
        <v>1357</v>
      </c>
      <c r="G280" s="100" t="s">
        <v>1439</v>
      </c>
      <c r="H280" s="58">
        <v>100</v>
      </c>
      <c r="I280" s="297">
        <v>33.01</v>
      </c>
    </row>
    <row r="281" spans="1:9" ht="25.5">
      <c r="A281" s="131">
        <v>45311</v>
      </c>
      <c r="B281" s="475"/>
      <c r="C281" s="28" t="s">
        <v>1330</v>
      </c>
      <c r="D281" s="28" t="s">
        <v>1450</v>
      </c>
      <c r="E281" s="19" t="s">
        <v>1263</v>
      </c>
      <c r="F281" s="63" t="s">
        <v>1357</v>
      </c>
      <c r="G281" s="100" t="s">
        <v>1439</v>
      </c>
      <c r="H281" s="58">
        <v>100</v>
      </c>
      <c r="I281" s="297">
        <v>45.36</v>
      </c>
    </row>
    <row r="282" spans="1:9" ht="25.5">
      <c r="A282" s="131">
        <v>45311</v>
      </c>
      <c r="B282" s="475"/>
      <c r="C282" s="28" t="s">
        <v>1331</v>
      </c>
      <c r="D282" s="28" t="s">
        <v>1451</v>
      </c>
      <c r="E282" s="19" t="s">
        <v>1263</v>
      </c>
      <c r="F282" s="63" t="s">
        <v>1357</v>
      </c>
      <c r="G282" s="100" t="s">
        <v>1439</v>
      </c>
      <c r="H282" s="58">
        <v>100</v>
      </c>
      <c r="I282" s="297">
        <v>50.84</v>
      </c>
    </row>
    <row r="283" spans="1:9" ht="25.5">
      <c r="A283" s="131">
        <v>45345</v>
      </c>
      <c r="B283" s="475"/>
      <c r="C283" s="28" t="s">
        <v>1355</v>
      </c>
      <c r="D283" s="28" t="s">
        <v>1452</v>
      </c>
      <c r="E283" s="19" t="s">
        <v>1263</v>
      </c>
      <c r="F283" s="63" t="s">
        <v>1357</v>
      </c>
      <c r="G283" s="100" t="s">
        <v>1439</v>
      </c>
      <c r="H283" s="58">
        <v>100</v>
      </c>
      <c r="I283" s="297">
        <v>39.33</v>
      </c>
    </row>
    <row r="284" spans="1:9" ht="25.5">
      <c r="A284" s="131">
        <v>45345</v>
      </c>
      <c r="B284" s="475"/>
      <c r="C284" s="28" t="s">
        <v>1356</v>
      </c>
      <c r="D284" s="28" t="s">
        <v>1453</v>
      </c>
      <c r="E284" s="19" t="s">
        <v>1263</v>
      </c>
      <c r="F284" s="63" t="s">
        <v>1357</v>
      </c>
      <c r="G284" s="100" t="s">
        <v>1439</v>
      </c>
      <c r="H284" s="58">
        <v>100</v>
      </c>
      <c r="I284" s="297">
        <v>49.79</v>
      </c>
    </row>
    <row r="285" spans="1:9" ht="31.5" customHeight="1">
      <c r="A285" s="481">
        <v>45419</v>
      </c>
      <c r="B285" s="476"/>
      <c r="C285" s="371" t="s">
        <v>1549</v>
      </c>
      <c r="D285" s="365" t="s">
        <v>1550</v>
      </c>
      <c r="E285" s="511" t="s">
        <v>1551</v>
      </c>
      <c r="F285" s="512" t="s">
        <v>53</v>
      </c>
      <c r="G285" s="513" t="s">
        <v>1552</v>
      </c>
      <c r="H285" s="514" t="s">
        <v>1553</v>
      </c>
      <c r="I285" s="297">
        <f>5.99+0.42</f>
        <v>6.41</v>
      </c>
    </row>
    <row r="286" spans="1:9" ht="31.5" customHeight="1">
      <c r="A286" s="481">
        <v>45419</v>
      </c>
      <c r="B286" s="476"/>
      <c r="C286" s="371" t="s">
        <v>1554</v>
      </c>
      <c r="D286" s="365" t="s">
        <v>1550</v>
      </c>
      <c r="E286" s="511" t="s">
        <v>1555</v>
      </c>
      <c r="F286" s="512" t="s">
        <v>53</v>
      </c>
      <c r="G286" s="513" t="s">
        <v>1552</v>
      </c>
      <c r="H286" s="514" t="s">
        <v>1553</v>
      </c>
      <c r="I286" s="297">
        <f>5.99+0.5</f>
        <v>6.49</v>
      </c>
    </row>
    <row r="287" spans="1:9" ht="31.5" customHeight="1">
      <c r="A287" s="481">
        <v>45419</v>
      </c>
      <c r="B287" s="476"/>
      <c r="C287" s="371" t="s">
        <v>1549</v>
      </c>
      <c r="D287" s="365" t="s">
        <v>1550</v>
      </c>
      <c r="E287" s="511" t="s">
        <v>1551</v>
      </c>
      <c r="F287" s="512" t="s">
        <v>53</v>
      </c>
      <c r="G287" s="513" t="s">
        <v>1552</v>
      </c>
      <c r="H287" s="514" t="s">
        <v>1556</v>
      </c>
      <c r="I287" s="297">
        <f>5.9+0.42</f>
        <v>6.32</v>
      </c>
    </row>
    <row r="288" spans="1:9" ht="31.5" customHeight="1">
      <c r="A288" s="481">
        <v>45419</v>
      </c>
      <c r="B288" s="476"/>
      <c r="C288" s="371" t="s">
        <v>1554</v>
      </c>
      <c r="D288" s="365" t="s">
        <v>1550</v>
      </c>
      <c r="E288" s="511" t="s">
        <v>1555</v>
      </c>
      <c r="F288" s="512" t="s">
        <v>53</v>
      </c>
      <c r="G288" s="513" t="s">
        <v>1552</v>
      </c>
      <c r="H288" s="514" t="s">
        <v>1556</v>
      </c>
      <c r="I288" s="297">
        <f>5.9+0.49</f>
        <v>6.3900000000000006</v>
      </c>
    </row>
    <row r="289" spans="1:9" s="480" customFormat="1" ht="33.75" customHeight="1">
      <c r="A289" s="481">
        <v>45435</v>
      </c>
      <c r="B289" s="475" t="s">
        <v>1471</v>
      </c>
      <c r="C289" s="474" t="s">
        <v>1285</v>
      </c>
      <c r="D289" s="475" t="s">
        <v>1286</v>
      </c>
      <c r="E289" s="476" t="s">
        <v>1472</v>
      </c>
      <c r="F289" s="477" t="s">
        <v>69</v>
      </c>
      <c r="G289" s="477" t="s">
        <v>1473</v>
      </c>
      <c r="H289" s="478">
        <v>1000</v>
      </c>
      <c r="I289" s="502">
        <v>6.7</v>
      </c>
    </row>
    <row r="290" spans="1:9" s="480" customFormat="1" ht="33.75" customHeight="1">
      <c r="A290" s="481">
        <v>45435</v>
      </c>
      <c r="B290" s="475" t="s">
        <v>1471</v>
      </c>
      <c r="C290" s="474" t="s">
        <v>1378</v>
      </c>
      <c r="D290" s="475" t="s">
        <v>1286</v>
      </c>
      <c r="E290" s="476" t="s">
        <v>1374</v>
      </c>
      <c r="F290" s="477" t="s">
        <v>69</v>
      </c>
      <c r="G290" s="477" t="s">
        <v>1473</v>
      </c>
      <c r="H290" s="478">
        <v>250</v>
      </c>
      <c r="I290" s="502">
        <v>6.8</v>
      </c>
    </row>
    <row r="291" spans="1:9" s="480" customFormat="1" ht="33.75" customHeight="1">
      <c r="A291" s="481">
        <v>45435</v>
      </c>
      <c r="B291" s="475" t="s">
        <v>1475</v>
      </c>
      <c r="C291" s="474" t="s">
        <v>1474</v>
      </c>
      <c r="D291" s="475" t="s">
        <v>1286</v>
      </c>
      <c r="E291" s="476" t="s">
        <v>1476</v>
      </c>
      <c r="F291" s="477" t="s">
        <v>69</v>
      </c>
      <c r="G291" s="477" t="s">
        <v>1473</v>
      </c>
      <c r="H291" s="478">
        <v>40</v>
      </c>
      <c r="I291" s="502">
        <f>6.8+0.3</f>
        <v>7.1</v>
      </c>
    </row>
    <row r="292" spans="1:9" s="480" customFormat="1" ht="33.75" customHeight="1">
      <c r="A292" s="481">
        <v>45435</v>
      </c>
      <c r="B292" s="475"/>
      <c r="C292" s="474" t="s">
        <v>1478</v>
      </c>
      <c r="D292" s="475" t="s">
        <v>261</v>
      </c>
      <c r="E292" s="476" t="s">
        <v>1479</v>
      </c>
      <c r="F292" s="477" t="s">
        <v>69</v>
      </c>
      <c r="G292" s="477" t="s">
        <v>1480</v>
      </c>
      <c r="H292" s="478">
        <v>500</v>
      </c>
      <c r="I292" s="502">
        <f>1.75+0.33</f>
        <v>2.08</v>
      </c>
    </row>
    <row r="293" spans="1:9" s="480" customFormat="1" ht="33.75" customHeight="1">
      <c r="A293" s="481">
        <v>45436</v>
      </c>
      <c r="B293" s="475" t="s">
        <v>1484</v>
      </c>
      <c r="C293" s="474" t="s">
        <v>1482</v>
      </c>
      <c r="D293" s="475" t="s">
        <v>1483</v>
      </c>
      <c r="E293" s="476" t="s">
        <v>1232</v>
      </c>
      <c r="F293" s="477" t="s">
        <v>1498</v>
      </c>
      <c r="G293" s="477" t="s">
        <v>1485</v>
      </c>
      <c r="H293" s="478">
        <v>200</v>
      </c>
      <c r="I293" s="502">
        <v>17.86</v>
      </c>
    </row>
    <row r="294" spans="1:9" s="480" customFormat="1" ht="33.75" customHeight="1">
      <c r="A294" s="481">
        <v>45436</v>
      </c>
      <c r="B294" s="475" t="s">
        <v>1488</v>
      </c>
      <c r="C294" s="474" t="s">
        <v>1486</v>
      </c>
      <c r="D294" s="475" t="s">
        <v>1487</v>
      </c>
      <c r="E294" s="476" t="s">
        <v>1232</v>
      </c>
      <c r="F294" s="477" t="s">
        <v>1498</v>
      </c>
      <c r="G294" s="477" t="s">
        <v>1485</v>
      </c>
      <c r="H294" s="478">
        <v>200</v>
      </c>
      <c r="I294" s="502">
        <v>21.11</v>
      </c>
    </row>
    <row r="295" spans="1:9" s="480" customFormat="1" ht="33.75" customHeight="1">
      <c r="A295" s="481">
        <v>45436</v>
      </c>
      <c r="B295" s="475" t="s">
        <v>1491</v>
      </c>
      <c r="C295" s="474" t="s">
        <v>1489</v>
      </c>
      <c r="D295" s="475" t="s">
        <v>1490</v>
      </c>
      <c r="E295" s="476" t="s">
        <v>1232</v>
      </c>
      <c r="F295" s="477" t="s">
        <v>1498</v>
      </c>
      <c r="G295" s="477" t="s">
        <v>1485</v>
      </c>
      <c r="H295" s="478">
        <v>200</v>
      </c>
      <c r="I295" s="502">
        <v>23.35</v>
      </c>
    </row>
    <row r="296" spans="1:9" s="480" customFormat="1" ht="33.75" customHeight="1">
      <c r="A296" s="481">
        <v>45436</v>
      </c>
      <c r="B296" s="475" t="s">
        <v>1494</v>
      </c>
      <c r="C296" s="474" t="s">
        <v>1492</v>
      </c>
      <c r="D296" s="475" t="s">
        <v>1493</v>
      </c>
      <c r="E296" s="476" t="s">
        <v>1232</v>
      </c>
      <c r="F296" s="477" t="s">
        <v>1498</v>
      </c>
      <c r="G296" s="477" t="s">
        <v>1485</v>
      </c>
      <c r="H296" s="478">
        <v>200</v>
      </c>
      <c r="I296" s="502">
        <v>27.17</v>
      </c>
    </row>
    <row r="297" spans="1:9" s="480" customFormat="1" ht="33.75" customHeight="1">
      <c r="A297" s="481">
        <v>45436</v>
      </c>
      <c r="B297" s="475" t="s">
        <v>1497</v>
      </c>
      <c r="C297" s="474" t="s">
        <v>1495</v>
      </c>
      <c r="D297" s="475" t="s">
        <v>1496</v>
      </c>
      <c r="E297" s="476" t="s">
        <v>1232</v>
      </c>
      <c r="F297" s="477" t="s">
        <v>1498</v>
      </c>
      <c r="G297" s="477" t="s">
        <v>1485</v>
      </c>
      <c r="H297" s="478">
        <v>200</v>
      </c>
      <c r="I297" s="502">
        <v>30.04</v>
      </c>
    </row>
    <row r="298" spans="1:9" s="480" customFormat="1" ht="33.75" customHeight="1">
      <c r="A298" s="481">
        <v>45440</v>
      </c>
      <c r="B298" s="475"/>
      <c r="C298" s="474" t="s">
        <v>1499</v>
      </c>
      <c r="D298" s="475" t="s">
        <v>82</v>
      </c>
      <c r="E298" s="476" t="s">
        <v>1500</v>
      </c>
      <c r="F298" s="477" t="s">
        <v>1501</v>
      </c>
      <c r="G298" s="477" t="s">
        <v>479</v>
      </c>
      <c r="H298" s="478">
        <v>200</v>
      </c>
      <c r="I298" s="502">
        <f>1.46+0.68</f>
        <v>2.14</v>
      </c>
    </row>
    <row r="299" spans="1:9" s="480" customFormat="1" ht="33.75" customHeight="1">
      <c r="A299" s="481">
        <v>45441</v>
      </c>
      <c r="B299" s="475"/>
      <c r="C299" s="474" t="s">
        <v>1502</v>
      </c>
      <c r="D299" s="475" t="s">
        <v>495</v>
      </c>
      <c r="E299" s="476" t="s">
        <v>1503</v>
      </c>
      <c r="F299" s="477" t="s">
        <v>69</v>
      </c>
      <c r="G299" s="477" t="s">
        <v>1504</v>
      </c>
      <c r="H299" s="478">
        <v>500</v>
      </c>
      <c r="I299" s="479">
        <v>2.08</v>
      </c>
    </row>
    <row r="300" spans="1:9" s="480" customFormat="1" ht="33.75" customHeight="1">
      <c r="A300" s="481">
        <v>45447</v>
      </c>
      <c r="B300" s="475" t="s">
        <v>1514</v>
      </c>
      <c r="C300" s="474" t="s">
        <v>1512</v>
      </c>
      <c r="D300" s="475" t="s">
        <v>1513</v>
      </c>
      <c r="E300" s="476" t="s">
        <v>1515</v>
      </c>
      <c r="F300" s="477" t="s">
        <v>69</v>
      </c>
      <c r="G300" s="510" t="s">
        <v>756</v>
      </c>
      <c r="H300" s="478">
        <v>500</v>
      </c>
      <c r="I300" s="502">
        <v>2.78</v>
      </c>
    </row>
    <row r="301" spans="1:9" s="480" customFormat="1" ht="33.75" customHeight="1">
      <c r="A301" s="481">
        <v>45447</v>
      </c>
      <c r="B301" s="475" t="s">
        <v>1514</v>
      </c>
      <c r="C301" s="474" t="s">
        <v>1512</v>
      </c>
      <c r="D301" s="475" t="s">
        <v>1513</v>
      </c>
      <c r="E301" s="476" t="s">
        <v>1515</v>
      </c>
      <c r="F301" s="477" t="s">
        <v>69</v>
      </c>
      <c r="G301" s="510" t="s">
        <v>756</v>
      </c>
      <c r="H301" s="478">
        <v>1000</v>
      </c>
      <c r="I301" s="502">
        <v>2.58</v>
      </c>
    </row>
    <row r="302" spans="1:9" s="480" customFormat="1" ht="33.75" customHeight="1">
      <c r="A302" s="481">
        <v>45449</v>
      </c>
      <c r="B302" s="476"/>
      <c r="C302" s="474" t="s">
        <v>1516</v>
      </c>
      <c r="D302" s="475" t="s">
        <v>1517</v>
      </c>
      <c r="E302" s="510" t="s">
        <v>1520</v>
      </c>
      <c r="F302" s="477" t="s">
        <v>1519</v>
      </c>
      <c r="G302" s="476" t="s">
        <v>1518</v>
      </c>
      <c r="H302" s="478" t="s">
        <v>509</v>
      </c>
      <c r="I302" s="502">
        <v>17.75</v>
      </c>
    </row>
    <row r="303" spans="1:9" s="480" customFormat="1" ht="33.75" customHeight="1">
      <c r="A303" s="481">
        <v>45449</v>
      </c>
      <c r="B303" s="476"/>
      <c r="C303" s="474" t="s">
        <v>1521</v>
      </c>
      <c r="D303" s="475" t="s">
        <v>1522</v>
      </c>
      <c r="E303" s="510" t="s">
        <v>49</v>
      </c>
      <c r="F303" s="477" t="s">
        <v>1524</v>
      </c>
      <c r="G303" s="476" t="s">
        <v>1523</v>
      </c>
      <c r="H303" s="478" t="s">
        <v>509</v>
      </c>
      <c r="I303" s="502">
        <v>3.64</v>
      </c>
    </row>
    <row r="304" spans="1:9" s="480" customFormat="1" ht="33.75" customHeight="1">
      <c r="A304" s="481">
        <v>45449</v>
      </c>
      <c r="B304" s="476"/>
      <c r="C304" s="474" t="s">
        <v>1525</v>
      </c>
      <c r="D304" s="475" t="s">
        <v>1526</v>
      </c>
      <c r="E304" s="510" t="s">
        <v>49</v>
      </c>
      <c r="F304" s="477" t="s">
        <v>1527</v>
      </c>
      <c r="G304" s="476" t="s">
        <v>1523</v>
      </c>
      <c r="H304" s="478" t="s">
        <v>509</v>
      </c>
      <c r="I304" s="502">
        <v>3.42</v>
      </c>
    </row>
    <row r="305" spans="1:9" ht="51">
      <c r="A305" s="481">
        <v>45453</v>
      </c>
      <c r="B305" s="476"/>
      <c r="C305" s="371" t="s">
        <v>1528</v>
      </c>
      <c r="D305" s="365" t="s">
        <v>1529</v>
      </c>
      <c r="E305" s="511" t="s">
        <v>1530</v>
      </c>
      <c r="F305" s="512" t="s">
        <v>1531</v>
      </c>
      <c r="G305" s="513" t="s">
        <v>1532</v>
      </c>
      <c r="H305" s="514">
        <v>500</v>
      </c>
      <c r="I305" s="515">
        <v>3.37</v>
      </c>
    </row>
    <row r="306" spans="1:9" ht="51">
      <c r="A306" s="481">
        <v>45462</v>
      </c>
      <c r="B306" s="476" t="s">
        <v>1546</v>
      </c>
      <c r="C306" s="371" t="s">
        <v>1545</v>
      </c>
      <c r="D306" s="365" t="s">
        <v>1529</v>
      </c>
      <c r="E306" s="511" t="s">
        <v>1530</v>
      </c>
      <c r="F306" s="512" t="s">
        <v>1531</v>
      </c>
      <c r="G306" s="513" t="s">
        <v>1547</v>
      </c>
      <c r="H306" s="514">
        <v>500</v>
      </c>
      <c r="I306" s="515">
        <v>2.11</v>
      </c>
    </row>
    <row r="307" spans="1:9" ht="38.25">
      <c r="A307" s="481">
        <v>45462</v>
      </c>
      <c r="B307" s="476" t="s">
        <v>1564</v>
      </c>
      <c r="C307" s="371" t="s">
        <v>1460</v>
      </c>
      <c r="D307" s="365" t="s">
        <v>1564</v>
      </c>
      <c r="E307" s="511" t="s">
        <v>1565</v>
      </c>
      <c r="F307" s="512" t="s">
        <v>53</v>
      </c>
      <c r="G307" s="513" t="s">
        <v>602</v>
      </c>
      <c r="H307" s="514">
        <v>300</v>
      </c>
      <c r="I307" s="502">
        <f>2.96+0.26+0.17</f>
        <v>3.3899999999999997</v>
      </c>
    </row>
    <row r="308" spans="1:9" ht="38.25">
      <c r="A308" s="481">
        <v>45462</v>
      </c>
      <c r="B308" s="476" t="s">
        <v>1564</v>
      </c>
      <c r="C308" s="371" t="s">
        <v>1460</v>
      </c>
      <c r="D308" s="365" t="s">
        <v>1564</v>
      </c>
      <c r="E308" s="511" t="s">
        <v>1463</v>
      </c>
      <c r="F308" s="512" t="s">
        <v>53</v>
      </c>
      <c r="G308" s="513" t="s">
        <v>602</v>
      </c>
      <c r="H308" s="514">
        <v>40</v>
      </c>
      <c r="I308" s="502">
        <f>2.96+0.26</f>
        <v>3.2199999999999998</v>
      </c>
    </row>
    <row r="309" spans="1:9" ht="38.25">
      <c r="A309" s="481">
        <v>45462</v>
      </c>
      <c r="B309" s="476" t="s">
        <v>1567</v>
      </c>
      <c r="C309" s="371" t="s">
        <v>1566</v>
      </c>
      <c r="D309" s="365" t="s">
        <v>1567</v>
      </c>
      <c r="E309" s="511" t="s">
        <v>1565</v>
      </c>
      <c r="F309" s="512" t="s">
        <v>53</v>
      </c>
      <c r="G309" s="513" t="s">
        <v>602</v>
      </c>
      <c r="H309" s="514">
        <v>200</v>
      </c>
      <c r="I309" s="502">
        <f>3.91+0.26+0.17</f>
        <v>4.34</v>
      </c>
    </row>
    <row r="310" spans="1:9" ht="38.25">
      <c r="A310" s="481">
        <v>45462</v>
      </c>
      <c r="B310" s="476" t="s">
        <v>1567</v>
      </c>
      <c r="C310" s="371" t="s">
        <v>1566</v>
      </c>
      <c r="D310" s="365" t="s">
        <v>1567</v>
      </c>
      <c r="E310" s="511" t="s">
        <v>1463</v>
      </c>
      <c r="F310" s="512" t="s">
        <v>53</v>
      </c>
      <c r="G310" s="513" t="s">
        <v>602</v>
      </c>
      <c r="H310" s="514">
        <v>160</v>
      </c>
      <c r="I310" s="502">
        <f>3.91+0.26</f>
        <v>4.17</v>
      </c>
    </row>
    <row r="311" spans="1:9" ht="25.5">
      <c r="A311" s="481">
        <v>45468</v>
      </c>
      <c r="B311" s="476"/>
      <c r="C311" s="371" t="s">
        <v>1569</v>
      </c>
      <c r="D311" s="365" t="s">
        <v>1570</v>
      </c>
      <c r="E311" s="511" t="s">
        <v>1571</v>
      </c>
      <c r="F311" s="512" t="s">
        <v>69</v>
      </c>
      <c r="G311" s="513" t="s">
        <v>1572</v>
      </c>
      <c r="H311" s="514">
        <v>10000</v>
      </c>
      <c r="I311" s="502">
        <v>1.028</v>
      </c>
    </row>
    <row r="312" spans="1:9" ht="25.5">
      <c r="A312" s="481">
        <v>45468</v>
      </c>
      <c r="B312" s="476"/>
      <c r="C312" s="371" t="s">
        <v>1573</v>
      </c>
      <c r="D312" s="365" t="s">
        <v>1574</v>
      </c>
      <c r="E312" s="511" t="s">
        <v>1575</v>
      </c>
      <c r="F312" s="512" t="s">
        <v>69</v>
      </c>
      <c r="G312" s="513" t="s">
        <v>602</v>
      </c>
      <c r="H312" s="514">
        <v>1000</v>
      </c>
      <c r="I312" s="502">
        <v>6.26</v>
      </c>
    </row>
    <row r="313" spans="1:9" ht="25.5">
      <c r="A313" s="481">
        <v>45468</v>
      </c>
      <c r="B313" s="476"/>
      <c r="C313" s="371" t="s">
        <v>673</v>
      </c>
      <c r="D313" s="365" t="s">
        <v>1576</v>
      </c>
      <c r="E313" s="511" t="s">
        <v>1577</v>
      </c>
      <c r="F313" s="512" t="s">
        <v>69</v>
      </c>
      <c r="G313" s="513" t="s">
        <v>602</v>
      </c>
      <c r="H313" s="514">
        <v>1500</v>
      </c>
      <c r="I313" s="502">
        <v>2.66</v>
      </c>
    </row>
    <row r="314" spans="1:9" ht="25.5">
      <c r="A314" s="481">
        <v>45468</v>
      </c>
      <c r="B314" s="476"/>
      <c r="C314" s="371" t="s">
        <v>1578</v>
      </c>
      <c r="D314" s="365" t="s">
        <v>1579</v>
      </c>
      <c r="E314" s="511" t="s">
        <v>1580</v>
      </c>
      <c r="F314" s="512" t="s">
        <v>69</v>
      </c>
      <c r="G314" s="513" t="s">
        <v>602</v>
      </c>
      <c r="H314" s="514">
        <v>250</v>
      </c>
      <c r="I314" s="502">
        <v>9.32</v>
      </c>
    </row>
    <row r="315" spans="1:9" ht="38.25">
      <c r="A315" s="481">
        <v>45468</v>
      </c>
      <c r="B315" s="476" t="s">
        <v>1590</v>
      </c>
      <c r="C315" s="365" t="s">
        <v>1581</v>
      </c>
      <c r="D315" s="365" t="s">
        <v>1582</v>
      </c>
      <c r="E315" s="511" t="s">
        <v>1580</v>
      </c>
      <c r="F315" s="512" t="s">
        <v>69</v>
      </c>
      <c r="G315" s="513" t="s">
        <v>602</v>
      </c>
      <c r="H315" s="514">
        <v>250</v>
      </c>
      <c r="I315" s="502">
        <v>7.98</v>
      </c>
    </row>
    <row r="316" spans="1:9" ht="38.25">
      <c r="A316" s="481">
        <v>45468</v>
      </c>
      <c r="B316" s="476" t="s">
        <v>1591</v>
      </c>
      <c r="C316" s="365" t="s">
        <v>1583</v>
      </c>
      <c r="D316" s="365" t="s">
        <v>1582</v>
      </c>
      <c r="E316" s="511" t="s">
        <v>1580</v>
      </c>
      <c r="F316" s="512" t="s">
        <v>69</v>
      </c>
      <c r="G316" s="513" t="s">
        <v>602</v>
      </c>
      <c r="H316" s="514">
        <v>250</v>
      </c>
      <c r="I316" s="502">
        <v>8.4600000000000009</v>
      </c>
    </row>
    <row r="317" spans="1:9" ht="76.5">
      <c r="A317" s="481">
        <v>45468</v>
      </c>
      <c r="B317" s="476"/>
      <c r="C317" s="371" t="s">
        <v>1584</v>
      </c>
      <c r="D317" s="365" t="s">
        <v>1585</v>
      </c>
      <c r="E317" s="511" t="s">
        <v>1586</v>
      </c>
      <c r="F317" s="512" t="s">
        <v>69</v>
      </c>
      <c r="G317" s="513" t="s">
        <v>602</v>
      </c>
      <c r="H317" s="514">
        <v>150</v>
      </c>
      <c r="I317" s="502">
        <v>9.89</v>
      </c>
    </row>
    <row r="318" spans="1:9" ht="30.75" customHeight="1">
      <c r="A318" s="481">
        <v>45468</v>
      </c>
      <c r="B318" s="476"/>
      <c r="C318" s="371" t="s">
        <v>1587</v>
      </c>
      <c r="D318" s="365" t="s">
        <v>1588</v>
      </c>
      <c r="E318" s="511" t="s">
        <v>1589</v>
      </c>
      <c r="F318" s="512" t="s">
        <v>69</v>
      </c>
      <c r="G318" s="513" t="s">
        <v>602</v>
      </c>
      <c r="H318" s="514">
        <v>250</v>
      </c>
      <c r="I318" s="502">
        <v>6.4</v>
      </c>
    </row>
    <row r="319" spans="1:9" ht="30.75" customHeight="1">
      <c r="A319" s="481">
        <v>45472</v>
      </c>
      <c r="B319" s="476"/>
      <c r="C319" s="371" t="s">
        <v>1595</v>
      </c>
      <c r="D319" s="365" t="s">
        <v>1596</v>
      </c>
      <c r="E319" s="511" t="s">
        <v>1598</v>
      </c>
      <c r="F319" s="512" t="s">
        <v>1597</v>
      </c>
      <c r="G319" s="513" t="s">
        <v>1599</v>
      </c>
      <c r="H319" s="514">
        <v>1000</v>
      </c>
      <c r="I319" s="502">
        <v>4.1500000000000004</v>
      </c>
    </row>
    <row r="320" spans="1:9" ht="30.75" customHeight="1">
      <c r="A320" s="481">
        <v>45499</v>
      </c>
      <c r="B320" s="476"/>
      <c r="C320" s="371" t="s">
        <v>1285</v>
      </c>
      <c r="D320" s="365" t="s">
        <v>1373</v>
      </c>
      <c r="E320" s="511" t="s">
        <v>413</v>
      </c>
      <c r="F320" s="512" t="s">
        <v>69</v>
      </c>
      <c r="G320" s="513" t="s">
        <v>602</v>
      </c>
      <c r="H320" s="514">
        <v>500</v>
      </c>
      <c r="I320" s="502">
        <v>7.1</v>
      </c>
    </row>
    <row r="321" spans="1:9" ht="30.75" customHeight="1">
      <c r="A321" s="481">
        <v>45507</v>
      </c>
      <c r="B321" s="476"/>
      <c r="C321" s="371" t="s">
        <v>1641</v>
      </c>
      <c r="D321" s="365" t="s">
        <v>1642</v>
      </c>
      <c r="E321" s="511" t="s">
        <v>1645</v>
      </c>
      <c r="F321" s="512" t="s">
        <v>53</v>
      </c>
      <c r="G321" s="513" t="s">
        <v>602</v>
      </c>
      <c r="H321" s="514">
        <v>300</v>
      </c>
      <c r="I321" s="502">
        <v>7.61</v>
      </c>
    </row>
    <row r="322" spans="1:9" ht="30.75" customHeight="1">
      <c r="A322" s="481">
        <v>45507</v>
      </c>
      <c r="B322" s="476"/>
      <c r="C322" s="371" t="s">
        <v>1643</v>
      </c>
      <c r="D322" s="365" t="s">
        <v>1644</v>
      </c>
      <c r="E322" s="511" t="s">
        <v>1645</v>
      </c>
      <c r="F322" s="512" t="s">
        <v>53</v>
      </c>
      <c r="G322" s="513" t="s">
        <v>602</v>
      </c>
      <c r="H322" s="514">
        <v>300</v>
      </c>
      <c r="I322" s="502">
        <v>6.47</v>
      </c>
    </row>
    <row r="323" spans="1:9" ht="30.75" customHeight="1">
      <c r="A323" s="481">
        <v>45509</v>
      </c>
      <c r="B323" s="476"/>
      <c r="C323" s="371" t="s">
        <v>1628</v>
      </c>
      <c r="D323" s="365" t="s">
        <v>1626</v>
      </c>
      <c r="E323" s="511" t="s">
        <v>59</v>
      </c>
      <c r="F323" s="512" t="s">
        <v>53</v>
      </c>
      <c r="G323" s="513" t="s">
        <v>602</v>
      </c>
      <c r="H323" s="514">
        <v>500</v>
      </c>
      <c r="I323" s="502">
        <v>3.15</v>
      </c>
    </row>
    <row r="324" spans="1:9" ht="30" customHeight="1">
      <c r="A324" s="481">
        <v>45523</v>
      </c>
      <c r="B324" s="476" t="s">
        <v>1668</v>
      </c>
      <c r="C324" s="371" t="s">
        <v>1655</v>
      </c>
      <c r="D324" s="365" t="s">
        <v>1654</v>
      </c>
      <c r="E324" s="511" t="s">
        <v>1232</v>
      </c>
      <c r="F324" s="512" t="s">
        <v>53</v>
      </c>
      <c r="G324" s="513" t="s">
        <v>1665</v>
      </c>
      <c r="H324" s="514">
        <v>100</v>
      </c>
      <c r="I324" s="502">
        <v>8.89</v>
      </c>
    </row>
    <row r="325" spans="1:9" ht="30.75" customHeight="1">
      <c r="A325" s="481">
        <v>45523</v>
      </c>
      <c r="B325" s="476" t="s">
        <v>1667</v>
      </c>
      <c r="C325" s="371" t="s">
        <v>1664</v>
      </c>
      <c r="D325" s="365" t="s">
        <v>1656</v>
      </c>
      <c r="E325" s="511" t="s">
        <v>1232</v>
      </c>
      <c r="F325" s="512" t="s">
        <v>53</v>
      </c>
      <c r="G325" s="513" t="s">
        <v>1666</v>
      </c>
      <c r="H325" s="514">
        <v>100</v>
      </c>
      <c r="I325" s="502">
        <v>8.7799999999999994</v>
      </c>
    </row>
    <row r="326" spans="1:9" ht="30.75" customHeight="1">
      <c r="A326" s="481">
        <v>45546</v>
      </c>
      <c r="B326" s="476"/>
      <c r="C326" s="371" t="s">
        <v>1695</v>
      </c>
      <c r="D326" s="365" t="s">
        <v>1696</v>
      </c>
      <c r="E326" s="511" t="s">
        <v>1697</v>
      </c>
      <c r="F326" s="512" t="s">
        <v>53</v>
      </c>
      <c r="G326" s="513" t="s">
        <v>1698</v>
      </c>
      <c r="H326" s="514">
        <v>300</v>
      </c>
      <c r="I326" s="502">
        <v>12</v>
      </c>
    </row>
    <row r="327" spans="1:9" ht="30.75" customHeight="1">
      <c r="A327" s="481">
        <v>45546</v>
      </c>
      <c r="B327" s="476"/>
      <c r="C327" s="371" t="s">
        <v>1699</v>
      </c>
      <c r="D327" s="365" t="s">
        <v>1696</v>
      </c>
      <c r="E327" s="511" t="s">
        <v>1700</v>
      </c>
      <c r="F327" s="512" t="s">
        <v>53</v>
      </c>
      <c r="G327" s="513" t="s">
        <v>1701</v>
      </c>
      <c r="H327" s="514">
        <v>300</v>
      </c>
      <c r="I327" s="502">
        <v>14.03</v>
      </c>
    </row>
    <row r="328" spans="1:9" ht="30.75" customHeight="1">
      <c r="A328" s="481">
        <v>45553</v>
      </c>
      <c r="B328" s="476" t="s">
        <v>1716</v>
      </c>
      <c r="C328" s="371" t="s">
        <v>1713</v>
      </c>
      <c r="D328" s="365" t="s">
        <v>1714</v>
      </c>
      <c r="E328" s="511" t="s">
        <v>1715</v>
      </c>
      <c r="F328" s="512" t="s">
        <v>53</v>
      </c>
      <c r="G328" s="513" t="s">
        <v>1504</v>
      </c>
      <c r="H328" s="514">
        <v>500</v>
      </c>
      <c r="I328" s="502">
        <v>2.37</v>
      </c>
    </row>
    <row r="329" spans="1:9" ht="30.75" customHeight="1">
      <c r="A329" s="481">
        <v>45553</v>
      </c>
      <c r="B329" s="476"/>
      <c r="C329" s="365" t="s">
        <v>1721</v>
      </c>
      <c r="D329" s="365" t="s">
        <v>261</v>
      </c>
      <c r="E329" s="511" t="s">
        <v>59</v>
      </c>
      <c r="F329" s="512" t="s">
        <v>948</v>
      </c>
      <c r="G329" s="513" t="s">
        <v>1717</v>
      </c>
      <c r="H329" s="514">
        <v>2500</v>
      </c>
      <c r="I329" s="502">
        <v>1.83</v>
      </c>
    </row>
    <row r="330" spans="1:9" ht="30.75" customHeight="1">
      <c r="A330" s="481">
        <v>45553</v>
      </c>
      <c r="B330" s="476"/>
      <c r="C330" s="371" t="s">
        <v>1718</v>
      </c>
      <c r="D330" s="365" t="s">
        <v>261</v>
      </c>
      <c r="E330" s="511" t="s">
        <v>59</v>
      </c>
      <c r="F330" s="512" t="s">
        <v>948</v>
      </c>
      <c r="G330" s="513" t="s">
        <v>1719</v>
      </c>
      <c r="H330" s="514">
        <v>200</v>
      </c>
      <c r="I330" s="502">
        <v>2.34</v>
      </c>
    </row>
    <row r="331" spans="1:9" ht="30.75" customHeight="1">
      <c r="A331" s="481">
        <v>45553</v>
      </c>
      <c r="B331" s="476"/>
      <c r="C331" s="371" t="s">
        <v>1718</v>
      </c>
      <c r="D331" s="365" t="s">
        <v>261</v>
      </c>
      <c r="E331" s="511" t="s">
        <v>59</v>
      </c>
      <c r="F331" s="512" t="s">
        <v>948</v>
      </c>
      <c r="G331" s="513" t="s">
        <v>1720</v>
      </c>
      <c r="H331" s="514">
        <v>200</v>
      </c>
      <c r="I331" s="502">
        <v>1.57</v>
      </c>
    </row>
    <row r="332" spans="1:9" ht="30.75" customHeight="1">
      <c r="A332" s="481">
        <v>45554</v>
      </c>
      <c r="B332" s="476"/>
      <c r="C332" s="371" t="s">
        <v>1722</v>
      </c>
      <c r="D332" s="365" t="s">
        <v>1724</v>
      </c>
      <c r="E332" s="511" t="s">
        <v>1723</v>
      </c>
      <c r="F332" s="512" t="s">
        <v>53</v>
      </c>
      <c r="G332" s="513" t="s">
        <v>1725</v>
      </c>
      <c r="H332" s="514">
        <v>500</v>
      </c>
      <c r="I332" s="502">
        <v>3.74</v>
      </c>
    </row>
    <row r="333" spans="1:9" ht="30.75" customHeight="1">
      <c r="A333" s="481">
        <v>45554</v>
      </c>
      <c r="B333" s="476"/>
      <c r="C333" s="371" t="s">
        <v>1722</v>
      </c>
      <c r="D333" s="365" t="s">
        <v>1724</v>
      </c>
      <c r="E333" s="511" t="s">
        <v>1723</v>
      </c>
      <c r="F333" s="512" t="s">
        <v>53</v>
      </c>
      <c r="G333" s="513" t="s">
        <v>1725</v>
      </c>
      <c r="H333" s="514">
        <v>1000</v>
      </c>
      <c r="I333" s="502">
        <v>3.26</v>
      </c>
    </row>
    <row r="334" spans="1:9" ht="30.75" customHeight="1">
      <c r="A334" s="481">
        <v>45555</v>
      </c>
      <c r="B334" s="476"/>
      <c r="C334" s="371" t="s">
        <v>1726</v>
      </c>
      <c r="D334" s="365" t="s">
        <v>1727</v>
      </c>
      <c r="E334" s="511" t="s">
        <v>1728</v>
      </c>
      <c r="F334" s="512" t="s">
        <v>53</v>
      </c>
      <c r="G334" s="513" t="s">
        <v>515</v>
      </c>
      <c r="H334" s="514">
        <v>500</v>
      </c>
      <c r="I334" s="502">
        <v>3.1</v>
      </c>
    </row>
    <row r="335" spans="1:9" ht="30.75" customHeight="1">
      <c r="A335" s="481">
        <v>45539</v>
      </c>
      <c r="B335" s="476" t="s">
        <v>1748</v>
      </c>
      <c r="C335" s="371" t="s">
        <v>1745</v>
      </c>
      <c r="D335" s="365" t="s">
        <v>1744</v>
      </c>
      <c r="E335" s="511" t="s">
        <v>1232</v>
      </c>
      <c r="F335" s="512" t="s">
        <v>1746</v>
      </c>
      <c r="G335" s="513" t="s">
        <v>1749</v>
      </c>
      <c r="H335" s="514">
        <v>125</v>
      </c>
      <c r="I335" s="502">
        <v>5.04</v>
      </c>
    </row>
    <row r="336" spans="1:9" ht="30.75" customHeight="1">
      <c r="A336" s="481">
        <v>45539</v>
      </c>
      <c r="B336" s="476" t="s">
        <v>1748</v>
      </c>
      <c r="C336" s="371" t="s">
        <v>1745</v>
      </c>
      <c r="D336" s="365" t="s">
        <v>1744</v>
      </c>
      <c r="E336" s="511" t="s">
        <v>1232</v>
      </c>
      <c r="F336" s="512" t="s">
        <v>1747</v>
      </c>
      <c r="G336" s="513" t="s">
        <v>1749</v>
      </c>
      <c r="H336" s="514">
        <v>125</v>
      </c>
      <c r="I336" s="502">
        <v>5.04</v>
      </c>
    </row>
    <row r="337" spans="1:9" ht="30.75" customHeight="1">
      <c r="A337" s="481">
        <v>45542</v>
      </c>
      <c r="B337" s="476" t="s">
        <v>1754</v>
      </c>
      <c r="C337" s="476" t="s">
        <v>1753</v>
      </c>
      <c r="D337" s="365" t="s">
        <v>1337</v>
      </c>
      <c r="E337" s="511" t="s">
        <v>1756</v>
      </c>
      <c r="F337" s="512" t="s">
        <v>53</v>
      </c>
      <c r="G337" s="513" t="s">
        <v>1473</v>
      </c>
      <c r="H337" s="514">
        <v>200</v>
      </c>
      <c r="I337" s="502">
        <v>4.76</v>
      </c>
    </row>
    <row r="338" spans="1:9" ht="30.75" customHeight="1">
      <c r="A338" s="481">
        <v>45542</v>
      </c>
      <c r="B338" s="476" t="s">
        <v>1755</v>
      </c>
      <c r="C338" s="476" t="s">
        <v>1753</v>
      </c>
      <c r="D338" s="365" t="s">
        <v>1337</v>
      </c>
      <c r="E338" s="511" t="s">
        <v>1756</v>
      </c>
      <c r="F338" s="512" t="s">
        <v>53</v>
      </c>
      <c r="G338" s="513" t="s">
        <v>1473</v>
      </c>
      <c r="H338" s="514">
        <v>200</v>
      </c>
      <c r="I338" s="502">
        <v>9.4700000000000006</v>
      </c>
    </row>
    <row r="339" spans="1:9" ht="30.75" customHeight="1">
      <c r="A339" s="481">
        <v>45565</v>
      </c>
      <c r="B339" s="476" t="s">
        <v>1760</v>
      </c>
      <c r="C339" s="476" t="s">
        <v>267</v>
      </c>
      <c r="D339" s="365" t="s">
        <v>261</v>
      </c>
      <c r="E339" s="476" t="s">
        <v>1759</v>
      </c>
      <c r="F339" s="512" t="s">
        <v>53</v>
      </c>
      <c r="G339" s="513" t="s">
        <v>1473</v>
      </c>
      <c r="H339" s="514" t="s">
        <v>613</v>
      </c>
      <c r="I339" s="502">
        <v>1.92</v>
      </c>
    </row>
    <row r="340" spans="1:9" ht="30.75" customHeight="1">
      <c r="A340" s="481">
        <v>45565</v>
      </c>
      <c r="B340" s="476" t="s">
        <v>1760</v>
      </c>
      <c r="C340" s="476" t="s">
        <v>1761</v>
      </c>
      <c r="D340" s="365" t="s">
        <v>261</v>
      </c>
      <c r="E340" s="476" t="s">
        <v>1759</v>
      </c>
      <c r="F340" s="512" t="s">
        <v>53</v>
      </c>
      <c r="G340" s="513" t="s">
        <v>1473</v>
      </c>
      <c r="H340" s="514" t="s">
        <v>613</v>
      </c>
      <c r="I340" s="502">
        <v>1.68</v>
      </c>
    </row>
    <row r="341" spans="1:9" ht="30.75" customHeight="1">
      <c r="A341" s="481">
        <v>45565</v>
      </c>
      <c r="B341" s="476" t="s">
        <v>1760</v>
      </c>
      <c r="C341" s="476" t="s">
        <v>267</v>
      </c>
      <c r="D341" s="365" t="s">
        <v>261</v>
      </c>
      <c r="E341" s="476" t="s">
        <v>1762</v>
      </c>
      <c r="F341" s="512" t="s">
        <v>53</v>
      </c>
      <c r="G341" s="513" t="s">
        <v>1473</v>
      </c>
      <c r="H341" s="514" t="s">
        <v>613</v>
      </c>
      <c r="I341" s="502">
        <v>2.2400000000000002</v>
      </c>
    </row>
    <row r="342" spans="1:9" ht="30.75" customHeight="1">
      <c r="A342" s="481">
        <v>45565</v>
      </c>
      <c r="B342" s="476" t="s">
        <v>1760</v>
      </c>
      <c r="C342" s="476" t="s">
        <v>1761</v>
      </c>
      <c r="D342" s="365" t="s">
        <v>261</v>
      </c>
      <c r="E342" s="476" t="s">
        <v>1762</v>
      </c>
      <c r="F342" s="512" t="s">
        <v>53</v>
      </c>
      <c r="G342" s="513" t="s">
        <v>1473</v>
      </c>
      <c r="H342" s="514" t="s">
        <v>613</v>
      </c>
      <c r="I342" s="502">
        <v>2</v>
      </c>
    </row>
    <row r="343" spans="1:9" ht="30.75" customHeight="1">
      <c r="A343" s="481">
        <v>45574</v>
      </c>
      <c r="B343" s="476" t="s">
        <v>1765</v>
      </c>
      <c r="C343" s="476" t="s">
        <v>1763</v>
      </c>
      <c r="D343" s="365" t="s">
        <v>1764</v>
      </c>
      <c r="E343" s="476" t="s">
        <v>1766</v>
      </c>
      <c r="F343" s="512" t="s">
        <v>53</v>
      </c>
      <c r="G343" s="513" t="s">
        <v>1717</v>
      </c>
      <c r="H343" s="514" t="s">
        <v>613</v>
      </c>
      <c r="I343" s="502">
        <v>12.17</v>
      </c>
    </row>
    <row r="344" spans="1:9" ht="30.75" customHeight="1">
      <c r="A344" s="481">
        <v>45583</v>
      </c>
      <c r="B344" s="476" t="s">
        <v>1776</v>
      </c>
      <c r="C344" s="476" t="s">
        <v>1775</v>
      </c>
      <c r="D344" s="365" t="s">
        <v>82</v>
      </c>
      <c r="E344" s="476" t="s">
        <v>1777</v>
      </c>
      <c r="F344" s="512" t="s">
        <v>53</v>
      </c>
      <c r="G344" s="513" t="s">
        <v>1778</v>
      </c>
      <c r="H344" s="514" t="s">
        <v>509</v>
      </c>
      <c r="I344" s="502">
        <v>2.95</v>
      </c>
    </row>
    <row r="345" spans="1:9" ht="54" customHeight="1">
      <c r="A345" s="481">
        <v>45584</v>
      </c>
      <c r="B345" s="476" t="s">
        <v>1782</v>
      </c>
      <c r="C345" s="365" t="s">
        <v>1781</v>
      </c>
      <c r="D345" s="365" t="s">
        <v>1779</v>
      </c>
      <c r="E345" s="511" t="s">
        <v>1780</v>
      </c>
      <c r="F345" s="512" t="s">
        <v>69</v>
      </c>
      <c r="G345" s="513" t="s">
        <v>602</v>
      </c>
      <c r="H345" s="514"/>
      <c r="I345" s="502">
        <v>14.11</v>
      </c>
    </row>
    <row r="346" spans="1:9" ht="54" customHeight="1">
      <c r="A346" s="481">
        <v>45584</v>
      </c>
      <c r="B346" s="476"/>
      <c r="C346" s="365" t="s">
        <v>1783</v>
      </c>
      <c r="D346" s="365" t="s">
        <v>1784</v>
      </c>
      <c r="E346" s="511" t="s">
        <v>1786</v>
      </c>
      <c r="F346" s="512" t="s">
        <v>69</v>
      </c>
      <c r="G346" s="513" t="s">
        <v>602</v>
      </c>
      <c r="H346" s="514" t="s">
        <v>1785</v>
      </c>
      <c r="I346" s="502">
        <v>3.75</v>
      </c>
    </row>
    <row r="347" spans="1:9" ht="54" customHeight="1">
      <c r="A347" s="481">
        <v>45590</v>
      </c>
      <c r="B347" s="476" t="s">
        <v>1812</v>
      </c>
      <c r="C347" s="365" t="s">
        <v>1810</v>
      </c>
      <c r="D347" s="365" t="s">
        <v>89</v>
      </c>
      <c r="E347" s="511" t="s">
        <v>1811</v>
      </c>
      <c r="F347" s="512" t="s">
        <v>53</v>
      </c>
      <c r="G347" s="513" t="s">
        <v>1709</v>
      </c>
      <c r="H347" s="514" t="s">
        <v>613</v>
      </c>
      <c r="I347" s="502">
        <v>14.98</v>
      </c>
    </row>
    <row r="348" spans="1:9" s="480" customFormat="1" ht="33.75" customHeight="1">
      <c r="A348" s="481">
        <v>45594</v>
      </c>
      <c r="B348" s="475" t="s">
        <v>1823</v>
      </c>
      <c r="C348" s="474" t="s">
        <v>1824</v>
      </c>
      <c r="D348" s="475" t="s">
        <v>1286</v>
      </c>
      <c r="E348" s="476" t="s">
        <v>503</v>
      </c>
      <c r="F348" s="477" t="s">
        <v>69</v>
      </c>
      <c r="G348" s="477" t="s">
        <v>1473</v>
      </c>
      <c r="H348" s="478">
        <v>200</v>
      </c>
      <c r="I348" s="502">
        <v>6.8</v>
      </c>
    </row>
    <row r="349" spans="1:9" s="480" customFormat="1" ht="33.75" customHeight="1">
      <c r="A349" s="481">
        <v>45609</v>
      </c>
      <c r="B349" s="475"/>
      <c r="C349" s="474" t="s">
        <v>1695</v>
      </c>
      <c r="D349" s="475" t="s">
        <v>1696</v>
      </c>
      <c r="E349" s="476" t="s">
        <v>1697</v>
      </c>
      <c r="F349" s="477" t="s">
        <v>69</v>
      </c>
      <c r="G349" s="477" t="s">
        <v>1709</v>
      </c>
      <c r="H349" s="478">
        <v>300</v>
      </c>
      <c r="I349" s="502">
        <v>12.94</v>
      </c>
    </row>
    <row r="350" spans="1:9" s="480" customFormat="1" ht="33.75" customHeight="1">
      <c r="A350" s="481">
        <v>45607</v>
      </c>
      <c r="B350" s="475"/>
      <c r="C350" s="474" t="s">
        <v>1834</v>
      </c>
      <c r="D350" s="475" t="s">
        <v>1835</v>
      </c>
      <c r="E350" s="476" t="s">
        <v>59</v>
      </c>
      <c r="F350" s="477" t="s">
        <v>69</v>
      </c>
      <c r="G350" s="477" t="s">
        <v>1709</v>
      </c>
      <c r="H350" s="478">
        <v>500</v>
      </c>
      <c r="I350" s="502">
        <v>11.22</v>
      </c>
    </row>
    <row r="351" spans="1:9" s="480" customFormat="1" ht="33.75" customHeight="1">
      <c r="A351" s="481">
        <v>45619</v>
      </c>
      <c r="B351" s="475"/>
      <c r="C351" s="474" t="s">
        <v>187</v>
      </c>
      <c r="D351" s="475" t="s">
        <v>84</v>
      </c>
      <c r="E351" s="476" t="s">
        <v>189</v>
      </c>
      <c r="F351" s="477" t="s">
        <v>69</v>
      </c>
      <c r="G351" s="477" t="s">
        <v>1851</v>
      </c>
      <c r="H351" s="478" t="s">
        <v>1095</v>
      </c>
      <c r="I351" s="502">
        <v>1.92</v>
      </c>
    </row>
    <row r="352" spans="1:9" s="480" customFormat="1" ht="33.75" customHeight="1">
      <c r="A352" s="481">
        <v>45619</v>
      </c>
      <c r="B352" s="475"/>
      <c r="C352" s="474" t="s">
        <v>187</v>
      </c>
      <c r="D352" s="475" t="s">
        <v>84</v>
      </c>
      <c r="E352" s="476" t="s">
        <v>189</v>
      </c>
      <c r="F352" s="477" t="s">
        <v>69</v>
      </c>
      <c r="G352" s="477" t="s">
        <v>1851</v>
      </c>
      <c r="H352" s="478" t="s">
        <v>1852</v>
      </c>
      <c r="I352" s="502">
        <v>1.89</v>
      </c>
    </row>
    <row r="353" spans="1:9" s="480" customFormat="1" ht="33.75" customHeight="1">
      <c r="A353" s="481">
        <v>45621</v>
      </c>
      <c r="B353" s="475"/>
      <c r="C353" s="474" t="s">
        <v>1856</v>
      </c>
      <c r="D353" s="475" t="s">
        <v>1853</v>
      </c>
      <c r="E353" s="476" t="s">
        <v>1854</v>
      </c>
      <c r="F353" s="477" t="s">
        <v>69</v>
      </c>
      <c r="G353" s="477" t="s">
        <v>1855</v>
      </c>
      <c r="H353" s="478">
        <v>500</v>
      </c>
      <c r="I353" s="502">
        <v>2.9</v>
      </c>
    </row>
    <row r="354" spans="1:9" s="480" customFormat="1" ht="33.75" customHeight="1">
      <c r="A354" s="481">
        <v>45621</v>
      </c>
      <c r="B354" s="475"/>
      <c r="C354" s="474" t="s">
        <v>1856</v>
      </c>
      <c r="D354" s="475" t="s">
        <v>1853</v>
      </c>
      <c r="E354" s="476" t="s">
        <v>1857</v>
      </c>
      <c r="F354" s="477" t="s">
        <v>69</v>
      </c>
      <c r="G354" s="477" t="s">
        <v>1855</v>
      </c>
      <c r="H354" s="478">
        <v>500</v>
      </c>
      <c r="I354" s="502">
        <v>3.15</v>
      </c>
    </row>
    <row r="355" spans="1:9" s="480" customFormat="1" ht="33.75" customHeight="1">
      <c r="A355" s="481">
        <v>45625</v>
      </c>
      <c r="B355" s="475"/>
      <c r="C355" s="474" t="s">
        <v>997</v>
      </c>
      <c r="D355" s="475" t="s">
        <v>1865</v>
      </c>
      <c r="E355" s="476" t="s">
        <v>1866</v>
      </c>
      <c r="F355" s="477" t="s">
        <v>69</v>
      </c>
      <c r="G355" s="477" t="s">
        <v>756</v>
      </c>
      <c r="H355" s="478">
        <v>1000</v>
      </c>
      <c r="I355" s="502">
        <v>2.04</v>
      </c>
    </row>
    <row r="356" spans="1:9" s="480" customFormat="1" ht="33.75" customHeight="1">
      <c r="A356" s="481">
        <v>45625</v>
      </c>
      <c r="B356" s="475"/>
      <c r="C356" s="474" t="s">
        <v>997</v>
      </c>
      <c r="D356" s="475" t="s">
        <v>1865</v>
      </c>
      <c r="E356" s="476" t="s">
        <v>1866</v>
      </c>
      <c r="F356" s="477" t="s">
        <v>69</v>
      </c>
      <c r="G356" s="477" t="s">
        <v>756</v>
      </c>
      <c r="H356" s="478">
        <v>2000</v>
      </c>
      <c r="I356" s="502">
        <v>2</v>
      </c>
    </row>
    <row r="357" spans="1:9" s="480" customFormat="1" ht="33.75" customHeight="1">
      <c r="A357" s="481">
        <v>45628</v>
      </c>
      <c r="B357" s="475"/>
      <c r="C357" s="474" t="s">
        <v>1867</v>
      </c>
      <c r="D357" s="475" t="s">
        <v>261</v>
      </c>
      <c r="E357" s="476" t="s">
        <v>1868</v>
      </c>
      <c r="F357" s="477" t="s">
        <v>69</v>
      </c>
      <c r="G357" s="477" t="s">
        <v>1869</v>
      </c>
      <c r="H357" s="478">
        <v>3000</v>
      </c>
      <c r="I357" s="502" t="s">
        <v>1870</v>
      </c>
    </row>
    <row r="358" spans="1:9" s="480" customFormat="1" ht="33.75" customHeight="1">
      <c r="A358" s="481">
        <v>45632</v>
      </c>
      <c r="B358" s="475" t="s">
        <v>1888</v>
      </c>
      <c r="C358" s="474" t="s">
        <v>1885</v>
      </c>
      <c r="D358" s="475" t="s">
        <v>1886</v>
      </c>
      <c r="E358" s="476" t="s">
        <v>1887</v>
      </c>
      <c r="F358" s="477" t="s">
        <v>71</v>
      </c>
      <c r="G358" s="477" t="s">
        <v>1889</v>
      </c>
      <c r="H358" s="478">
        <v>100</v>
      </c>
      <c r="I358" s="502">
        <v>20.85</v>
      </c>
    </row>
    <row r="359" spans="1:9" s="480" customFormat="1" ht="33.75" customHeight="1">
      <c r="A359" s="481">
        <v>45636</v>
      </c>
      <c r="B359" s="475"/>
      <c r="C359" s="474" t="s">
        <v>1699</v>
      </c>
      <c r="D359" s="475" t="s">
        <v>1696</v>
      </c>
      <c r="E359" s="476" t="s">
        <v>1904</v>
      </c>
      <c r="F359" s="477" t="s">
        <v>69</v>
      </c>
      <c r="G359" s="477" t="s">
        <v>1701</v>
      </c>
      <c r="H359" s="478">
        <v>300</v>
      </c>
      <c r="I359" s="502">
        <v>13.19</v>
      </c>
    </row>
    <row r="360" spans="1:9" s="480" customFormat="1" ht="33.75" customHeight="1">
      <c r="A360" s="481">
        <v>45636</v>
      </c>
      <c r="B360" s="475"/>
      <c r="C360" s="474" t="s">
        <v>1695</v>
      </c>
      <c r="D360" s="475" t="s">
        <v>1696</v>
      </c>
      <c r="E360" s="476" t="s">
        <v>1697</v>
      </c>
      <c r="F360" s="477" t="s">
        <v>69</v>
      </c>
      <c r="G360" s="477" t="s">
        <v>1709</v>
      </c>
      <c r="H360" s="478">
        <v>300</v>
      </c>
      <c r="I360" s="502">
        <v>12.24</v>
      </c>
    </row>
    <row r="361" spans="1:9" s="480" customFormat="1" ht="33.75" customHeight="1">
      <c r="A361" s="481">
        <v>45636</v>
      </c>
      <c r="B361" s="475"/>
      <c r="C361" s="474" t="s">
        <v>1763</v>
      </c>
      <c r="D361" s="475" t="s">
        <v>1764</v>
      </c>
      <c r="E361" s="476" t="s">
        <v>1766</v>
      </c>
      <c r="F361" s="477" t="s">
        <v>53</v>
      </c>
      <c r="G361" s="477" t="s">
        <v>1480</v>
      </c>
      <c r="H361" s="478" t="s">
        <v>613</v>
      </c>
      <c r="I361" s="502">
        <v>10.82</v>
      </c>
    </row>
    <row r="362" spans="1:9" s="480" customFormat="1" ht="33.75" customHeight="1">
      <c r="A362" s="481">
        <v>45637</v>
      </c>
      <c r="B362" s="475" t="s">
        <v>1906</v>
      </c>
      <c r="C362" s="474" t="s">
        <v>1905</v>
      </c>
      <c r="D362" s="475" t="s">
        <v>424</v>
      </c>
      <c r="E362" s="476" t="s">
        <v>1908</v>
      </c>
      <c r="F362" s="477" t="s">
        <v>69</v>
      </c>
      <c r="G362" s="477" t="s">
        <v>1907</v>
      </c>
      <c r="H362" s="478">
        <v>100</v>
      </c>
      <c r="I362" s="502">
        <v>12.36</v>
      </c>
    </row>
    <row r="363" spans="1:9" s="480" customFormat="1" ht="33.75" customHeight="1">
      <c r="A363" s="481">
        <v>45637</v>
      </c>
      <c r="B363" s="475" t="s">
        <v>1911</v>
      </c>
      <c r="C363" s="474" t="s">
        <v>1909</v>
      </c>
      <c r="D363" s="475" t="s">
        <v>1910</v>
      </c>
      <c r="E363" s="476" t="s">
        <v>133</v>
      </c>
      <c r="F363" s="477" t="s">
        <v>53</v>
      </c>
      <c r="G363" s="477" t="s">
        <v>1154</v>
      </c>
      <c r="H363" s="478">
        <v>100</v>
      </c>
      <c r="I363" s="502">
        <v>7.89</v>
      </c>
    </row>
    <row r="364" spans="1:9" s="480" customFormat="1" ht="33.75" customHeight="1">
      <c r="A364" s="481">
        <v>45642</v>
      </c>
      <c r="B364" s="475"/>
      <c r="C364" s="474" t="s">
        <v>1949</v>
      </c>
      <c r="D364" s="475" t="s">
        <v>82</v>
      </c>
      <c r="E364" s="476" t="s">
        <v>1948</v>
      </c>
      <c r="F364" s="477" t="s">
        <v>53</v>
      </c>
      <c r="G364" s="477" t="s">
        <v>602</v>
      </c>
      <c r="H364" s="478" t="s">
        <v>509</v>
      </c>
      <c r="I364" s="502">
        <v>2.25</v>
      </c>
    </row>
    <row r="365" spans="1:9" s="480" customFormat="1" ht="33.75" customHeight="1">
      <c r="A365" s="481">
        <v>45636</v>
      </c>
      <c r="B365" s="475"/>
      <c r="C365" s="474" t="s">
        <v>1695</v>
      </c>
      <c r="D365" s="475" t="s">
        <v>1696</v>
      </c>
      <c r="E365" s="476" t="s">
        <v>1697</v>
      </c>
      <c r="F365" s="477" t="s">
        <v>69</v>
      </c>
      <c r="G365" s="477" t="s">
        <v>1709</v>
      </c>
      <c r="H365" s="478">
        <v>300</v>
      </c>
      <c r="I365" s="502">
        <v>12.24</v>
      </c>
    </row>
    <row r="366" spans="1:9" s="480" customFormat="1" ht="33.75" customHeight="1">
      <c r="A366" s="481">
        <v>45646</v>
      </c>
      <c r="B366" s="475"/>
      <c r="C366" s="474" t="s">
        <v>1695</v>
      </c>
      <c r="D366" s="475" t="s">
        <v>1696</v>
      </c>
      <c r="E366" s="476" t="s">
        <v>1963</v>
      </c>
      <c r="F366" s="477" t="s">
        <v>69</v>
      </c>
      <c r="G366" s="477" t="s">
        <v>1709</v>
      </c>
      <c r="H366" s="478">
        <v>300</v>
      </c>
      <c r="I366" s="502">
        <v>12.85</v>
      </c>
    </row>
    <row r="367" spans="1:9" s="480" customFormat="1" ht="33.75" customHeight="1">
      <c r="A367" s="481">
        <v>45674</v>
      </c>
      <c r="B367" s="475" t="s">
        <v>1987</v>
      </c>
      <c r="C367" s="474" t="s">
        <v>1986</v>
      </c>
      <c r="D367" s="475" t="s">
        <v>1991</v>
      </c>
      <c r="E367" s="477" t="s">
        <v>121</v>
      </c>
      <c r="F367" s="477" t="s">
        <v>69</v>
      </c>
      <c r="G367" s="477" t="s">
        <v>1832</v>
      </c>
      <c r="H367" s="478">
        <v>50</v>
      </c>
      <c r="I367" s="502">
        <v>11.99</v>
      </c>
    </row>
    <row r="368" spans="1:9" s="480" customFormat="1" ht="33.75" customHeight="1">
      <c r="A368" s="481">
        <v>45674</v>
      </c>
      <c r="B368" s="475" t="s">
        <v>1988</v>
      </c>
      <c r="C368" s="474" t="s">
        <v>1990</v>
      </c>
      <c r="D368" s="475" t="s">
        <v>1989</v>
      </c>
      <c r="E368" s="477" t="s">
        <v>121</v>
      </c>
      <c r="F368" s="477" t="s">
        <v>69</v>
      </c>
      <c r="G368" s="477" t="s">
        <v>1832</v>
      </c>
      <c r="H368" s="478">
        <v>50</v>
      </c>
      <c r="I368" s="502">
        <v>11.1</v>
      </c>
    </row>
    <row r="370" spans="4:12">
      <c r="L370" s="611"/>
    </row>
    <row r="378" spans="4:12">
      <c r="D378" s="176"/>
    </row>
  </sheetData>
  <autoFilter ref="A1:J1" xr:uid="{41F9F253-147C-48AC-B50B-E283DC159F58}"/>
  <sortState xmlns:xlrd2="http://schemas.microsoft.com/office/spreadsheetml/2017/richdata2" ref="A57:I243">
    <sortCondition ref="A57:A243"/>
  </sortState>
  <phoneticPr fontId="2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32BD0-031E-4A69-9154-05EB5E715391}">
  <sheetPr codeName="Sheet5">
    <tabColor rgb="FFFFFF00"/>
  </sheetPr>
  <dimension ref="A1:XFA7"/>
  <sheetViews>
    <sheetView zoomScale="85" zoomScaleNormal="85" workbookViewId="0">
      <selection activeCell="I7" sqref="I7"/>
    </sheetView>
  </sheetViews>
  <sheetFormatPr defaultColWidth="9.140625" defaultRowHeight="15"/>
  <cols>
    <col min="1" max="1" width="9.140625" style="92"/>
    <col min="2" max="2" width="9.85546875" style="92" customWidth="1"/>
    <col min="3" max="3" width="14.5703125" style="92" customWidth="1"/>
    <col min="4" max="4" width="19.7109375" style="92" customWidth="1"/>
    <col min="5" max="5" width="22" style="92" customWidth="1"/>
    <col min="6" max="6" width="17.5703125" style="92" customWidth="1"/>
    <col min="7" max="7" width="9.140625" style="92" customWidth="1"/>
    <col min="8" max="8" width="18.5703125" style="92" customWidth="1"/>
    <col min="9" max="9" width="21" style="92" customWidth="1"/>
    <col min="10" max="10" width="19.7109375" style="92" customWidth="1"/>
    <col min="11" max="12" width="11.42578125" style="92" customWidth="1"/>
    <col min="13" max="14" width="9.140625" style="92"/>
    <col min="15" max="15" width="14.140625" style="92" customWidth="1"/>
    <col min="16" max="16" width="15.28515625" style="92" customWidth="1"/>
    <col min="17" max="17" width="11" style="92" customWidth="1"/>
    <col min="18" max="18" width="16.42578125" style="92" customWidth="1"/>
    <col min="19" max="25" width="9.140625" style="92"/>
    <col min="26" max="26" width="12" style="92" customWidth="1"/>
    <col min="27" max="27" width="17.140625" style="92" customWidth="1"/>
    <col min="28" max="16384" width="9.140625" style="92"/>
  </cols>
  <sheetData>
    <row r="1" spans="1:16381" ht="16.5">
      <c r="A1" s="1030" t="s">
        <v>0</v>
      </c>
      <c r="B1" s="1034" t="s">
        <v>1</v>
      </c>
      <c r="C1" s="1035" t="s">
        <v>2</v>
      </c>
      <c r="D1" s="1030" t="s">
        <v>3</v>
      </c>
      <c r="E1" s="1030" t="s">
        <v>4</v>
      </c>
      <c r="F1" s="1030" t="s">
        <v>5</v>
      </c>
      <c r="G1" s="1030" t="s">
        <v>6</v>
      </c>
      <c r="H1" s="1030" t="s">
        <v>7</v>
      </c>
      <c r="I1" s="1030" t="s">
        <v>8</v>
      </c>
      <c r="J1" s="1030" t="s">
        <v>9</v>
      </c>
      <c r="K1" s="1030" t="s">
        <v>10</v>
      </c>
      <c r="L1" s="1032" t="s">
        <v>11</v>
      </c>
      <c r="M1" s="1030" t="s">
        <v>12</v>
      </c>
      <c r="N1" s="1030" t="s">
        <v>13</v>
      </c>
      <c r="O1" s="1027" t="s">
        <v>14</v>
      </c>
      <c r="P1" s="1027" t="s">
        <v>15</v>
      </c>
      <c r="Q1" s="1027" t="s">
        <v>16</v>
      </c>
      <c r="R1" s="1030" t="s">
        <v>17</v>
      </c>
      <c r="S1" s="1033" t="s">
        <v>18</v>
      </c>
      <c r="T1" s="1033"/>
      <c r="U1" s="1033"/>
      <c r="V1" s="1030" t="s">
        <v>19</v>
      </c>
      <c r="W1" s="1028" t="s">
        <v>20</v>
      </c>
      <c r="X1" s="1028" t="s">
        <v>21</v>
      </c>
      <c r="Y1" s="1030" t="s">
        <v>22</v>
      </c>
      <c r="Z1" s="1031" t="s">
        <v>23</v>
      </c>
      <c r="AA1" s="1031"/>
      <c r="AB1" s="1031"/>
      <c r="AC1" s="1030" t="s">
        <v>24</v>
      </c>
      <c r="AD1" s="1030" t="s">
        <v>25</v>
      </c>
      <c r="AE1" s="1027" t="s">
        <v>26</v>
      </c>
      <c r="AF1" s="1027" t="s">
        <v>27</v>
      </c>
      <c r="AG1" s="1027" t="s">
        <v>28</v>
      </c>
      <c r="AH1" s="1027" t="s">
        <v>29</v>
      </c>
      <c r="AI1" s="1027" t="s">
        <v>30</v>
      </c>
      <c r="AJ1" s="1027" t="s">
        <v>31</v>
      </c>
      <c r="AK1" s="1027" t="s">
        <v>32</v>
      </c>
      <c r="AL1" s="1027" t="s">
        <v>33</v>
      </c>
      <c r="AM1" s="1027" t="s">
        <v>34</v>
      </c>
      <c r="AN1" s="1027" t="s">
        <v>35</v>
      </c>
      <c r="AO1" s="1027" t="s">
        <v>36</v>
      </c>
      <c r="AP1" s="1027" t="s">
        <v>37</v>
      </c>
    </row>
    <row r="2" spans="1:16381" ht="49.5">
      <c r="A2" s="1030"/>
      <c r="B2" s="1034"/>
      <c r="C2" s="1035"/>
      <c r="D2" s="1030"/>
      <c r="E2" s="1030"/>
      <c r="F2" s="1030"/>
      <c r="G2" s="1030"/>
      <c r="H2" s="1030"/>
      <c r="I2" s="1030"/>
      <c r="J2" s="1030"/>
      <c r="K2" s="1030"/>
      <c r="L2" s="1032"/>
      <c r="M2" s="1030"/>
      <c r="N2" s="1030"/>
      <c r="O2" s="1027"/>
      <c r="P2" s="1027"/>
      <c r="Q2" s="1027"/>
      <c r="R2" s="1030"/>
      <c r="S2" s="107" t="s">
        <v>38</v>
      </c>
      <c r="T2" s="107" t="s">
        <v>39</v>
      </c>
      <c r="U2" s="107" t="s">
        <v>40</v>
      </c>
      <c r="V2" s="1030"/>
      <c r="W2" s="1028"/>
      <c r="X2" s="1029"/>
      <c r="Y2" s="1031"/>
      <c r="Z2" s="108" t="s">
        <v>41</v>
      </c>
      <c r="AA2" s="105" t="s">
        <v>42</v>
      </c>
      <c r="AB2" s="106" t="s">
        <v>43</v>
      </c>
      <c r="AC2" s="1031"/>
      <c r="AD2" s="1030"/>
      <c r="AE2" s="1027"/>
      <c r="AF2" s="1027"/>
      <c r="AG2" s="1027"/>
      <c r="AH2" s="1027"/>
      <c r="AI2" s="1027"/>
      <c r="AJ2" s="1027"/>
      <c r="AK2" s="1027"/>
      <c r="AL2" s="1027"/>
      <c r="AM2" s="1027"/>
      <c r="AN2" s="1027"/>
      <c r="AO2" s="1027"/>
      <c r="AP2" s="1027"/>
    </row>
    <row r="3" spans="1:16381" ht="63.75">
      <c r="A3" s="21">
        <v>44723</v>
      </c>
      <c r="B3" s="36" t="s">
        <v>134</v>
      </c>
      <c r="C3" s="70" t="s">
        <v>297</v>
      </c>
      <c r="D3" s="16"/>
      <c r="E3" s="19" t="s">
        <v>298</v>
      </c>
      <c r="F3" s="19" t="s">
        <v>70</v>
      </c>
      <c r="G3" s="44">
        <v>4320</v>
      </c>
      <c r="H3" s="19" t="s">
        <v>291</v>
      </c>
      <c r="I3" s="51" t="s">
        <v>74</v>
      </c>
      <c r="J3" s="19" t="s">
        <v>70</v>
      </c>
      <c r="K3" s="51" t="s">
        <v>75</v>
      </c>
      <c r="L3" s="69" t="s">
        <v>76</v>
      </c>
      <c r="M3" s="21"/>
      <c r="N3" s="38"/>
      <c r="O3" s="40" t="s">
        <v>77</v>
      </c>
      <c r="P3" s="29" t="s">
        <v>44</v>
      </c>
      <c r="Q3" s="71"/>
      <c r="R3" s="31" t="s">
        <v>57</v>
      </c>
      <c r="S3" s="24">
        <f>ROUND(15.5*2.54,2)</f>
        <v>39.369999999999997</v>
      </c>
      <c r="T3" s="24">
        <f>ROUND(11.5*2.54,2)</f>
        <v>29.21</v>
      </c>
      <c r="U3" s="24">
        <f>ROUND(8*2.54,2)</f>
        <v>20.32</v>
      </c>
      <c r="V3" s="44">
        <v>6</v>
      </c>
      <c r="W3" s="34">
        <f>ROUND(G3/V3,2)</f>
        <v>720</v>
      </c>
      <c r="X3" s="34">
        <f>4.5*W3</f>
        <v>3240</v>
      </c>
      <c r="Y3" s="59">
        <f>ROUND((S3*T3*U3)*0.000001*W3,2)</f>
        <v>16.82</v>
      </c>
      <c r="Z3" s="27">
        <v>4.1500000000000004</v>
      </c>
      <c r="AA3" s="56">
        <f>Z3*G3</f>
        <v>17928</v>
      </c>
      <c r="AB3" s="49" t="s">
        <v>46</v>
      </c>
      <c r="AC3" s="18"/>
      <c r="AD3" s="38" t="s">
        <v>67</v>
      </c>
      <c r="AE3" s="67"/>
      <c r="AF3" s="67"/>
      <c r="AG3" s="67"/>
      <c r="AH3" s="30" t="s">
        <v>51</v>
      </c>
      <c r="AI3" s="67"/>
      <c r="AJ3" s="67"/>
      <c r="AK3" s="67"/>
      <c r="AL3" s="67"/>
      <c r="AM3" s="78"/>
      <c r="AN3" s="30"/>
      <c r="AO3" s="32"/>
      <c r="AP3" s="67"/>
    </row>
    <row r="4" spans="1:16381" ht="46.5" customHeight="1">
      <c r="A4" s="73">
        <v>44838</v>
      </c>
      <c r="B4" s="36" t="s">
        <v>134</v>
      </c>
      <c r="C4" s="70" t="s">
        <v>380</v>
      </c>
      <c r="D4" s="18"/>
      <c r="E4" s="19" t="s">
        <v>379</v>
      </c>
      <c r="F4" s="47" t="s">
        <v>70</v>
      </c>
      <c r="G4" s="41">
        <v>2240</v>
      </c>
      <c r="H4" s="47" t="s">
        <v>310</v>
      </c>
      <c r="I4" s="19" t="s">
        <v>311</v>
      </c>
      <c r="J4" s="19" t="s">
        <v>101</v>
      </c>
      <c r="K4" s="19" t="s">
        <v>53</v>
      </c>
      <c r="L4" s="50" t="s">
        <v>92</v>
      </c>
      <c r="M4" s="21"/>
      <c r="N4" s="45"/>
      <c r="O4" s="47" t="s">
        <v>88</v>
      </c>
      <c r="P4" s="40">
        <v>42480</v>
      </c>
      <c r="Q4" s="71"/>
      <c r="R4" s="51" t="s">
        <v>57</v>
      </c>
      <c r="S4" s="19">
        <f>ROUND(17.56*2.54,2)</f>
        <v>44.6</v>
      </c>
      <c r="T4" s="19">
        <f>ROUND(9.291*2.54,2)</f>
        <v>23.6</v>
      </c>
      <c r="U4" s="19">
        <f>ROUND(6.654*2.54,2)</f>
        <v>16.899999999999999</v>
      </c>
      <c r="V4" s="38">
        <v>4</v>
      </c>
      <c r="W4" s="19">
        <f>ROUND(G4/V4,2)</f>
        <v>560</v>
      </c>
      <c r="X4" s="38">
        <f>(0.8*V4+0.4)*W4</f>
        <v>2016</v>
      </c>
      <c r="Y4" s="38">
        <f>ROUND((S4*T4*U4)*0.000001*W4,2)</f>
        <v>9.9600000000000009</v>
      </c>
      <c r="Z4" s="112">
        <v>4.42</v>
      </c>
      <c r="AA4" s="110">
        <f>Z4*G4</f>
        <v>9900.7999999999993</v>
      </c>
      <c r="AB4" s="38" t="s">
        <v>46</v>
      </c>
      <c r="AC4" s="18"/>
      <c r="AD4" s="19" t="s">
        <v>73</v>
      </c>
      <c r="AE4" s="67"/>
      <c r="AF4" s="67"/>
      <c r="AG4" s="67"/>
      <c r="AH4" s="30" t="s">
        <v>51</v>
      </c>
      <c r="AI4" s="67"/>
      <c r="AJ4" s="67"/>
      <c r="AK4" s="67"/>
      <c r="AL4" s="67"/>
      <c r="AM4" s="67"/>
      <c r="AN4" s="32"/>
      <c r="AO4" s="32"/>
      <c r="AP4" s="67"/>
    </row>
    <row r="5" spans="1:16381" ht="63.75">
      <c r="A5" s="73">
        <v>44848</v>
      </c>
      <c r="B5" s="36" t="s">
        <v>134</v>
      </c>
      <c r="C5" s="17" t="s">
        <v>412</v>
      </c>
      <c r="D5" s="18"/>
      <c r="E5" s="19" t="s">
        <v>383</v>
      </c>
      <c r="F5" s="19" t="s">
        <v>70</v>
      </c>
      <c r="G5" s="44">
        <f>4536-4320</f>
        <v>216</v>
      </c>
      <c r="H5" s="19" t="s">
        <v>291</v>
      </c>
      <c r="I5" s="51" t="s">
        <v>74</v>
      </c>
      <c r="J5" s="19" t="s">
        <v>70</v>
      </c>
      <c r="K5" s="51" t="s">
        <v>75</v>
      </c>
      <c r="L5" s="69" t="s">
        <v>76</v>
      </c>
      <c r="M5" s="21"/>
      <c r="N5" s="38"/>
      <c r="O5" s="40" t="s">
        <v>77</v>
      </c>
      <c r="P5" s="29" t="s">
        <v>44</v>
      </c>
      <c r="Q5" s="71"/>
      <c r="R5" s="52" t="s">
        <v>123</v>
      </c>
      <c r="S5" s="24">
        <f>ROUND(15.5*2.54,2)</f>
        <v>39.369999999999997</v>
      </c>
      <c r="T5" s="24">
        <f>ROUND(11.5*2.54,2)</f>
        <v>29.21</v>
      </c>
      <c r="U5" s="24">
        <f>ROUND(8*2.54,2)</f>
        <v>20.32</v>
      </c>
      <c r="V5" s="44">
        <v>6</v>
      </c>
      <c r="W5" s="34">
        <f>ROUND(G5/V5,2)</f>
        <v>36</v>
      </c>
      <c r="X5" s="34">
        <f>4.5*W5</f>
        <v>162</v>
      </c>
      <c r="Y5" s="59">
        <f>ROUND((S5*T5*U5)*0.000001*W5,2)</f>
        <v>0.84</v>
      </c>
      <c r="Z5" s="27">
        <v>4.1500000000000004</v>
      </c>
      <c r="AA5" s="56">
        <f>Z5*G5</f>
        <v>896.40000000000009</v>
      </c>
      <c r="AB5" s="49" t="s">
        <v>46</v>
      </c>
      <c r="AC5" s="18"/>
      <c r="AD5" s="38"/>
      <c r="AE5" s="67"/>
      <c r="AF5" s="67"/>
      <c r="AG5" s="67"/>
      <c r="AH5" s="30" t="s">
        <v>51</v>
      </c>
      <c r="AI5" s="67"/>
      <c r="AJ5" s="67"/>
      <c r="AK5" s="67"/>
      <c r="AL5" s="67"/>
      <c r="AM5" s="67"/>
      <c r="AN5" s="30"/>
      <c r="AO5" s="32"/>
      <c r="AP5" s="67"/>
    </row>
    <row r="6" spans="1:16381" ht="27" customHeight="1">
      <c r="A6" s="73">
        <v>44861</v>
      </c>
      <c r="B6" s="36" t="s">
        <v>134</v>
      </c>
      <c r="C6" s="17" t="s">
        <v>392</v>
      </c>
      <c r="D6" s="68"/>
      <c r="E6" s="28" t="s">
        <v>393</v>
      </c>
      <c r="F6" s="28" t="s">
        <v>70</v>
      </c>
      <c r="G6" s="58">
        <f>5616-4536</f>
        <v>1080</v>
      </c>
      <c r="H6" s="28" t="s">
        <v>291</v>
      </c>
      <c r="I6" s="20" t="s">
        <v>74</v>
      </c>
      <c r="J6" s="19" t="s">
        <v>70</v>
      </c>
      <c r="K6" s="51" t="s">
        <v>75</v>
      </c>
      <c r="L6" s="69" t="s">
        <v>76</v>
      </c>
      <c r="M6" s="21"/>
      <c r="N6" s="38"/>
      <c r="O6" s="40" t="s">
        <v>77</v>
      </c>
      <c r="P6" s="29" t="s">
        <v>44</v>
      </c>
      <c r="Q6" s="71"/>
      <c r="R6" s="52" t="s">
        <v>78</v>
      </c>
      <c r="S6" s="24">
        <f>ROUND(15.5*2.54,2)</f>
        <v>39.369999999999997</v>
      </c>
      <c r="T6" s="24">
        <f>ROUND(11.5*2.54,2)</f>
        <v>29.21</v>
      </c>
      <c r="U6" s="24">
        <f>ROUND(8*2.54,2)</f>
        <v>20.32</v>
      </c>
      <c r="V6" s="44">
        <v>6</v>
      </c>
      <c r="W6" s="34">
        <f>ROUND(G6/V6,2)</f>
        <v>180</v>
      </c>
      <c r="X6" s="34">
        <f>4.5*W6</f>
        <v>810</v>
      </c>
      <c r="Y6" s="59">
        <f>ROUND((S6*T6*U6)*0.000001*W6,2)</f>
        <v>4.21</v>
      </c>
      <c r="Z6" s="113">
        <v>4.1500000000000004</v>
      </c>
      <c r="AA6" s="56">
        <f>Z6*G6</f>
        <v>4482</v>
      </c>
      <c r="AB6" s="49" t="s">
        <v>46</v>
      </c>
      <c r="AC6" s="18"/>
      <c r="AD6" s="38"/>
      <c r="AE6" s="67"/>
      <c r="AF6" s="67"/>
      <c r="AG6" s="67"/>
      <c r="AH6" s="30" t="s">
        <v>51</v>
      </c>
      <c r="AI6" s="67"/>
      <c r="AJ6" s="67"/>
      <c r="AK6" s="67"/>
      <c r="AL6" s="67"/>
      <c r="AM6" s="67"/>
      <c r="AN6" s="30" t="s">
        <v>51</v>
      </c>
      <c r="AO6" s="30" t="s">
        <v>51</v>
      </c>
      <c r="AP6" s="67"/>
    </row>
    <row r="7" spans="1:16381" ht="38.25">
      <c r="A7" s="487">
        <v>45772</v>
      </c>
      <c r="B7" s="445" t="s">
        <v>2155</v>
      </c>
      <c r="C7" s="640" t="s">
        <v>2150</v>
      </c>
      <c r="D7" s="361" t="s">
        <v>2204</v>
      </c>
      <c r="E7" s="353" t="s">
        <v>2266</v>
      </c>
      <c r="F7" s="391" t="s">
        <v>52</v>
      </c>
      <c r="G7" s="401">
        <v>400</v>
      </c>
      <c r="H7" s="527" t="s">
        <v>2154</v>
      </c>
      <c r="I7" s="387" t="s">
        <v>58</v>
      </c>
      <c r="J7" s="363" t="s">
        <v>49</v>
      </c>
      <c r="K7" s="485" t="s">
        <v>53</v>
      </c>
      <c r="L7" s="392" t="s">
        <v>2186</v>
      </c>
      <c r="M7" s="487">
        <v>45930</v>
      </c>
      <c r="N7" s="676"/>
      <c r="O7" s="382" t="s">
        <v>55</v>
      </c>
      <c r="P7" s="374" t="s">
        <v>44</v>
      </c>
      <c r="Q7" s="425">
        <v>45883</v>
      </c>
      <c r="R7" s="327" t="s">
        <v>49</v>
      </c>
      <c r="S7" s="549">
        <v>62</v>
      </c>
      <c r="T7" s="549">
        <v>38</v>
      </c>
      <c r="U7" s="549">
        <v>52</v>
      </c>
      <c r="V7" s="549">
        <v>5</v>
      </c>
      <c r="W7" s="386">
        <v>80</v>
      </c>
      <c r="X7" s="386">
        <v>1920</v>
      </c>
      <c r="Y7" s="408">
        <v>9.8000000000000007</v>
      </c>
      <c r="Z7" s="376">
        <v>31.87</v>
      </c>
      <c r="AA7" s="360">
        <v>12748</v>
      </c>
      <c r="AB7" s="346" t="s">
        <v>46</v>
      </c>
      <c r="AC7" s="362" t="s">
        <v>48</v>
      </c>
      <c r="AD7" s="327"/>
      <c r="AE7" s="425">
        <v>45883</v>
      </c>
      <c r="AF7" s="425">
        <v>45883</v>
      </c>
      <c r="AG7" s="30" t="s">
        <v>51</v>
      </c>
      <c r="AH7" s="30" t="s">
        <v>51</v>
      </c>
      <c r="AI7" s="663" t="s">
        <v>2075</v>
      </c>
      <c r="AJ7" s="663" t="s">
        <v>2075</v>
      </c>
      <c r="AK7" s="446">
        <v>45965</v>
      </c>
      <c r="AL7" s="375"/>
      <c r="AM7" s="30" t="s">
        <v>51</v>
      </c>
      <c r="AN7" s="30" t="s">
        <v>51</v>
      </c>
      <c r="AO7" s="30" t="s">
        <v>51</v>
      </c>
      <c r="AP7" s="67"/>
      <c r="AQ7" s="104"/>
      <c r="AR7" s="104"/>
      <c r="AS7" s="104"/>
      <c r="AT7" s="104"/>
      <c r="AU7" s="104"/>
      <c r="AV7" s="104"/>
      <c r="AW7" s="104"/>
      <c r="AX7" s="104"/>
      <c r="AY7" s="104"/>
      <c r="AZ7" s="104"/>
      <c r="BA7" s="104"/>
      <c r="BB7" s="104"/>
      <c r="BC7" s="104"/>
      <c r="BD7" s="104"/>
      <c r="BE7" s="104"/>
      <c r="BF7" s="104"/>
      <c r="BG7" s="104"/>
      <c r="BH7" s="104"/>
      <c r="BI7" s="104"/>
      <c r="BJ7" s="104"/>
      <c r="BK7" s="104"/>
      <c r="BL7" s="104"/>
      <c r="BM7" s="104"/>
      <c r="BN7" s="104"/>
      <c r="BO7" s="104"/>
      <c r="BP7" s="104"/>
      <c r="BQ7" s="104"/>
      <c r="BR7" s="104"/>
      <c r="BS7" s="104"/>
      <c r="BT7" s="104"/>
      <c r="BU7" s="104"/>
      <c r="BV7" s="104"/>
      <c r="BW7" s="104"/>
      <c r="BX7" s="104"/>
      <c r="BY7" s="104"/>
      <c r="BZ7" s="104"/>
      <c r="CA7" s="104"/>
      <c r="CB7" s="104"/>
      <c r="CC7" s="104"/>
      <c r="CD7" s="104"/>
      <c r="CE7" s="104"/>
      <c r="CF7" s="104"/>
      <c r="CG7" s="104"/>
      <c r="CH7" s="104"/>
      <c r="CI7" s="104"/>
      <c r="CJ7" s="104"/>
      <c r="CK7" s="104"/>
      <c r="CL7" s="104"/>
      <c r="CM7" s="104"/>
      <c r="CN7" s="104"/>
      <c r="CO7" s="104"/>
      <c r="CP7" s="104"/>
      <c r="CQ7" s="104"/>
      <c r="CR7" s="104"/>
      <c r="CS7" s="104"/>
      <c r="CT7" s="104"/>
      <c r="CU7" s="104"/>
      <c r="CV7" s="104"/>
      <c r="CW7" s="104"/>
      <c r="CX7" s="104"/>
      <c r="CY7" s="104"/>
      <c r="CZ7" s="104"/>
      <c r="DA7" s="104"/>
      <c r="DB7" s="104"/>
      <c r="DC7" s="104"/>
      <c r="DD7" s="104"/>
      <c r="DE7" s="104"/>
      <c r="DF7" s="104"/>
      <c r="DG7" s="104"/>
      <c r="DH7" s="104"/>
      <c r="DI7" s="104"/>
      <c r="DJ7" s="104"/>
      <c r="DK7" s="104"/>
      <c r="DL7" s="104"/>
      <c r="DM7" s="104"/>
      <c r="DN7" s="104"/>
      <c r="DO7" s="104"/>
      <c r="DP7" s="104"/>
      <c r="DQ7" s="104"/>
      <c r="DR7" s="104"/>
      <c r="DS7" s="104"/>
      <c r="DT7" s="104"/>
      <c r="DU7" s="104"/>
      <c r="DV7" s="104"/>
      <c r="DW7" s="104"/>
      <c r="DX7" s="104"/>
      <c r="DY7" s="104"/>
      <c r="DZ7" s="104"/>
      <c r="EA7" s="104"/>
      <c r="EB7" s="104"/>
      <c r="EC7" s="104"/>
      <c r="ED7" s="104"/>
      <c r="EE7" s="104"/>
      <c r="EF7" s="104"/>
      <c r="EG7" s="104"/>
      <c r="EH7" s="104"/>
      <c r="EI7" s="104"/>
      <c r="EJ7" s="104"/>
      <c r="EK7" s="104"/>
      <c r="EL7" s="104"/>
      <c r="EM7" s="104"/>
      <c r="EN7" s="104"/>
      <c r="EO7" s="104"/>
      <c r="EP7" s="104"/>
      <c r="EQ7" s="104"/>
      <c r="ER7" s="104"/>
      <c r="ES7" s="104"/>
      <c r="ET7" s="104"/>
      <c r="EU7" s="104"/>
      <c r="EV7" s="104"/>
      <c r="EW7" s="104"/>
      <c r="EX7" s="104"/>
      <c r="EY7" s="104"/>
      <c r="EZ7" s="104"/>
      <c r="FA7" s="104"/>
      <c r="FB7" s="104"/>
      <c r="FC7" s="104"/>
      <c r="FD7" s="104"/>
      <c r="FE7" s="104"/>
      <c r="FF7" s="104"/>
      <c r="FG7" s="104"/>
      <c r="FH7" s="104"/>
      <c r="FI7" s="104"/>
      <c r="FJ7" s="104"/>
      <c r="FK7" s="104"/>
      <c r="FL7" s="104"/>
      <c r="FM7" s="104"/>
      <c r="FN7" s="104"/>
      <c r="FO7" s="104"/>
      <c r="FP7" s="104"/>
      <c r="FQ7" s="104"/>
      <c r="FR7" s="104"/>
      <c r="FS7" s="104"/>
      <c r="FT7" s="104"/>
      <c r="FU7" s="104"/>
      <c r="FV7" s="104"/>
      <c r="FW7" s="104"/>
      <c r="FX7" s="104"/>
      <c r="FY7" s="104"/>
      <c r="FZ7" s="104"/>
      <c r="GA7" s="104"/>
      <c r="GB7" s="104"/>
      <c r="GC7" s="104"/>
      <c r="GD7" s="104"/>
      <c r="GE7" s="104"/>
      <c r="GF7" s="104"/>
      <c r="GG7" s="104"/>
      <c r="GH7" s="104"/>
      <c r="GI7" s="104"/>
      <c r="GJ7" s="104"/>
      <c r="GK7" s="104"/>
      <c r="GL7" s="104"/>
      <c r="GM7" s="104"/>
      <c r="GN7" s="104"/>
      <c r="GO7" s="104"/>
      <c r="GP7" s="104"/>
      <c r="GQ7" s="104"/>
      <c r="GR7" s="104"/>
      <c r="GS7" s="104"/>
      <c r="GT7" s="104"/>
      <c r="GU7" s="104"/>
      <c r="GV7" s="104"/>
      <c r="GW7" s="104"/>
      <c r="GX7" s="104"/>
      <c r="GY7" s="104"/>
      <c r="GZ7" s="104"/>
      <c r="HA7" s="104"/>
      <c r="HB7" s="104"/>
      <c r="HC7" s="104"/>
      <c r="HD7" s="104"/>
      <c r="HE7" s="104"/>
      <c r="HF7" s="104"/>
      <c r="HG7" s="104"/>
      <c r="HH7" s="104"/>
      <c r="HI7" s="104"/>
      <c r="HJ7" s="104"/>
      <c r="HK7" s="104"/>
      <c r="HL7" s="104"/>
      <c r="HM7" s="104"/>
      <c r="HN7" s="104"/>
      <c r="HO7" s="104"/>
      <c r="HP7" s="104"/>
      <c r="HQ7" s="104"/>
      <c r="HR7" s="104"/>
      <c r="HS7" s="104"/>
      <c r="HT7" s="104"/>
      <c r="HU7" s="104"/>
      <c r="HV7" s="104"/>
      <c r="HW7" s="104"/>
      <c r="HX7" s="104"/>
      <c r="HY7" s="104"/>
      <c r="HZ7" s="104"/>
      <c r="IA7" s="104"/>
      <c r="IB7" s="104"/>
      <c r="IC7" s="104"/>
      <c r="ID7" s="104"/>
      <c r="IE7" s="104"/>
      <c r="IF7" s="104"/>
      <c r="IG7" s="104"/>
      <c r="IH7" s="104"/>
      <c r="II7" s="104"/>
      <c r="IJ7" s="104"/>
      <c r="IK7" s="104"/>
      <c r="IL7" s="104"/>
      <c r="IM7" s="104"/>
      <c r="IN7" s="104"/>
      <c r="IO7" s="104"/>
      <c r="IP7" s="104"/>
      <c r="IQ7" s="104"/>
      <c r="IR7" s="104"/>
      <c r="IS7" s="104"/>
      <c r="IT7" s="104"/>
      <c r="IU7" s="104"/>
      <c r="IV7" s="104"/>
      <c r="IW7" s="104"/>
      <c r="IX7" s="104"/>
      <c r="IY7" s="104"/>
      <c r="IZ7" s="104"/>
      <c r="JA7" s="104"/>
      <c r="JB7" s="104"/>
      <c r="JC7" s="104"/>
      <c r="JD7" s="104"/>
      <c r="JE7" s="104"/>
      <c r="JF7" s="104"/>
      <c r="JG7" s="104"/>
      <c r="JH7" s="104"/>
      <c r="JI7" s="104"/>
      <c r="JJ7" s="104"/>
      <c r="JK7" s="104"/>
      <c r="JL7" s="104"/>
      <c r="JM7" s="104"/>
      <c r="JN7" s="104"/>
      <c r="JO7" s="104"/>
      <c r="JP7" s="104"/>
      <c r="JQ7" s="104"/>
      <c r="JR7" s="104"/>
      <c r="JS7" s="104"/>
      <c r="JT7" s="104"/>
      <c r="JU7" s="104"/>
      <c r="JV7" s="104"/>
      <c r="JW7" s="104"/>
      <c r="JX7" s="104"/>
      <c r="JY7" s="104"/>
      <c r="JZ7" s="104"/>
      <c r="KA7" s="104"/>
      <c r="KB7" s="104"/>
      <c r="KC7" s="104"/>
      <c r="KD7" s="104"/>
      <c r="KE7" s="104"/>
      <c r="KF7" s="104"/>
      <c r="KG7" s="104"/>
      <c r="KH7" s="104"/>
      <c r="KI7" s="104"/>
      <c r="KJ7" s="104"/>
      <c r="KK7" s="104"/>
      <c r="KL7" s="104"/>
      <c r="KM7" s="104"/>
      <c r="KN7" s="104"/>
      <c r="KO7" s="104"/>
      <c r="KP7" s="104"/>
      <c r="KQ7" s="104"/>
      <c r="KR7" s="104"/>
      <c r="KS7" s="104"/>
      <c r="KT7" s="104"/>
      <c r="KU7" s="104"/>
      <c r="KV7" s="104"/>
      <c r="KW7" s="104"/>
      <c r="KX7" s="104"/>
      <c r="KY7" s="104"/>
      <c r="KZ7" s="104"/>
      <c r="LA7" s="104"/>
      <c r="LB7" s="104"/>
      <c r="LC7" s="104"/>
      <c r="LD7" s="104"/>
      <c r="LE7" s="104"/>
      <c r="LF7" s="104"/>
      <c r="LG7" s="104"/>
      <c r="LH7" s="104"/>
      <c r="LI7" s="104"/>
      <c r="LJ7" s="104"/>
      <c r="LK7" s="104"/>
      <c r="LL7" s="104"/>
      <c r="LM7" s="104"/>
      <c r="LN7" s="104"/>
      <c r="LO7" s="104"/>
      <c r="LP7" s="104"/>
      <c r="LQ7" s="104"/>
      <c r="LR7" s="104"/>
      <c r="LS7" s="104"/>
      <c r="LT7" s="104"/>
      <c r="LU7" s="104"/>
      <c r="LV7" s="104"/>
      <c r="LW7" s="104"/>
      <c r="LX7" s="104"/>
      <c r="LY7" s="104"/>
      <c r="LZ7" s="104"/>
      <c r="MA7" s="104"/>
      <c r="MB7" s="104"/>
      <c r="MC7" s="104"/>
      <c r="MD7" s="104"/>
      <c r="ME7" s="104"/>
      <c r="MF7" s="104"/>
      <c r="MG7" s="104"/>
      <c r="MH7" s="104"/>
      <c r="MI7" s="104"/>
      <c r="MJ7" s="104"/>
      <c r="MK7" s="104"/>
      <c r="ML7" s="104"/>
      <c r="MM7" s="104"/>
      <c r="MN7" s="104"/>
      <c r="MO7" s="104"/>
      <c r="MP7" s="104"/>
      <c r="MQ7" s="104"/>
      <c r="MR7" s="104"/>
      <c r="MS7" s="104"/>
      <c r="MT7" s="104"/>
      <c r="MU7" s="104"/>
      <c r="MV7" s="104"/>
      <c r="MW7" s="104"/>
      <c r="MX7" s="104"/>
      <c r="MY7" s="104"/>
      <c r="MZ7" s="104"/>
      <c r="NA7" s="104"/>
      <c r="NB7" s="104"/>
      <c r="NC7" s="104"/>
      <c r="ND7" s="104"/>
      <c r="NE7" s="104"/>
      <c r="NF7" s="104"/>
      <c r="NG7" s="104"/>
      <c r="NH7" s="104"/>
      <c r="NI7" s="104"/>
      <c r="NJ7" s="104"/>
      <c r="NK7" s="104"/>
      <c r="NL7" s="104"/>
      <c r="NM7" s="104"/>
      <c r="NN7" s="104"/>
      <c r="NO7" s="104"/>
      <c r="NP7" s="104"/>
      <c r="NQ7" s="104"/>
      <c r="NR7" s="104"/>
      <c r="NS7" s="104"/>
      <c r="NT7" s="104"/>
      <c r="NU7" s="104"/>
      <c r="NV7" s="104"/>
      <c r="NW7" s="104"/>
      <c r="NX7" s="104"/>
      <c r="NY7" s="104"/>
      <c r="NZ7" s="104"/>
      <c r="OA7" s="104"/>
      <c r="OB7" s="104"/>
      <c r="OC7" s="104"/>
      <c r="OD7" s="104"/>
      <c r="OE7" s="104"/>
      <c r="OF7" s="104"/>
      <c r="OG7" s="104"/>
      <c r="OH7" s="104"/>
      <c r="OI7" s="104"/>
      <c r="OJ7" s="104"/>
      <c r="OK7" s="104"/>
      <c r="OL7" s="104"/>
      <c r="OM7" s="104"/>
      <c r="ON7" s="104"/>
      <c r="OO7" s="104"/>
      <c r="OP7" s="104"/>
      <c r="OQ7" s="104"/>
      <c r="OR7" s="104"/>
      <c r="OS7" s="104"/>
      <c r="OT7" s="104"/>
      <c r="OU7" s="104"/>
      <c r="OV7" s="104"/>
      <c r="OW7" s="104"/>
      <c r="OX7" s="104"/>
      <c r="OY7" s="104"/>
      <c r="OZ7" s="104"/>
      <c r="PA7" s="104"/>
      <c r="PB7" s="104"/>
      <c r="PC7" s="104"/>
      <c r="PD7" s="104"/>
      <c r="PE7" s="104"/>
      <c r="PF7" s="104"/>
      <c r="PG7" s="104"/>
      <c r="PH7" s="104"/>
      <c r="PI7" s="104"/>
      <c r="PJ7" s="104"/>
      <c r="PK7" s="104"/>
      <c r="PL7" s="104"/>
      <c r="PM7" s="104"/>
      <c r="PN7" s="104"/>
      <c r="PO7" s="104"/>
      <c r="PP7" s="104"/>
      <c r="PQ7" s="104"/>
      <c r="PR7" s="104"/>
      <c r="PS7" s="104"/>
      <c r="PT7" s="104"/>
      <c r="PU7" s="104"/>
      <c r="PV7" s="104"/>
      <c r="PW7" s="104"/>
      <c r="PX7" s="104"/>
      <c r="PY7" s="104"/>
      <c r="PZ7" s="104"/>
      <c r="QA7" s="104"/>
      <c r="QB7" s="104"/>
      <c r="QC7" s="104"/>
      <c r="QD7" s="104"/>
      <c r="QE7" s="104"/>
      <c r="QF7" s="104"/>
      <c r="QG7" s="104"/>
      <c r="QH7" s="104"/>
      <c r="QI7" s="104"/>
      <c r="QJ7" s="104"/>
      <c r="QK7" s="104"/>
      <c r="QL7" s="104"/>
      <c r="QM7" s="104"/>
      <c r="QN7" s="104"/>
      <c r="QO7" s="104"/>
      <c r="QP7" s="104"/>
      <c r="QQ7" s="104"/>
      <c r="QR7" s="104"/>
      <c r="QS7" s="104"/>
      <c r="QT7" s="104"/>
      <c r="QU7" s="104"/>
      <c r="QV7" s="104"/>
      <c r="QW7" s="104"/>
      <c r="QX7" s="104"/>
      <c r="QY7" s="104"/>
      <c r="QZ7" s="104"/>
      <c r="RA7" s="104"/>
      <c r="RB7" s="104"/>
      <c r="RC7" s="104"/>
      <c r="RD7" s="104"/>
      <c r="RE7" s="104"/>
      <c r="RF7" s="104"/>
      <c r="RG7" s="104"/>
      <c r="RH7" s="104"/>
      <c r="RI7" s="104"/>
      <c r="RJ7" s="104"/>
      <c r="RK7" s="104"/>
      <c r="RL7" s="104"/>
      <c r="RM7" s="104"/>
      <c r="RN7" s="104"/>
      <c r="RO7" s="104"/>
      <c r="RP7" s="104"/>
      <c r="RQ7" s="104"/>
      <c r="RR7" s="104"/>
      <c r="RS7" s="104"/>
      <c r="RT7" s="104"/>
      <c r="RU7" s="104"/>
      <c r="RV7" s="104"/>
      <c r="RW7" s="104"/>
      <c r="RX7" s="104"/>
      <c r="RY7" s="104"/>
      <c r="RZ7" s="104"/>
      <c r="SA7" s="104"/>
      <c r="SB7" s="104"/>
      <c r="SC7" s="104"/>
      <c r="SD7" s="104"/>
      <c r="SE7" s="104"/>
      <c r="SF7" s="104"/>
      <c r="SG7" s="104"/>
      <c r="SH7" s="104"/>
      <c r="SI7" s="104"/>
      <c r="SJ7" s="104"/>
      <c r="SK7" s="104"/>
      <c r="SL7" s="104"/>
      <c r="SM7" s="104"/>
      <c r="SN7" s="104"/>
      <c r="SO7" s="104"/>
      <c r="SP7" s="104"/>
      <c r="SQ7" s="104"/>
      <c r="SR7" s="104"/>
      <c r="SS7" s="104"/>
      <c r="ST7" s="104"/>
      <c r="SU7" s="104"/>
      <c r="SV7" s="104"/>
      <c r="SW7" s="104"/>
      <c r="SX7" s="104"/>
      <c r="SY7" s="104"/>
      <c r="SZ7" s="104"/>
      <c r="TA7" s="104"/>
      <c r="TB7" s="104"/>
      <c r="TC7" s="104"/>
      <c r="TD7" s="104"/>
      <c r="TE7" s="104"/>
      <c r="TF7" s="104"/>
      <c r="TG7" s="104"/>
      <c r="TH7" s="104"/>
      <c r="TI7" s="104"/>
      <c r="TJ7" s="104"/>
      <c r="TK7" s="104"/>
      <c r="TL7" s="104"/>
      <c r="TM7" s="104"/>
      <c r="TN7" s="104"/>
      <c r="TO7" s="104"/>
      <c r="TP7" s="104"/>
      <c r="TQ7" s="104"/>
      <c r="TR7" s="104"/>
      <c r="TS7" s="104"/>
      <c r="TT7" s="104"/>
      <c r="TU7" s="104"/>
      <c r="TV7" s="104"/>
      <c r="TW7" s="104"/>
      <c r="TX7" s="104"/>
      <c r="TY7" s="104"/>
      <c r="TZ7" s="104"/>
      <c r="UA7" s="104"/>
      <c r="UB7" s="104"/>
      <c r="UC7" s="104"/>
      <c r="UD7" s="104"/>
      <c r="UE7" s="104"/>
      <c r="UF7" s="104"/>
      <c r="UG7" s="104"/>
      <c r="UH7" s="104"/>
      <c r="UI7" s="104"/>
      <c r="UJ7" s="104"/>
      <c r="UK7" s="104"/>
      <c r="UL7" s="104"/>
      <c r="UM7" s="104"/>
      <c r="UN7" s="104"/>
      <c r="UO7" s="104"/>
      <c r="UP7" s="104"/>
      <c r="UQ7" s="104"/>
      <c r="UR7" s="104"/>
      <c r="US7" s="104"/>
      <c r="UT7" s="104"/>
      <c r="UU7" s="104"/>
      <c r="UV7" s="104"/>
      <c r="UW7" s="104"/>
      <c r="UX7" s="104"/>
      <c r="UY7" s="104"/>
      <c r="UZ7" s="104"/>
      <c r="VA7" s="104"/>
      <c r="VB7" s="104"/>
      <c r="VC7" s="104"/>
      <c r="VD7" s="104"/>
      <c r="VE7" s="104"/>
      <c r="VF7" s="104"/>
      <c r="VG7" s="104"/>
      <c r="VH7" s="104"/>
      <c r="VI7" s="104"/>
      <c r="VJ7" s="104"/>
      <c r="VK7" s="104"/>
      <c r="VL7" s="104"/>
      <c r="VM7" s="104"/>
      <c r="VN7" s="104"/>
      <c r="VO7" s="104"/>
      <c r="VP7" s="104"/>
      <c r="VQ7" s="104"/>
      <c r="VR7" s="104"/>
      <c r="VS7" s="104"/>
      <c r="VT7" s="104"/>
      <c r="VU7" s="104"/>
      <c r="VV7" s="104"/>
      <c r="VW7" s="104"/>
      <c r="VX7" s="104"/>
      <c r="VY7" s="104"/>
      <c r="VZ7" s="104"/>
      <c r="WA7" s="104"/>
      <c r="WB7" s="104"/>
      <c r="WC7" s="104"/>
      <c r="WD7" s="104"/>
      <c r="WE7" s="104"/>
      <c r="WF7" s="104"/>
      <c r="WG7" s="104"/>
      <c r="WH7" s="104"/>
      <c r="WI7" s="104"/>
      <c r="WJ7" s="104"/>
      <c r="WK7" s="104"/>
      <c r="WL7" s="104"/>
      <c r="WM7" s="104"/>
      <c r="WN7" s="104"/>
      <c r="WO7" s="104"/>
      <c r="WP7" s="104"/>
      <c r="WQ7" s="104"/>
      <c r="WR7" s="104"/>
      <c r="WS7" s="104"/>
      <c r="WT7" s="104"/>
      <c r="WU7" s="104"/>
      <c r="WV7" s="104"/>
      <c r="WW7" s="104"/>
      <c r="WX7" s="104"/>
      <c r="WY7" s="104"/>
      <c r="WZ7" s="104"/>
      <c r="XA7" s="104"/>
      <c r="XB7" s="104"/>
      <c r="XC7" s="104"/>
      <c r="XD7" s="104"/>
      <c r="XE7" s="104"/>
      <c r="XF7" s="104"/>
      <c r="XG7" s="104"/>
      <c r="XH7" s="104"/>
      <c r="XI7" s="104"/>
      <c r="XJ7" s="104"/>
      <c r="XK7" s="104"/>
      <c r="XL7" s="104"/>
      <c r="XM7" s="104"/>
      <c r="XN7" s="104"/>
      <c r="XO7" s="104"/>
      <c r="XP7" s="104"/>
      <c r="XQ7" s="104"/>
      <c r="XR7" s="104"/>
      <c r="XS7" s="104"/>
      <c r="XT7" s="104"/>
      <c r="XU7" s="104"/>
      <c r="XV7" s="104"/>
      <c r="XW7" s="104"/>
      <c r="XX7" s="104"/>
      <c r="XY7" s="104"/>
      <c r="XZ7" s="104"/>
      <c r="YA7" s="104"/>
      <c r="YB7" s="104"/>
      <c r="YC7" s="104"/>
      <c r="YD7" s="104"/>
      <c r="YE7" s="104"/>
      <c r="YF7" s="104"/>
      <c r="YG7" s="104"/>
      <c r="YH7" s="104"/>
      <c r="YI7" s="104"/>
      <c r="YJ7" s="104"/>
      <c r="YK7" s="104"/>
      <c r="YL7" s="104"/>
      <c r="YM7" s="104"/>
      <c r="YN7" s="104"/>
      <c r="YO7" s="104"/>
      <c r="YP7" s="104"/>
      <c r="YQ7" s="104"/>
      <c r="YR7" s="104"/>
      <c r="YS7" s="104"/>
      <c r="YT7" s="104"/>
      <c r="YU7" s="104"/>
      <c r="YV7" s="104"/>
      <c r="YW7" s="104"/>
      <c r="YX7" s="104"/>
      <c r="YY7" s="104"/>
      <c r="YZ7" s="104"/>
      <c r="ZA7" s="104"/>
      <c r="ZB7" s="104"/>
      <c r="ZC7" s="104"/>
      <c r="ZD7" s="104"/>
      <c r="ZE7" s="104"/>
      <c r="ZF7" s="104"/>
      <c r="ZG7" s="104"/>
      <c r="ZH7" s="104"/>
      <c r="ZI7" s="104"/>
      <c r="ZJ7" s="104"/>
      <c r="ZK7" s="104"/>
      <c r="ZL7" s="104"/>
      <c r="ZM7" s="104"/>
      <c r="ZN7" s="104"/>
      <c r="ZO7" s="104"/>
      <c r="ZP7" s="104"/>
      <c r="ZQ7" s="104"/>
      <c r="ZR7" s="104"/>
      <c r="ZS7" s="104"/>
      <c r="ZT7" s="104"/>
      <c r="ZU7" s="104"/>
      <c r="ZV7" s="104"/>
      <c r="ZW7" s="104"/>
      <c r="ZX7" s="104"/>
      <c r="ZY7" s="104"/>
      <c r="ZZ7" s="104"/>
      <c r="AAA7" s="104"/>
      <c r="AAB7" s="104"/>
      <c r="AAC7" s="104"/>
      <c r="AAD7" s="104"/>
      <c r="AAE7" s="104"/>
      <c r="AAF7" s="104"/>
      <c r="AAG7" s="104"/>
      <c r="AAH7" s="104"/>
      <c r="AAI7" s="104"/>
      <c r="AAJ7" s="104"/>
      <c r="AAK7" s="104"/>
      <c r="AAL7" s="104"/>
      <c r="AAM7" s="104"/>
      <c r="AAN7" s="104"/>
      <c r="AAO7" s="104"/>
      <c r="AAP7" s="104"/>
      <c r="AAQ7" s="104"/>
      <c r="AAR7" s="104"/>
      <c r="AAS7" s="104"/>
      <c r="AAT7" s="104"/>
      <c r="AAU7" s="104"/>
      <c r="AAV7" s="104"/>
      <c r="AAW7" s="104"/>
      <c r="AAX7" s="104"/>
      <c r="AAY7" s="104"/>
      <c r="AAZ7" s="104"/>
      <c r="ABA7" s="104"/>
      <c r="ABB7" s="104"/>
      <c r="ABC7" s="104"/>
      <c r="ABD7" s="104"/>
      <c r="ABE7" s="104"/>
      <c r="ABF7" s="104"/>
      <c r="ABG7" s="104"/>
      <c r="ABH7" s="104"/>
      <c r="ABI7" s="104"/>
      <c r="ABJ7" s="104"/>
      <c r="ABK7" s="104"/>
      <c r="ABL7" s="104"/>
      <c r="ABM7" s="104"/>
      <c r="ABN7" s="104"/>
      <c r="ABO7" s="104"/>
      <c r="ABP7" s="104"/>
      <c r="ABQ7" s="104"/>
      <c r="ABR7" s="104"/>
      <c r="ABS7" s="104"/>
      <c r="ABT7" s="104"/>
      <c r="ABU7" s="104"/>
      <c r="ABV7" s="104"/>
      <c r="ABW7" s="104"/>
      <c r="ABX7" s="104"/>
      <c r="ABY7" s="104"/>
      <c r="ABZ7" s="104"/>
      <c r="ACA7" s="104"/>
      <c r="ACB7" s="104"/>
      <c r="ACC7" s="104"/>
      <c r="ACD7" s="104"/>
      <c r="ACE7" s="104"/>
      <c r="ACF7" s="104"/>
      <c r="ACG7" s="104"/>
      <c r="ACH7" s="104"/>
      <c r="ACI7" s="104"/>
      <c r="ACJ7" s="104"/>
      <c r="ACK7" s="104"/>
      <c r="ACL7" s="104"/>
      <c r="ACM7" s="104"/>
      <c r="ACN7" s="104"/>
      <c r="ACO7" s="104"/>
      <c r="ACP7" s="104"/>
      <c r="ACQ7" s="104"/>
      <c r="ACR7" s="104"/>
      <c r="ACS7" s="104"/>
      <c r="ACT7" s="104"/>
      <c r="ACU7" s="104"/>
      <c r="ACV7" s="104"/>
      <c r="ACW7" s="104"/>
      <c r="ACX7" s="104"/>
      <c r="ACY7" s="104"/>
      <c r="ACZ7" s="104"/>
      <c r="ADA7" s="104"/>
      <c r="ADB7" s="104"/>
      <c r="ADC7" s="104"/>
      <c r="ADD7" s="104"/>
      <c r="ADE7" s="104"/>
      <c r="ADF7" s="104"/>
      <c r="ADG7" s="104"/>
      <c r="ADH7" s="104"/>
      <c r="ADI7" s="104"/>
      <c r="ADJ7" s="104"/>
      <c r="ADK7" s="104"/>
      <c r="ADL7" s="104"/>
      <c r="ADM7" s="104"/>
      <c r="ADN7" s="104"/>
      <c r="ADO7" s="104"/>
      <c r="ADP7" s="104"/>
      <c r="ADQ7" s="104"/>
      <c r="ADR7" s="104"/>
      <c r="ADS7" s="104"/>
      <c r="ADT7" s="104"/>
      <c r="ADU7" s="104"/>
      <c r="ADV7" s="104"/>
      <c r="ADW7" s="104"/>
      <c r="ADX7" s="104"/>
      <c r="ADY7" s="104"/>
      <c r="ADZ7" s="104"/>
      <c r="AEA7" s="104"/>
      <c r="AEB7" s="104"/>
      <c r="AEC7" s="104"/>
      <c r="AED7" s="104"/>
      <c r="AEE7" s="104"/>
      <c r="AEF7" s="104"/>
      <c r="AEG7" s="104"/>
      <c r="AEH7" s="104"/>
      <c r="AEI7" s="104"/>
      <c r="AEJ7" s="104"/>
      <c r="AEK7" s="104"/>
      <c r="AEL7" s="104"/>
      <c r="AEM7" s="104"/>
      <c r="AEN7" s="104"/>
      <c r="AEO7" s="104"/>
      <c r="AEP7" s="104"/>
      <c r="AEQ7" s="104"/>
      <c r="AER7" s="104"/>
      <c r="AES7" s="104"/>
      <c r="AET7" s="104"/>
      <c r="AEU7" s="104"/>
      <c r="AEV7" s="104"/>
      <c r="AEW7" s="104"/>
      <c r="AEX7" s="104"/>
      <c r="AEY7" s="104"/>
      <c r="AEZ7" s="104"/>
      <c r="AFA7" s="104"/>
      <c r="AFB7" s="104"/>
      <c r="AFC7" s="104"/>
      <c r="AFD7" s="104"/>
      <c r="AFE7" s="104"/>
      <c r="AFF7" s="104"/>
      <c r="AFG7" s="104"/>
      <c r="AFH7" s="104"/>
      <c r="AFI7" s="104"/>
      <c r="AFJ7" s="104"/>
      <c r="AFK7" s="104"/>
      <c r="AFL7" s="104"/>
      <c r="AFM7" s="104"/>
      <c r="AFN7" s="104"/>
      <c r="AFO7" s="104"/>
      <c r="AFP7" s="104"/>
      <c r="AFQ7" s="104"/>
      <c r="AFR7" s="104"/>
      <c r="AFS7" s="104"/>
      <c r="AFT7" s="104"/>
      <c r="AFU7" s="104"/>
      <c r="AFV7" s="104"/>
      <c r="AFW7" s="104"/>
      <c r="AFX7" s="104"/>
      <c r="AFY7" s="104"/>
      <c r="AFZ7" s="104"/>
      <c r="AGA7" s="104"/>
      <c r="AGB7" s="104"/>
      <c r="AGC7" s="104"/>
      <c r="AGD7" s="104"/>
      <c r="AGE7" s="104"/>
      <c r="AGF7" s="104"/>
      <c r="AGG7" s="104"/>
      <c r="AGH7" s="104"/>
      <c r="AGI7" s="104"/>
      <c r="AGJ7" s="104"/>
      <c r="AGK7" s="104"/>
      <c r="AGL7" s="104"/>
      <c r="AGM7" s="104"/>
      <c r="AGN7" s="104"/>
      <c r="AGO7" s="104"/>
      <c r="AGP7" s="104"/>
      <c r="AGQ7" s="104"/>
      <c r="AGR7" s="104"/>
      <c r="AGS7" s="104"/>
      <c r="AGT7" s="104"/>
      <c r="AGU7" s="104"/>
      <c r="AGV7" s="104"/>
      <c r="AGW7" s="104"/>
      <c r="AGX7" s="104"/>
      <c r="AGY7" s="104"/>
      <c r="AGZ7" s="104"/>
      <c r="AHA7" s="104"/>
      <c r="AHB7" s="104"/>
      <c r="AHC7" s="104"/>
      <c r="AHD7" s="104"/>
      <c r="AHE7" s="104"/>
      <c r="AHF7" s="104"/>
      <c r="AHG7" s="104"/>
      <c r="AHH7" s="104"/>
      <c r="AHI7" s="104"/>
      <c r="AHJ7" s="104"/>
      <c r="AHK7" s="104"/>
      <c r="AHL7" s="104"/>
      <c r="AHM7" s="104"/>
      <c r="AHN7" s="104"/>
      <c r="AHO7" s="104"/>
      <c r="AHP7" s="104"/>
      <c r="AHQ7" s="104"/>
      <c r="AHR7" s="104"/>
      <c r="AHS7" s="104"/>
      <c r="AHT7" s="104"/>
      <c r="AHU7" s="104"/>
      <c r="AHV7" s="104"/>
      <c r="AHW7" s="104"/>
      <c r="AHX7" s="104"/>
      <c r="AHY7" s="104"/>
      <c r="AHZ7" s="104"/>
      <c r="AIA7" s="104"/>
      <c r="AIB7" s="104"/>
      <c r="AIC7" s="104"/>
      <c r="AID7" s="104"/>
      <c r="AIE7" s="104"/>
      <c r="AIF7" s="104"/>
      <c r="AIG7" s="104"/>
      <c r="AIH7" s="104"/>
      <c r="AII7" s="104"/>
      <c r="AIJ7" s="104"/>
      <c r="AIK7" s="104"/>
      <c r="AIL7" s="104"/>
      <c r="AIM7" s="104"/>
      <c r="AIN7" s="104"/>
      <c r="AIO7" s="104"/>
      <c r="AIP7" s="104"/>
      <c r="AIQ7" s="104"/>
      <c r="AIR7" s="104"/>
      <c r="AIS7" s="104"/>
      <c r="AIT7" s="104"/>
      <c r="AIU7" s="104"/>
      <c r="AIV7" s="104"/>
      <c r="AIW7" s="104"/>
      <c r="AIX7" s="104"/>
      <c r="AIY7" s="104"/>
      <c r="AIZ7" s="104"/>
      <c r="AJA7" s="104"/>
      <c r="AJB7" s="104"/>
      <c r="AJC7" s="104"/>
      <c r="AJD7" s="104"/>
      <c r="AJE7" s="104"/>
      <c r="AJF7" s="104"/>
      <c r="AJG7" s="104"/>
      <c r="AJH7" s="104"/>
      <c r="AJI7" s="104"/>
      <c r="AJJ7" s="104"/>
      <c r="AJK7" s="104"/>
      <c r="AJL7" s="104"/>
      <c r="AJM7" s="104"/>
      <c r="AJN7" s="104"/>
      <c r="AJO7" s="104"/>
      <c r="AJP7" s="104"/>
      <c r="AJQ7" s="104"/>
      <c r="AJR7" s="104"/>
      <c r="AJS7" s="104"/>
      <c r="AJT7" s="104"/>
      <c r="AJU7" s="104"/>
      <c r="AJV7" s="104"/>
      <c r="AJW7" s="104"/>
      <c r="AJX7" s="104"/>
      <c r="AJY7" s="104"/>
      <c r="AJZ7" s="104"/>
      <c r="AKA7" s="104"/>
      <c r="AKB7" s="104"/>
      <c r="AKC7" s="104"/>
      <c r="AKD7" s="104"/>
      <c r="AKE7" s="104"/>
      <c r="AKF7" s="104"/>
      <c r="AKG7" s="104"/>
      <c r="AKH7" s="104"/>
      <c r="AKI7" s="104"/>
      <c r="AKJ7" s="104"/>
      <c r="AKK7" s="104"/>
      <c r="AKL7" s="104"/>
      <c r="AKM7" s="104"/>
      <c r="AKN7" s="104"/>
      <c r="AKO7" s="104"/>
      <c r="AKP7" s="104"/>
      <c r="AKQ7" s="104"/>
      <c r="AKR7" s="104"/>
      <c r="AKS7" s="104"/>
      <c r="AKT7" s="104"/>
      <c r="AKU7" s="104"/>
      <c r="AKV7" s="104"/>
      <c r="AKW7" s="104"/>
      <c r="AKX7" s="104"/>
      <c r="AKY7" s="104"/>
      <c r="AKZ7" s="104"/>
      <c r="ALA7" s="104"/>
      <c r="ALB7" s="104"/>
      <c r="ALC7" s="104"/>
      <c r="ALD7" s="104"/>
      <c r="ALE7" s="104"/>
      <c r="ALF7" s="104"/>
      <c r="ALG7" s="104"/>
      <c r="ALH7" s="104"/>
      <c r="ALI7" s="104"/>
      <c r="ALJ7" s="104"/>
      <c r="ALK7" s="104"/>
      <c r="ALL7" s="104"/>
      <c r="ALM7" s="104"/>
      <c r="ALN7" s="104"/>
      <c r="ALO7" s="104"/>
      <c r="ALP7" s="104"/>
      <c r="ALQ7" s="104"/>
      <c r="ALR7" s="104"/>
      <c r="ALS7" s="104"/>
      <c r="ALT7" s="104"/>
      <c r="ALU7" s="104"/>
      <c r="ALV7" s="104"/>
      <c r="ALW7" s="104"/>
      <c r="ALX7" s="104"/>
      <c r="ALY7" s="104"/>
      <c r="ALZ7" s="104"/>
      <c r="AMA7" s="104"/>
      <c r="AMB7" s="104"/>
      <c r="AMC7" s="104"/>
      <c r="AMD7" s="104"/>
      <c r="AME7" s="104"/>
      <c r="AMF7" s="104"/>
      <c r="AMG7" s="104"/>
      <c r="AMH7" s="104"/>
      <c r="AMI7" s="104"/>
      <c r="AMJ7" s="104"/>
      <c r="AMK7" s="104"/>
      <c r="AML7" s="104"/>
      <c r="AMM7" s="104"/>
      <c r="AMN7" s="104"/>
      <c r="AMO7" s="104"/>
      <c r="AMP7" s="104"/>
      <c r="AMQ7" s="104"/>
      <c r="AMR7" s="104"/>
      <c r="AMS7" s="104"/>
      <c r="AMT7" s="104"/>
      <c r="AMU7" s="104"/>
      <c r="AMV7" s="104"/>
      <c r="AMW7" s="104"/>
      <c r="AMX7" s="104"/>
      <c r="AMY7" s="104"/>
      <c r="AMZ7" s="104"/>
      <c r="ANA7" s="104"/>
      <c r="ANB7" s="104"/>
      <c r="ANC7" s="104"/>
      <c r="AND7" s="104"/>
      <c r="ANE7" s="104"/>
      <c r="ANF7" s="104"/>
      <c r="ANG7" s="104"/>
      <c r="ANH7" s="104"/>
      <c r="ANI7" s="104"/>
      <c r="ANJ7" s="104"/>
      <c r="ANK7" s="104"/>
      <c r="ANL7" s="104"/>
      <c r="ANM7" s="104"/>
      <c r="ANN7" s="104"/>
      <c r="ANO7" s="104"/>
      <c r="ANP7" s="104"/>
      <c r="ANQ7" s="104"/>
      <c r="ANR7" s="104"/>
      <c r="ANS7" s="104"/>
      <c r="ANT7" s="104"/>
      <c r="ANU7" s="104"/>
      <c r="ANV7" s="104"/>
      <c r="ANW7" s="104"/>
      <c r="ANX7" s="104"/>
      <c r="ANY7" s="104"/>
      <c r="ANZ7" s="104"/>
      <c r="AOA7" s="104"/>
      <c r="AOB7" s="104"/>
      <c r="AOC7" s="104"/>
      <c r="AOD7" s="104"/>
      <c r="AOE7" s="104"/>
      <c r="AOF7" s="104"/>
      <c r="AOG7" s="104"/>
      <c r="AOH7" s="104"/>
      <c r="AOI7" s="104"/>
      <c r="AOJ7" s="104"/>
      <c r="AOK7" s="104"/>
      <c r="AOL7" s="104"/>
      <c r="AOM7" s="104"/>
      <c r="AON7" s="104"/>
      <c r="AOO7" s="104"/>
      <c r="AOP7" s="104"/>
      <c r="AOQ7" s="104"/>
      <c r="AOR7" s="104"/>
      <c r="AOS7" s="104"/>
      <c r="AOT7" s="104"/>
      <c r="AOU7" s="104"/>
      <c r="AOV7" s="104"/>
      <c r="AOW7" s="104"/>
      <c r="AOX7" s="104"/>
      <c r="AOY7" s="104"/>
      <c r="AOZ7" s="104"/>
      <c r="APA7" s="104"/>
      <c r="APB7" s="104"/>
      <c r="APC7" s="104"/>
      <c r="APD7" s="104"/>
      <c r="APE7" s="104"/>
      <c r="APF7" s="104"/>
      <c r="APG7" s="104"/>
      <c r="APH7" s="104"/>
      <c r="API7" s="104"/>
      <c r="APJ7" s="104"/>
      <c r="APK7" s="104"/>
      <c r="APL7" s="104"/>
      <c r="APM7" s="104"/>
      <c r="APN7" s="104"/>
      <c r="APO7" s="104"/>
      <c r="APP7" s="104"/>
      <c r="APQ7" s="104"/>
      <c r="APR7" s="104"/>
      <c r="APS7" s="104"/>
      <c r="APT7" s="104"/>
      <c r="APU7" s="104"/>
      <c r="APV7" s="104"/>
      <c r="APW7" s="104"/>
      <c r="APX7" s="104"/>
      <c r="APY7" s="104"/>
      <c r="APZ7" s="104"/>
      <c r="AQA7" s="104"/>
      <c r="AQB7" s="104"/>
      <c r="AQC7" s="104"/>
      <c r="AQD7" s="104"/>
      <c r="AQE7" s="104"/>
      <c r="AQF7" s="104"/>
      <c r="AQG7" s="104"/>
      <c r="AQH7" s="104"/>
      <c r="AQI7" s="104"/>
      <c r="AQJ7" s="104"/>
      <c r="AQK7" s="104"/>
      <c r="AQL7" s="104"/>
      <c r="AQM7" s="104"/>
      <c r="AQN7" s="104"/>
      <c r="AQO7" s="104"/>
      <c r="AQP7" s="104"/>
      <c r="AQQ7" s="104"/>
      <c r="AQR7" s="104"/>
      <c r="AQS7" s="104"/>
      <c r="AQT7" s="104"/>
      <c r="AQU7" s="104"/>
      <c r="AQV7" s="104"/>
      <c r="AQW7" s="104"/>
      <c r="AQX7" s="104"/>
      <c r="AQY7" s="104"/>
      <c r="AQZ7" s="104"/>
      <c r="ARA7" s="104"/>
      <c r="ARB7" s="104"/>
      <c r="ARC7" s="104"/>
      <c r="ARD7" s="104"/>
      <c r="ARE7" s="104"/>
      <c r="ARF7" s="104"/>
      <c r="ARG7" s="104"/>
      <c r="ARH7" s="104"/>
      <c r="ARI7" s="104"/>
      <c r="ARJ7" s="104"/>
      <c r="ARK7" s="104"/>
      <c r="ARL7" s="104"/>
      <c r="ARM7" s="104"/>
      <c r="ARN7" s="104"/>
      <c r="ARO7" s="104"/>
      <c r="ARP7" s="104"/>
      <c r="ARQ7" s="104"/>
      <c r="ARR7" s="104"/>
      <c r="ARS7" s="104"/>
      <c r="ART7" s="104"/>
      <c r="ARU7" s="104"/>
      <c r="ARV7" s="104"/>
      <c r="ARW7" s="104"/>
      <c r="ARX7" s="104"/>
      <c r="ARY7" s="104"/>
      <c r="ARZ7" s="104"/>
      <c r="ASA7" s="104"/>
      <c r="ASB7" s="104"/>
      <c r="ASC7" s="104"/>
      <c r="ASD7" s="104"/>
      <c r="ASE7" s="104"/>
      <c r="ASF7" s="104"/>
      <c r="ASG7" s="104"/>
      <c r="ASH7" s="104"/>
      <c r="ASI7" s="104"/>
      <c r="ASJ7" s="104"/>
      <c r="ASK7" s="104"/>
      <c r="ASL7" s="104"/>
      <c r="ASM7" s="104"/>
      <c r="ASN7" s="104"/>
      <c r="ASO7" s="104"/>
      <c r="ASP7" s="104"/>
      <c r="ASQ7" s="104"/>
      <c r="ASR7" s="104"/>
      <c r="ASS7" s="104"/>
      <c r="AST7" s="104"/>
      <c r="ASU7" s="104"/>
      <c r="ASV7" s="104"/>
      <c r="ASW7" s="104"/>
      <c r="ASX7" s="104"/>
      <c r="ASY7" s="104"/>
      <c r="ASZ7" s="104"/>
      <c r="ATA7" s="104"/>
      <c r="ATB7" s="104"/>
      <c r="ATC7" s="104"/>
      <c r="ATD7" s="104"/>
      <c r="ATE7" s="104"/>
      <c r="ATF7" s="104"/>
      <c r="ATG7" s="104"/>
      <c r="ATH7" s="104"/>
      <c r="ATI7" s="104"/>
      <c r="ATJ7" s="104"/>
      <c r="ATK7" s="104"/>
      <c r="ATL7" s="104"/>
      <c r="ATM7" s="104"/>
      <c r="ATN7" s="104"/>
      <c r="ATO7" s="104"/>
      <c r="ATP7" s="104"/>
      <c r="ATQ7" s="104"/>
      <c r="ATR7" s="104"/>
      <c r="ATS7" s="104"/>
      <c r="ATT7" s="104"/>
      <c r="ATU7" s="104"/>
      <c r="ATV7" s="104"/>
      <c r="ATW7" s="104"/>
      <c r="ATX7" s="104"/>
      <c r="ATY7" s="104"/>
      <c r="ATZ7" s="104"/>
      <c r="AUA7" s="104"/>
      <c r="AUB7" s="104"/>
      <c r="AUC7" s="104"/>
      <c r="AUD7" s="104"/>
      <c r="AUE7" s="104"/>
      <c r="AUF7" s="104"/>
      <c r="AUG7" s="104"/>
      <c r="AUH7" s="104"/>
      <c r="AUI7" s="104"/>
      <c r="AUJ7" s="104"/>
      <c r="AUK7" s="104"/>
      <c r="AUL7" s="104"/>
      <c r="AUM7" s="104"/>
      <c r="AUN7" s="104"/>
      <c r="AUO7" s="104"/>
      <c r="AUP7" s="104"/>
      <c r="AUQ7" s="104"/>
      <c r="AUR7" s="104"/>
      <c r="AUS7" s="104"/>
      <c r="AUT7" s="104"/>
      <c r="AUU7" s="104"/>
      <c r="AUV7" s="104"/>
      <c r="AUW7" s="104"/>
      <c r="AUX7" s="104"/>
      <c r="AUY7" s="104"/>
      <c r="AUZ7" s="104"/>
      <c r="AVA7" s="104"/>
      <c r="AVB7" s="104"/>
      <c r="AVC7" s="104"/>
      <c r="AVD7" s="104"/>
      <c r="AVE7" s="104"/>
      <c r="AVF7" s="104"/>
      <c r="AVG7" s="104"/>
      <c r="AVH7" s="104"/>
      <c r="AVI7" s="104"/>
      <c r="AVJ7" s="104"/>
      <c r="AVK7" s="104"/>
      <c r="AVL7" s="104"/>
      <c r="AVM7" s="104"/>
      <c r="AVN7" s="104"/>
      <c r="AVO7" s="104"/>
      <c r="AVP7" s="104"/>
      <c r="AVQ7" s="104"/>
      <c r="AVR7" s="104"/>
      <c r="AVS7" s="104"/>
      <c r="AVT7" s="104"/>
      <c r="AVU7" s="104"/>
      <c r="AVV7" s="104"/>
      <c r="AVW7" s="104"/>
      <c r="AVX7" s="104"/>
      <c r="AVY7" s="104"/>
      <c r="AVZ7" s="104"/>
      <c r="AWA7" s="104"/>
      <c r="AWB7" s="104"/>
      <c r="AWC7" s="104"/>
      <c r="AWD7" s="104"/>
      <c r="AWE7" s="104"/>
      <c r="AWF7" s="104"/>
      <c r="AWG7" s="104"/>
      <c r="AWH7" s="104"/>
      <c r="AWI7" s="104"/>
      <c r="AWJ7" s="104"/>
      <c r="AWK7" s="104"/>
      <c r="AWL7" s="104"/>
      <c r="AWM7" s="104"/>
      <c r="AWN7" s="104"/>
      <c r="AWO7" s="104"/>
      <c r="AWP7" s="104"/>
      <c r="AWQ7" s="104"/>
      <c r="AWR7" s="104"/>
      <c r="AWS7" s="104"/>
      <c r="AWT7" s="104"/>
      <c r="AWU7" s="104"/>
      <c r="AWV7" s="104"/>
      <c r="AWW7" s="104"/>
      <c r="AWX7" s="104"/>
      <c r="AWY7" s="104"/>
      <c r="AWZ7" s="104"/>
      <c r="AXA7" s="104"/>
      <c r="AXB7" s="104"/>
      <c r="AXC7" s="104"/>
      <c r="AXD7" s="104"/>
      <c r="AXE7" s="104"/>
      <c r="AXF7" s="104"/>
      <c r="AXG7" s="104"/>
      <c r="AXH7" s="104"/>
      <c r="AXI7" s="104"/>
      <c r="AXJ7" s="104"/>
      <c r="AXK7" s="104"/>
      <c r="AXL7" s="104"/>
      <c r="AXM7" s="104"/>
      <c r="AXN7" s="104"/>
      <c r="AXO7" s="104"/>
      <c r="AXP7" s="104"/>
      <c r="AXQ7" s="104"/>
      <c r="AXR7" s="104"/>
      <c r="AXS7" s="104"/>
      <c r="AXT7" s="104"/>
      <c r="AXU7" s="104"/>
      <c r="AXV7" s="104"/>
      <c r="AXW7" s="104"/>
      <c r="AXX7" s="104"/>
      <c r="AXY7" s="104"/>
      <c r="AXZ7" s="104"/>
      <c r="AYA7" s="104"/>
      <c r="AYB7" s="104"/>
      <c r="AYC7" s="104"/>
      <c r="AYD7" s="104"/>
      <c r="AYE7" s="104"/>
      <c r="AYF7" s="104"/>
      <c r="AYG7" s="104"/>
      <c r="AYH7" s="104"/>
      <c r="AYI7" s="104"/>
      <c r="AYJ7" s="104"/>
      <c r="AYK7" s="104"/>
      <c r="AYL7" s="104"/>
      <c r="AYM7" s="104"/>
      <c r="AYN7" s="104"/>
      <c r="AYO7" s="104"/>
      <c r="AYP7" s="104"/>
      <c r="AYQ7" s="104"/>
      <c r="AYR7" s="104"/>
      <c r="AYS7" s="104"/>
      <c r="AYT7" s="104"/>
      <c r="AYU7" s="104"/>
      <c r="AYV7" s="104"/>
      <c r="AYW7" s="104"/>
      <c r="AYX7" s="104"/>
      <c r="AYY7" s="104"/>
      <c r="AYZ7" s="104"/>
      <c r="AZA7" s="104"/>
      <c r="AZB7" s="104"/>
      <c r="AZC7" s="104"/>
      <c r="AZD7" s="104"/>
      <c r="AZE7" s="104"/>
      <c r="AZF7" s="104"/>
      <c r="AZG7" s="104"/>
      <c r="AZH7" s="104"/>
      <c r="AZI7" s="104"/>
      <c r="AZJ7" s="104"/>
      <c r="AZK7" s="104"/>
      <c r="AZL7" s="104"/>
      <c r="AZM7" s="104"/>
      <c r="AZN7" s="104"/>
      <c r="AZO7" s="104"/>
      <c r="AZP7" s="104"/>
      <c r="AZQ7" s="104"/>
      <c r="AZR7" s="104"/>
      <c r="AZS7" s="104"/>
      <c r="AZT7" s="104"/>
      <c r="AZU7" s="104"/>
      <c r="AZV7" s="104"/>
      <c r="AZW7" s="104"/>
      <c r="AZX7" s="104"/>
      <c r="AZY7" s="104"/>
      <c r="AZZ7" s="104"/>
      <c r="BAA7" s="104"/>
      <c r="BAB7" s="104"/>
      <c r="BAC7" s="104"/>
      <c r="BAD7" s="104"/>
      <c r="BAE7" s="104"/>
      <c r="BAF7" s="104"/>
      <c r="BAG7" s="104"/>
      <c r="BAH7" s="104"/>
      <c r="BAI7" s="104"/>
      <c r="BAJ7" s="104"/>
      <c r="BAK7" s="104"/>
      <c r="BAL7" s="104"/>
      <c r="BAM7" s="104"/>
      <c r="BAN7" s="104"/>
      <c r="BAO7" s="104"/>
      <c r="BAP7" s="104"/>
      <c r="BAQ7" s="104"/>
      <c r="BAR7" s="104"/>
      <c r="BAS7" s="104"/>
      <c r="BAT7" s="104"/>
      <c r="BAU7" s="104"/>
      <c r="BAV7" s="104"/>
      <c r="BAW7" s="104"/>
      <c r="BAX7" s="104"/>
      <c r="BAY7" s="104"/>
      <c r="BAZ7" s="104"/>
      <c r="BBA7" s="104"/>
      <c r="BBB7" s="104"/>
      <c r="BBC7" s="104"/>
      <c r="BBD7" s="104"/>
      <c r="BBE7" s="104"/>
      <c r="BBF7" s="104"/>
      <c r="BBG7" s="104"/>
      <c r="BBH7" s="104"/>
      <c r="BBI7" s="104"/>
      <c r="BBJ7" s="104"/>
      <c r="BBK7" s="104"/>
      <c r="BBL7" s="104"/>
      <c r="BBM7" s="104"/>
      <c r="BBN7" s="104"/>
      <c r="BBO7" s="104"/>
      <c r="BBP7" s="104"/>
      <c r="BBQ7" s="104"/>
      <c r="BBR7" s="104"/>
      <c r="BBS7" s="104"/>
      <c r="BBT7" s="104"/>
      <c r="BBU7" s="104"/>
      <c r="BBV7" s="104"/>
      <c r="BBW7" s="104"/>
      <c r="BBX7" s="104"/>
      <c r="BBY7" s="104"/>
      <c r="BBZ7" s="104"/>
      <c r="BCA7" s="104"/>
      <c r="BCB7" s="104"/>
      <c r="BCC7" s="104"/>
      <c r="BCD7" s="104"/>
      <c r="BCE7" s="104"/>
      <c r="BCF7" s="104"/>
      <c r="BCG7" s="104"/>
      <c r="BCH7" s="104"/>
      <c r="BCI7" s="104"/>
      <c r="BCJ7" s="104"/>
      <c r="BCK7" s="104"/>
      <c r="BCL7" s="104"/>
      <c r="BCM7" s="104"/>
      <c r="BCN7" s="104"/>
      <c r="BCO7" s="104"/>
      <c r="BCP7" s="104"/>
      <c r="BCQ7" s="104"/>
      <c r="BCR7" s="104"/>
      <c r="BCS7" s="104"/>
      <c r="BCT7" s="104"/>
      <c r="BCU7" s="104"/>
      <c r="BCV7" s="104"/>
      <c r="BCW7" s="104"/>
      <c r="BCX7" s="104"/>
      <c r="BCY7" s="104"/>
      <c r="BCZ7" s="104"/>
      <c r="BDA7" s="104"/>
      <c r="BDB7" s="104"/>
      <c r="BDC7" s="104"/>
      <c r="BDD7" s="104"/>
      <c r="BDE7" s="104"/>
      <c r="BDF7" s="104"/>
      <c r="BDG7" s="104"/>
      <c r="BDH7" s="104"/>
      <c r="BDI7" s="104"/>
      <c r="BDJ7" s="104"/>
      <c r="BDK7" s="104"/>
      <c r="BDL7" s="104"/>
      <c r="BDM7" s="104"/>
      <c r="BDN7" s="104"/>
      <c r="BDO7" s="104"/>
      <c r="BDP7" s="104"/>
      <c r="BDQ7" s="104"/>
      <c r="BDR7" s="104"/>
      <c r="BDS7" s="104"/>
      <c r="BDT7" s="104"/>
      <c r="BDU7" s="104"/>
      <c r="BDV7" s="104"/>
      <c r="BDW7" s="104"/>
      <c r="BDX7" s="104"/>
      <c r="BDY7" s="104"/>
      <c r="BDZ7" s="104"/>
      <c r="BEA7" s="104"/>
      <c r="BEB7" s="104"/>
      <c r="BEC7" s="104"/>
      <c r="BED7" s="104"/>
      <c r="BEE7" s="104"/>
      <c r="BEF7" s="104"/>
      <c r="BEG7" s="104"/>
      <c r="BEH7" s="104"/>
      <c r="BEI7" s="104"/>
      <c r="BEJ7" s="104"/>
      <c r="BEK7" s="104"/>
      <c r="BEL7" s="104"/>
      <c r="BEM7" s="104"/>
      <c r="BEN7" s="104"/>
      <c r="BEO7" s="104"/>
      <c r="BEP7" s="104"/>
      <c r="BEQ7" s="104"/>
      <c r="BER7" s="104"/>
      <c r="BES7" s="104"/>
      <c r="BET7" s="104"/>
      <c r="BEU7" s="104"/>
      <c r="BEV7" s="104"/>
      <c r="BEW7" s="104"/>
      <c r="BEX7" s="104"/>
      <c r="BEY7" s="104"/>
      <c r="BEZ7" s="104"/>
      <c r="BFA7" s="104"/>
      <c r="BFB7" s="104"/>
      <c r="BFC7" s="104"/>
      <c r="BFD7" s="104"/>
      <c r="BFE7" s="104"/>
      <c r="BFF7" s="104"/>
      <c r="BFG7" s="104"/>
      <c r="BFH7" s="104"/>
      <c r="BFI7" s="104"/>
      <c r="BFJ7" s="104"/>
      <c r="BFK7" s="104"/>
      <c r="BFL7" s="104"/>
      <c r="BFM7" s="104"/>
      <c r="BFN7" s="104"/>
      <c r="BFO7" s="104"/>
      <c r="BFP7" s="104"/>
      <c r="BFQ7" s="104"/>
      <c r="BFR7" s="104"/>
      <c r="BFS7" s="104"/>
      <c r="BFT7" s="104"/>
      <c r="BFU7" s="104"/>
      <c r="BFV7" s="104"/>
      <c r="BFW7" s="104"/>
      <c r="BFX7" s="104"/>
      <c r="BFY7" s="104"/>
      <c r="BFZ7" s="104"/>
      <c r="BGA7" s="104"/>
      <c r="BGB7" s="104"/>
      <c r="BGC7" s="104"/>
      <c r="BGD7" s="104"/>
      <c r="BGE7" s="104"/>
      <c r="BGF7" s="104"/>
      <c r="BGG7" s="104"/>
      <c r="BGH7" s="104"/>
      <c r="BGI7" s="104"/>
      <c r="BGJ7" s="104"/>
      <c r="BGK7" s="104"/>
      <c r="BGL7" s="104"/>
      <c r="BGM7" s="104"/>
      <c r="BGN7" s="104"/>
      <c r="BGO7" s="104"/>
      <c r="BGP7" s="104"/>
      <c r="BGQ7" s="104"/>
      <c r="BGR7" s="104"/>
      <c r="BGS7" s="104"/>
      <c r="BGT7" s="104"/>
      <c r="BGU7" s="104"/>
      <c r="BGV7" s="104"/>
      <c r="BGW7" s="104"/>
      <c r="BGX7" s="104"/>
      <c r="BGY7" s="104"/>
      <c r="BGZ7" s="104"/>
      <c r="BHA7" s="104"/>
      <c r="BHB7" s="104"/>
      <c r="BHC7" s="104"/>
      <c r="BHD7" s="104"/>
      <c r="BHE7" s="104"/>
      <c r="BHF7" s="104"/>
      <c r="BHG7" s="104"/>
      <c r="BHH7" s="104"/>
      <c r="BHI7" s="104"/>
      <c r="BHJ7" s="104"/>
      <c r="BHK7" s="104"/>
      <c r="BHL7" s="104"/>
      <c r="BHM7" s="104"/>
      <c r="BHN7" s="104"/>
      <c r="BHO7" s="104"/>
      <c r="BHP7" s="104"/>
      <c r="BHQ7" s="104"/>
      <c r="BHR7" s="104"/>
      <c r="BHS7" s="104"/>
      <c r="BHT7" s="104"/>
      <c r="BHU7" s="104"/>
      <c r="BHV7" s="104"/>
      <c r="BHW7" s="104"/>
      <c r="BHX7" s="104"/>
      <c r="BHY7" s="104"/>
      <c r="BHZ7" s="104"/>
      <c r="BIA7" s="104"/>
      <c r="BIB7" s="104"/>
      <c r="BIC7" s="104"/>
      <c r="BID7" s="104"/>
      <c r="BIE7" s="104"/>
      <c r="BIF7" s="104"/>
      <c r="BIG7" s="104"/>
      <c r="BIH7" s="104"/>
      <c r="BII7" s="104"/>
      <c r="BIJ7" s="104"/>
      <c r="BIK7" s="104"/>
      <c r="BIL7" s="104"/>
      <c r="BIM7" s="104"/>
      <c r="BIN7" s="104"/>
      <c r="BIO7" s="104"/>
      <c r="BIP7" s="104"/>
      <c r="BIQ7" s="104"/>
      <c r="BIR7" s="104"/>
      <c r="BIS7" s="104"/>
      <c r="BIT7" s="104"/>
      <c r="BIU7" s="104"/>
      <c r="BIV7" s="104"/>
      <c r="BIW7" s="104"/>
      <c r="BIX7" s="104"/>
      <c r="BIY7" s="104"/>
      <c r="BIZ7" s="104"/>
      <c r="BJA7" s="104"/>
      <c r="BJB7" s="104"/>
      <c r="BJC7" s="104"/>
      <c r="BJD7" s="104"/>
      <c r="BJE7" s="104"/>
      <c r="BJF7" s="104"/>
      <c r="BJG7" s="104"/>
      <c r="BJH7" s="104"/>
      <c r="BJI7" s="104"/>
      <c r="BJJ7" s="104"/>
      <c r="BJK7" s="104"/>
      <c r="BJL7" s="104"/>
      <c r="BJM7" s="104"/>
      <c r="BJN7" s="104"/>
      <c r="BJO7" s="104"/>
      <c r="BJP7" s="104"/>
      <c r="BJQ7" s="104"/>
      <c r="BJR7" s="104"/>
      <c r="BJS7" s="104"/>
      <c r="BJT7" s="104"/>
      <c r="BJU7" s="104"/>
      <c r="BJV7" s="104"/>
      <c r="BJW7" s="104"/>
      <c r="BJX7" s="104"/>
      <c r="BJY7" s="104"/>
      <c r="BJZ7" s="104"/>
      <c r="BKA7" s="104"/>
      <c r="BKB7" s="104"/>
      <c r="BKC7" s="104"/>
      <c r="BKD7" s="104"/>
      <c r="BKE7" s="104"/>
      <c r="BKF7" s="104"/>
      <c r="BKG7" s="104"/>
      <c r="BKH7" s="104"/>
      <c r="BKI7" s="104"/>
      <c r="BKJ7" s="104"/>
      <c r="BKK7" s="104"/>
      <c r="BKL7" s="104"/>
      <c r="BKM7" s="104"/>
      <c r="BKN7" s="104"/>
      <c r="BKO7" s="104"/>
      <c r="BKP7" s="104"/>
      <c r="BKQ7" s="104"/>
      <c r="BKR7" s="104"/>
      <c r="BKS7" s="104"/>
      <c r="BKT7" s="104"/>
      <c r="BKU7" s="104"/>
      <c r="BKV7" s="104"/>
      <c r="BKW7" s="104"/>
      <c r="BKX7" s="104"/>
      <c r="BKY7" s="104"/>
      <c r="BKZ7" s="104"/>
      <c r="BLA7" s="104"/>
      <c r="BLB7" s="104"/>
      <c r="BLC7" s="104"/>
      <c r="BLD7" s="104"/>
      <c r="BLE7" s="104"/>
      <c r="BLF7" s="104"/>
      <c r="BLG7" s="104"/>
      <c r="BLH7" s="104"/>
      <c r="BLI7" s="104"/>
      <c r="BLJ7" s="104"/>
      <c r="BLK7" s="104"/>
      <c r="BLL7" s="104"/>
      <c r="BLM7" s="104"/>
      <c r="BLN7" s="104"/>
      <c r="BLO7" s="104"/>
      <c r="BLP7" s="104"/>
      <c r="BLQ7" s="104"/>
      <c r="BLR7" s="104"/>
      <c r="BLS7" s="104"/>
      <c r="BLT7" s="104"/>
      <c r="BLU7" s="104"/>
      <c r="BLV7" s="104"/>
      <c r="BLW7" s="104"/>
      <c r="BLX7" s="104"/>
      <c r="BLY7" s="104"/>
      <c r="BLZ7" s="104"/>
      <c r="BMA7" s="104"/>
      <c r="BMB7" s="104"/>
      <c r="BMC7" s="104"/>
      <c r="BMD7" s="104"/>
      <c r="BME7" s="104"/>
      <c r="BMF7" s="104"/>
      <c r="BMG7" s="104"/>
      <c r="BMH7" s="104"/>
      <c r="BMI7" s="104"/>
      <c r="BMJ7" s="104"/>
      <c r="BMK7" s="104"/>
      <c r="BML7" s="104"/>
      <c r="BMM7" s="104"/>
      <c r="BMN7" s="104"/>
      <c r="BMO7" s="104"/>
      <c r="BMP7" s="104"/>
      <c r="BMQ7" s="104"/>
      <c r="BMR7" s="104"/>
      <c r="BMS7" s="104"/>
      <c r="BMT7" s="104"/>
      <c r="BMU7" s="104"/>
      <c r="BMV7" s="104"/>
      <c r="BMW7" s="104"/>
      <c r="BMX7" s="104"/>
      <c r="BMY7" s="104"/>
      <c r="BMZ7" s="104"/>
      <c r="BNA7" s="104"/>
      <c r="BNB7" s="104"/>
      <c r="BNC7" s="104"/>
      <c r="BND7" s="104"/>
      <c r="BNE7" s="104"/>
      <c r="BNF7" s="104"/>
      <c r="BNG7" s="104"/>
      <c r="BNH7" s="104"/>
      <c r="BNI7" s="104"/>
      <c r="BNJ7" s="104"/>
      <c r="BNK7" s="104"/>
      <c r="BNL7" s="104"/>
      <c r="BNM7" s="104"/>
      <c r="BNN7" s="104"/>
      <c r="BNO7" s="104"/>
      <c r="BNP7" s="104"/>
      <c r="BNQ7" s="104"/>
      <c r="BNR7" s="104"/>
      <c r="BNS7" s="104"/>
      <c r="BNT7" s="104"/>
      <c r="BNU7" s="104"/>
      <c r="BNV7" s="104"/>
      <c r="BNW7" s="104"/>
      <c r="BNX7" s="104"/>
      <c r="BNY7" s="104"/>
      <c r="BNZ7" s="104"/>
      <c r="BOA7" s="104"/>
      <c r="BOB7" s="104"/>
      <c r="BOC7" s="104"/>
      <c r="BOD7" s="104"/>
      <c r="BOE7" s="104"/>
      <c r="BOF7" s="104"/>
      <c r="BOG7" s="104"/>
      <c r="BOH7" s="104"/>
      <c r="BOI7" s="104"/>
      <c r="BOJ7" s="104"/>
      <c r="BOK7" s="104"/>
      <c r="BOL7" s="104"/>
      <c r="BOM7" s="104"/>
      <c r="BON7" s="104"/>
      <c r="BOO7" s="104"/>
      <c r="BOP7" s="104"/>
      <c r="BOQ7" s="104"/>
      <c r="BOR7" s="104"/>
      <c r="BOS7" s="104"/>
      <c r="BOT7" s="104"/>
      <c r="BOU7" s="104"/>
      <c r="BOV7" s="104"/>
      <c r="BOW7" s="104"/>
      <c r="BOX7" s="104"/>
      <c r="BOY7" s="104"/>
      <c r="BOZ7" s="104"/>
      <c r="BPA7" s="104"/>
      <c r="BPB7" s="104"/>
      <c r="BPC7" s="104"/>
      <c r="BPD7" s="104"/>
      <c r="BPE7" s="104"/>
      <c r="BPF7" s="104"/>
      <c r="BPG7" s="104"/>
      <c r="BPH7" s="104"/>
      <c r="BPI7" s="104"/>
      <c r="BPJ7" s="104"/>
      <c r="BPK7" s="104"/>
      <c r="BPL7" s="104"/>
      <c r="BPM7" s="104"/>
      <c r="BPN7" s="104"/>
      <c r="BPO7" s="104"/>
      <c r="BPP7" s="104"/>
      <c r="BPQ7" s="104"/>
      <c r="BPR7" s="104"/>
      <c r="BPS7" s="104"/>
      <c r="BPT7" s="104"/>
      <c r="BPU7" s="104"/>
      <c r="BPV7" s="104"/>
      <c r="BPW7" s="104"/>
      <c r="BPX7" s="104"/>
      <c r="BPY7" s="104"/>
      <c r="BPZ7" s="104"/>
      <c r="BQA7" s="104"/>
      <c r="BQB7" s="104"/>
      <c r="BQC7" s="104"/>
      <c r="BQD7" s="104"/>
      <c r="BQE7" s="104"/>
      <c r="BQF7" s="104"/>
      <c r="BQG7" s="104"/>
      <c r="BQH7" s="104"/>
      <c r="BQI7" s="104"/>
      <c r="BQJ7" s="104"/>
      <c r="BQK7" s="104"/>
      <c r="BQL7" s="104"/>
      <c r="BQM7" s="104"/>
      <c r="BQN7" s="104"/>
      <c r="BQO7" s="104"/>
      <c r="BQP7" s="104"/>
      <c r="BQQ7" s="104"/>
      <c r="BQR7" s="104"/>
      <c r="BQS7" s="104"/>
      <c r="BQT7" s="104"/>
      <c r="BQU7" s="104"/>
      <c r="BQV7" s="104"/>
      <c r="BQW7" s="104"/>
      <c r="BQX7" s="104"/>
      <c r="BQY7" s="104"/>
      <c r="BQZ7" s="104"/>
      <c r="BRA7" s="104"/>
      <c r="BRB7" s="104"/>
      <c r="BRC7" s="104"/>
      <c r="BRD7" s="104"/>
      <c r="BRE7" s="104"/>
      <c r="BRF7" s="104"/>
      <c r="BRG7" s="104"/>
      <c r="BRH7" s="104"/>
      <c r="BRI7" s="104"/>
      <c r="BRJ7" s="104"/>
      <c r="BRK7" s="104"/>
      <c r="BRL7" s="104"/>
      <c r="BRM7" s="104"/>
      <c r="BRN7" s="104"/>
      <c r="BRO7" s="104"/>
      <c r="BRP7" s="104"/>
      <c r="BRQ7" s="104"/>
      <c r="BRR7" s="104"/>
      <c r="BRS7" s="104"/>
      <c r="BRT7" s="104"/>
      <c r="BRU7" s="104"/>
      <c r="BRV7" s="104"/>
      <c r="BRW7" s="104"/>
      <c r="BRX7" s="104"/>
      <c r="BRY7" s="104"/>
      <c r="BRZ7" s="104"/>
      <c r="BSA7" s="104"/>
      <c r="BSB7" s="104"/>
      <c r="BSC7" s="104"/>
      <c r="BSD7" s="104"/>
      <c r="BSE7" s="104"/>
      <c r="BSF7" s="104"/>
      <c r="BSG7" s="104"/>
      <c r="BSH7" s="104"/>
      <c r="BSI7" s="104"/>
      <c r="BSJ7" s="104"/>
      <c r="BSK7" s="104"/>
      <c r="BSL7" s="104"/>
      <c r="BSM7" s="104"/>
      <c r="BSN7" s="104"/>
      <c r="BSO7" s="104"/>
      <c r="BSP7" s="104"/>
      <c r="BSQ7" s="104"/>
      <c r="BSR7" s="104"/>
      <c r="BSS7" s="104"/>
      <c r="BST7" s="104"/>
      <c r="BSU7" s="104"/>
      <c r="BSV7" s="104"/>
      <c r="BSW7" s="104"/>
      <c r="BSX7" s="104"/>
      <c r="BSY7" s="104"/>
      <c r="BSZ7" s="104"/>
      <c r="BTA7" s="104"/>
      <c r="BTB7" s="104"/>
      <c r="BTC7" s="104"/>
      <c r="BTD7" s="104"/>
      <c r="BTE7" s="104"/>
      <c r="BTF7" s="104"/>
      <c r="BTG7" s="104"/>
      <c r="BTH7" s="104"/>
      <c r="BTI7" s="104"/>
      <c r="BTJ7" s="104"/>
      <c r="BTK7" s="104"/>
      <c r="BTL7" s="104"/>
      <c r="BTM7" s="104"/>
      <c r="BTN7" s="104"/>
      <c r="BTO7" s="104"/>
      <c r="BTP7" s="104"/>
      <c r="BTQ7" s="104"/>
      <c r="BTR7" s="104"/>
      <c r="BTS7" s="104"/>
      <c r="BTT7" s="104"/>
      <c r="BTU7" s="104"/>
      <c r="BTV7" s="104"/>
      <c r="BTW7" s="104"/>
      <c r="BTX7" s="104"/>
      <c r="BTY7" s="104"/>
      <c r="BTZ7" s="104"/>
      <c r="BUA7" s="104"/>
      <c r="BUB7" s="104"/>
      <c r="BUC7" s="104"/>
      <c r="BUD7" s="104"/>
      <c r="BUE7" s="104"/>
      <c r="BUF7" s="104"/>
      <c r="BUG7" s="104"/>
      <c r="BUH7" s="104"/>
      <c r="BUI7" s="104"/>
      <c r="BUJ7" s="104"/>
      <c r="BUK7" s="104"/>
      <c r="BUL7" s="104"/>
      <c r="BUM7" s="104"/>
      <c r="BUN7" s="104"/>
      <c r="BUO7" s="104"/>
      <c r="BUP7" s="104"/>
      <c r="BUQ7" s="104"/>
      <c r="BUR7" s="104"/>
      <c r="BUS7" s="104"/>
      <c r="BUT7" s="104"/>
      <c r="BUU7" s="104"/>
      <c r="BUV7" s="104"/>
      <c r="BUW7" s="104"/>
      <c r="BUX7" s="104"/>
      <c r="BUY7" s="104"/>
      <c r="BUZ7" s="104"/>
      <c r="BVA7" s="104"/>
      <c r="BVB7" s="104"/>
      <c r="BVC7" s="104"/>
      <c r="BVD7" s="104"/>
      <c r="BVE7" s="104"/>
      <c r="BVF7" s="104"/>
      <c r="BVG7" s="104"/>
      <c r="BVH7" s="104"/>
      <c r="BVI7" s="104"/>
      <c r="BVJ7" s="104"/>
      <c r="BVK7" s="104"/>
      <c r="BVL7" s="104"/>
      <c r="BVM7" s="104"/>
      <c r="BVN7" s="104"/>
      <c r="BVO7" s="104"/>
      <c r="BVP7" s="104"/>
      <c r="BVQ7" s="104"/>
      <c r="BVR7" s="104"/>
      <c r="BVS7" s="104"/>
      <c r="BVT7" s="104"/>
      <c r="BVU7" s="104"/>
      <c r="BVV7" s="104"/>
      <c r="BVW7" s="104"/>
      <c r="BVX7" s="104"/>
      <c r="BVY7" s="104"/>
      <c r="BVZ7" s="104"/>
      <c r="BWA7" s="104"/>
      <c r="BWB7" s="104"/>
      <c r="BWC7" s="104"/>
      <c r="BWD7" s="104"/>
      <c r="BWE7" s="104"/>
      <c r="BWF7" s="104"/>
      <c r="BWG7" s="104"/>
      <c r="BWH7" s="104"/>
      <c r="BWI7" s="104"/>
      <c r="BWJ7" s="104"/>
      <c r="BWK7" s="104"/>
      <c r="BWL7" s="104"/>
      <c r="BWM7" s="104"/>
      <c r="BWN7" s="104"/>
      <c r="BWO7" s="104"/>
      <c r="BWP7" s="104"/>
      <c r="BWQ7" s="104"/>
      <c r="BWR7" s="104"/>
      <c r="BWS7" s="104"/>
      <c r="BWT7" s="104"/>
      <c r="BWU7" s="104"/>
      <c r="BWV7" s="104"/>
      <c r="BWW7" s="104"/>
      <c r="BWX7" s="104"/>
      <c r="BWY7" s="104"/>
      <c r="BWZ7" s="104"/>
      <c r="BXA7" s="104"/>
      <c r="BXB7" s="104"/>
      <c r="BXC7" s="104"/>
      <c r="BXD7" s="104"/>
      <c r="BXE7" s="104"/>
      <c r="BXF7" s="104"/>
      <c r="BXG7" s="104"/>
      <c r="BXH7" s="104"/>
      <c r="BXI7" s="104"/>
      <c r="BXJ7" s="104"/>
      <c r="BXK7" s="104"/>
      <c r="BXL7" s="104"/>
      <c r="BXM7" s="104"/>
      <c r="BXN7" s="104"/>
      <c r="BXO7" s="104"/>
      <c r="BXP7" s="104"/>
      <c r="BXQ7" s="104"/>
      <c r="BXR7" s="104"/>
      <c r="BXS7" s="104"/>
      <c r="BXT7" s="104"/>
      <c r="BXU7" s="104"/>
      <c r="BXV7" s="104"/>
      <c r="BXW7" s="104"/>
      <c r="BXX7" s="104"/>
      <c r="BXY7" s="104"/>
      <c r="BXZ7" s="104"/>
      <c r="BYA7" s="104"/>
      <c r="BYB7" s="104"/>
      <c r="BYC7" s="104"/>
      <c r="BYD7" s="104"/>
      <c r="BYE7" s="104"/>
      <c r="BYF7" s="104"/>
      <c r="BYG7" s="104"/>
      <c r="BYH7" s="104"/>
      <c r="BYI7" s="104"/>
      <c r="BYJ7" s="104"/>
      <c r="BYK7" s="104"/>
      <c r="BYL7" s="104"/>
      <c r="BYM7" s="104"/>
      <c r="BYN7" s="104"/>
      <c r="BYO7" s="104"/>
      <c r="BYP7" s="104"/>
      <c r="BYQ7" s="104"/>
      <c r="BYR7" s="104"/>
      <c r="BYS7" s="104"/>
      <c r="BYT7" s="104"/>
      <c r="BYU7" s="104"/>
      <c r="BYV7" s="104"/>
      <c r="BYW7" s="104"/>
      <c r="BYX7" s="104"/>
      <c r="BYY7" s="104"/>
      <c r="BYZ7" s="104"/>
      <c r="BZA7" s="104"/>
      <c r="BZB7" s="104"/>
      <c r="BZC7" s="104"/>
      <c r="BZD7" s="104"/>
      <c r="BZE7" s="104"/>
      <c r="BZF7" s="104"/>
      <c r="BZG7" s="104"/>
      <c r="BZH7" s="104"/>
      <c r="BZI7" s="104"/>
      <c r="BZJ7" s="104"/>
      <c r="BZK7" s="104"/>
      <c r="BZL7" s="104"/>
      <c r="BZM7" s="104"/>
      <c r="BZN7" s="104"/>
      <c r="BZO7" s="104"/>
      <c r="BZP7" s="104"/>
      <c r="BZQ7" s="104"/>
      <c r="BZR7" s="104"/>
      <c r="BZS7" s="104"/>
      <c r="BZT7" s="104"/>
      <c r="BZU7" s="104"/>
      <c r="BZV7" s="104"/>
      <c r="BZW7" s="104"/>
      <c r="BZX7" s="104"/>
      <c r="BZY7" s="104"/>
      <c r="BZZ7" s="104"/>
      <c r="CAA7" s="104"/>
      <c r="CAB7" s="104"/>
      <c r="CAC7" s="104"/>
      <c r="CAD7" s="104"/>
      <c r="CAE7" s="104"/>
      <c r="CAF7" s="104"/>
      <c r="CAG7" s="104"/>
      <c r="CAH7" s="104"/>
      <c r="CAI7" s="104"/>
      <c r="CAJ7" s="104"/>
      <c r="CAK7" s="104"/>
      <c r="CAL7" s="104"/>
      <c r="CAM7" s="104"/>
      <c r="CAN7" s="104"/>
      <c r="CAO7" s="104"/>
      <c r="CAP7" s="104"/>
      <c r="CAQ7" s="104"/>
      <c r="CAR7" s="104"/>
      <c r="CAS7" s="104"/>
      <c r="CAT7" s="104"/>
      <c r="CAU7" s="104"/>
      <c r="CAV7" s="104"/>
      <c r="CAW7" s="104"/>
      <c r="CAX7" s="104"/>
      <c r="CAY7" s="104"/>
      <c r="CAZ7" s="104"/>
      <c r="CBA7" s="104"/>
      <c r="CBB7" s="104"/>
      <c r="CBC7" s="104"/>
      <c r="CBD7" s="104"/>
      <c r="CBE7" s="104"/>
      <c r="CBF7" s="104"/>
      <c r="CBG7" s="104"/>
      <c r="CBH7" s="104"/>
      <c r="CBI7" s="104"/>
      <c r="CBJ7" s="104"/>
      <c r="CBK7" s="104"/>
      <c r="CBL7" s="104"/>
      <c r="CBM7" s="104"/>
      <c r="CBN7" s="104"/>
      <c r="CBO7" s="104"/>
      <c r="CBP7" s="104"/>
      <c r="CBQ7" s="104"/>
      <c r="CBR7" s="104"/>
      <c r="CBS7" s="104"/>
      <c r="CBT7" s="104"/>
      <c r="CBU7" s="104"/>
      <c r="CBV7" s="104"/>
      <c r="CBW7" s="104"/>
      <c r="CBX7" s="104"/>
      <c r="CBY7" s="104"/>
      <c r="CBZ7" s="104"/>
      <c r="CCA7" s="104"/>
      <c r="CCB7" s="104"/>
      <c r="CCC7" s="104"/>
      <c r="CCD7" s="104"/>
      <c r="CCE7" s="104"/>
      <c r="CCF7" s="104"/>
      <c r="CCG7" s="104"/>
      <c r="CCH7" s="104"/>
      <c r="CCI7" s="104"/>
      <c r="CCJ7" s="104"/>
      <c r="CCK7" s="104"/>
      <c r="CCL7" s="104"/>
      <c r="CCM7" s="104"/>
      <c r="CCN7" s="104"/>
      <c r="CCO7" s="104"/>
      <c r="CCP7" s="104"/>
      <c r="CCQ7" s="104"/>
      <c r="CCR7" s="104"/>
      <c r="CCS7" s="104"/>
      <c r="CCT7" s="104"/>
      <c r="CCU7" s="104"/>
      <c r="CCV7" s="104"/>
      <c r="CCW7" s="104"/>
      <c r="CCX7" s="104"/>
      <c r="CCY7" s="104"/>
      <c r="CCZ7" s="104"/>
      <c r="CDA7" s="104"/>
      <c r="CDB7" s="104"/>
      <c r="CDC7" s="104"/>
      <c r="CDD7" s="104"/>
      <c r="CDE7" s="104"/>
      <c r="CDF7" s="104"/>
      <c r="CDG7" s="104"/>
      <c r="CDH7" s="104"/>
      <c r="CDI7" s="104"/>
      <c r="CDJ7" s="104"/>
      <c r="CDK7" s="104"/>
      <c r="CDL7" s="104"/>
      <c r="CDM7" s="104"/>
      <c r="CDN7" s="104"/>
      <c r="CDO7" s="104"/>
      <c r="CDP7" s="104"/>
      <c r="CDQ7" s="104"/>
      <c r="CDR7" s="104"/>
      <c r="CDS7" s="104"/>
      <c r="CDT7" s="104"/>
      <c r="CDU7" s="104"/>
      <c r="CDV7" s="104"/>
      <c r="CDW7" s="104"/>
      <c r="CDX7" s="104"/>
      <c r="CDY7" s="104"/>
      <c r="CDZ7" s="104"/>
      <c r="CEA7" s="104"/>
      <c r="CEB7" s="104"/>
      <c r="CEC7" s="104"/>
      <c r="CED7" s="104"/>
      <c r="CEE7" s="104"/>
      <c r="CEF7" s="104"/>
      <c r="CEG7" s="104"/>
      <c r="CEH7" s="104"/>
      <c r="CEI7" s="104"/>
      <c r="CEJ7" s="104"/>
      <c r="CEK7" s="104"/>
      <c r="CEL7" s="104"/>
      <c r="CEM7" s="104"/>
      <c r="CEN7" s="104"/>
      <c r="CEO7" s="104"/>
      <c r="CEP7" s="104"/>
      <c r="CEQ7" s="104"/>
      <c r="CER7" s="104"/>
      <c r="CES7" s="104"/>
      <c r="CET7" s="104"/>
      <c r="CEU7" s="104"/>
      <c r="CEV7" s="104"/>
      <c r="CEW7" s="104"/>
      <c r="CEX7" s="104"/>
      <c r="CEY7" s="104"/>
      <c r="CEZ7" s="104"/>
      <c r="CFA7" s="104"/>
      <c r="CFB7" s="104"/>
      <c r="CFC7" s="104"/>
      <c r="CFD7" s="104"/>
      <c r="CFE7" s="104"/>
      <c r="CFF7" s="104"/>
      <c r="CFG7" s="104"/>
      <c r="CFH7" s="104"/>
      <c r="CFI7" s="104"/>
      <c r="CFJ7" s="104"/>
      <c r="CFK7" s="104"/>
      <c r="CFL7" s="104"/>
      <c r="CFM7" s="104"/>
      <c r="CFN7" s="104"/>
      <c r="CFO7" s="104"/>
      <c r="CFP7" s="104"/>
      <c r="CFQ7" s="104"/>
      <c r="CFR7" s="104"/>
      <c r="CFS7" s="104"/>
      <c r="CFT7" s="104"/>
      <c r="CFU7" s="104"/>
      <c r="CFV7" s="104"/>
      <c r="CFW7" s="104"/>
      <c r="CFX7" s="104"/>
      <c r="CFY7" s="104"/>
      <c r="CFZ7" s="104"/>
      <c r="CGA7" s="104"/>
      <c r="CGB7" s="104"/>
      <c r="CGC7" s="104"/>
      <c r="CGD7" s="104"/>
      <c r="CGE7" s="104"/>
      <c r="CGF7" s="104"/>
      <c r="CGG7" s="104"/>
      <c r="CGH7" s="104"/>
      <c r="CGI7" s="104"/>
      <c r="CGJ7" s="104"/>
      <c r="CGK7" s="104"/>
      <c r="CGL7" s="104"/>
      <c r="CGM7" s="104"/>
      <c r="CGN7" s="104"/>
      <c r="CGO7" s="104"/>
      <c r="CGP7" s="104"/>
      <c r="CGQ7" s="104"/>
      <c r="CGR7" s="104"/>
      <c r="CGS7" s="104"/>
      <c r="CGT7" s="104"/>
      <c r="CGU7" s="104"/>
      <c r="CGV7" s="104"/>
      <c r="CGW7" s="104"/>
      <c r="CGX7" s="104"/>
      <c r="CGY7" s="104"/>
      <c r="CGZ7" s="104"/>
      <c r="CHA7" s="104"/>
      <c r="CHB7" s="104"/>
      <c r="CHC7" s="104"/>
      <c r="CHD7" s="104"/>
      <c r="CHE7" s="104"/>
      <c r="CHF7" s="104"/>
      <c r="CHG7" s="104"/>
      <c r="CHH7" s="104"/>
      <c r="CHI7" s="104"/>
      <c r="CHJ7" s="104"/>
      <c r="CHK7" s="104"/>
      <c r="CHL7" s="104"/>
      <c r="CHM7" s="104"/>
      <c r="CHN7" s="104"/>
      <c r="CHO7" s="104"/>
      <c r="CHP7" s="104"/>
      <c r="CHQ7" s="104"/>
      <c r="CHR7" s="104"/>
      <c r="CHS7" s="104"/>
      <c r="CHT7" s="104"/>
      <c r="CHU7" s="104"/>
      <c r="CHV7" s="104"/>
      <c r="CHW7" s="104"/>
      <c r="CHX7" s="104"/>
      <c r="CHY7" s="104"/>
      <c r="CHZ7" s="104"/>
      <c r="CIA7" s="104"/>
      <c r="CIB7" s="104"/>
      <c r="CIC7" s="104"/>
      <c r="CID7" s="104"/>
      <c r="CIE7" s="104"/>
      <c r="CIF7" s="104"/>
      <c r="CIG7" s="104"/>
      <c r="CIH7" s="104"/>
      <c r="CII7" s="104"/>
      <c r="CIJ7" s="104"/>
      <c r="CIK7" s="104"/>
      <c r="CIL7" s="104"/>
      <c r="CIM7" s="104"/>
      <c r="CIN7" s="104"/>
      <c r="CIO7" s="104"/>
      <c r="CIP7" s="104"/>
      <c r="CIQ7" s="104"/>
      <c r="CIR7" s="104"/>
      <c r="CIS7" s="104"/>
      <c r="CIT7" s="104"/>
      <c r="CIU7" s="104"/>
      <c r="CIV7" s="104"/>
      <c r="CIW7" s="104"/>
      <c r="CIX7" s="104"/>
      <c r="CIY7" s="104"/>
      <c r="CIZ7" s="104"/>
      <c r="CJA7" s="104"/>
      <c r="CJB7" s="104"/>
      <c r="CJC7" s="104"/>
      <c r="CJD7" s="104"/>
      <c r="CJE7" s="104"/>
      <c r="CJF7" s="104"/>
      <c r="CJG7" s="104"/>
      <c r="CJH7" s="104"/>
      <c r="CJI7" s="104"/>
      <c r="CJJ7" s="104"/>
      <c r="CJK7" s="104"/>
      <c r="CJL7" s="104"/>
      <c r="CJM7" s="104"/>
      <c r="CJN7" s="104"/>
      <c r="CJO7" s="104"/>
      <c r="CJP7" s="104"/>
      <c r="CJQ7" s="104"/>
      <c r="CJR7" s="104"/>
      <c r="CJS7" s="104"/>
      <c r="CJT7" s="104"/>
      <c r="CJU7" s="104"/>
      <c r="CJV7" s="104"/>
      <c r="CJW7" s="104"/>
      <c r="CJX7" s="104"/>
      <c r="CJY7" s="104"/>
      <c r="CJZ7" s="104"/>
      <c r="CKA7" s="104"/>
      <c r="CKB7" s="104"/>
      <c r="CKC7" s="104"/>
      <c r="CKD7" s="104"/>
      <c r="CKE7" s="104"/>
      <c r="CKF7" s="104"/>
      <c r="CKG7" s="104"/>
      <c r="CKH7" s="104"/>
      <c r="CKI7" s="104"/>
      <c r="CKJ7" s="104"/>
      <c r="CKK7" s="104"/>
      <c r="CKL7" s="104"/>
      <c r="CKM7" s="104"/>
      <c r="CKN7" s="104"/>
      <c r="CKO7" s="104"/>
      <c r="CKP7" s="104"/>
      <c r="CKQ7" s="104"/>
      <c r="CKR7" s="104"/>
      <c r="CKS7" s="104"/>
      <c r="CKT7" s="104"/>
      <c r="CKU7" s="104"/>
      <c r="CKV7" s="104"/>
      <c r="CKW7" s="104"/>
      <c r="CKX7" s="104"/>
      <c r="CKY7" s="104"/>
      <c r="CKZ7" s="104"/>
      <c r="CLA7" s="104"/>
      <c r="CLB7" s="104"/>
      <c r="CLC7" s="104"/>
      <c r="CLD7" s="104"/>
      <c r="CLE7" s="104"/>
      <c r="CLF7" s="104"/>
      <c r="CLG7" s="104"/>
      <c r="CLH7" s="104"/>
      <c r="CLI7" s="104"/>
      <c r="CLJ7" s="104"/>
      <c r="CLK7" s="104"/>
      <c r="CLL7" s="104"/>
      <c r="CLM7" s="104"/>
      <c r="CLN7" s="104"/>
      <c r="CLO7" s="104"/>
      <c r="CLP7" s="104"/>
      <c r="CLQ7" s="104"/>
      <c r="CLR7" s="104"/>
      <c r="CLS7" s="104"/>
      <c r="CLT7" s="104"/>
      <c r="CLU7" s="104"/>
      <c r="CLV7" s="104"/>
      <c r="CLW7" s="104"/>
      <c r="CLX7" s="104"/>
      <c r="CLY7" s="104"/>
      <c r="CLZ7" s="104"/>
      <c r="CMA7" s="104"/>
      <c r="CMB7" s="104"/>
      <c r="CMC7" s="104"/>
      <c r="CMD7" s="104"/>
      <c r="CME7" s="104"/>
      <c r="CMF7" s="104"/>
      <c r="CMG7" s="104"/>
      <c r="CMH7" s="104"/>
      <c r="CMI7" s="104"/>
      <c r="CMJ7" s="104"/>
      <c r="CMK7" s="104"/>
      <c r="CML7" s="104"/>
      <c r="CMM7" s="104"/>
      <c r="CMN7" s="104"/>
      <c r="CMO7" s="104"/>
      <c r="CMP7" s="104"/>
      <c r="CMQ7" s="104"/>
      <c r="CMR7" s="104"/>
      <c r="CMS7" s="104"/>
      <c r="CMT7" s="104"/>
      <c r="CMU7" s="104"/>
      <c r="CMV7" s="104"/>
      <c r="CMW7" s="104"/>
      <c r="CMX7" s="104"/>
      <c r="CMY7" s="104"/>
      <c r="CMZ7" s="104"/>
      <c r="CNA7" s="104"/>
      <c r="CNB7" s="104"/>
      <c r="CNC7" s="104"/>
      <c r="CND7" s="104"/>
      <c r="CNE7" s="104"/>
      <c r="CNF7" s="104"/>
      <c r="CNG7" s="104"/>
      <c r="CNH7" s="104"/>
      <c r="CNI7" s="104"/>
      <c r="CNJ7" s="104"/>
      <c r="CNK7" s="104"/>
      <c r="CNL7" s="104"/>
      <c r="CNM7" s="104"/>
      <c r="CNN7" s="104"/>
      <c r="CNO7" s="104"/>
      <c r="CNP7" s="104"/>
      <c r="CNQ7" s="104"/>
      <c r="CNR7" s="104"/>
      <c r="CNS7" s="104"/>
      <c r="CNT7" s="104"/>
      <c r="CNU7" s="104"/>
      <c r="CNV7" s="104"/>
      <c r="CNW7" s="104"/>
      <c r="CNX7" s="104"/>
      <c r="CNY7" s="104"/>
      <c r="CNZ7" s="104"/>
      <c r="COA7" s="104"/>
      <c r="COB7" s="104"/>
      <c r="COC7" s="104"/>
      <c r="COD7" s="104"/>
      <c r="COE7" s="104"/>
      <c r="COF7" s="104"/>
      <c r="COG7" s="104"/>
      <c r="COH7" s="104"/>
      <c r="COI7" s="104"/>
      <c r="COJ7" s="104"/>
      <c r="COK7" s="104"/>
      <c r="COL7" s="104"/>
      <c r="COM7" s="104"/>
      <c r="CON7" s="104"/>
      <c r="COO7" s="104"/>
      <c r="COP7" s="104"/>
      <c r="COQ7" s="104"/>
      <c r="COR7" s="104"/>
      <c r="COS7" s="104"/>
      <c r="COT7" s="104"/>
      <c r="COU7" s="104"/>
      <c r="COV7" s="104"/>
      <c r="COW7" s="104"/>
      <c r="COX7" s="104"/>
      <c r="COY7" s="104"/>
      <c r="COZ7" s="104"/>
      <c r="CPA7" s="104"/>
      <c r="CPB7" s="104"/>
      <c r="CPC7" s="104"/>
      <c r="CPD7" s="104"/>
      <c r="CPE7" s="104"/>
      <c r="CPF7" s="104"/>
      <c r="CPG7" s="104"/>
      <c r="CPH7" s="104"/>
      <c r="CPI7" s="104"/>
      <c r="CPJ7" s="104"/>
      <c r="CPK7" s="104"/>
      <c r="CPL7" s="104"/>
      <c r="CPM7" s="104"/>
      <c r="CPN7" s="104"/>
      <c r="CPO7" s="104"/>
      <c r="CPP7" s="104"/>
      <c r="CPQ7" s="104"/>
      <c r="CPR7" s="104"/>
      <c r="CPS7" s="104"/>
      <c r="CPT7" s="104"/>
      <c r="CPU7" s="104"/>
      <c r="CPV7" s="104"/>
      <c r="CPW7" s="104"/>
      <c r="CPX7" s="104"/>
      <c r="CPY7" s="104"/>
      <c r="CPZ7" s="104"/>
      <c r="CQA7" s="104"/>
      <c r="CQB7" s="104"/>
      <c r="CQC7" s="104"/>
      <c r="CQD7" s="104"/>
      <c r="CQE7" s="104"/>
      <c r="CQF7" s="104"/>
      <c r="CQG7" s="104"/>
      <c r="CQH7" s="104"/>
      <c r="CQI7" s="104"/>
      <c r="CQJ7" s="104"/>
      <c r="CQK7" s="104"/>
      <c r="CQL7" s="104"/>
      <c r="CQM7" s="104"/>
      <c r="CQN7" s="104"/>
      <c r="CQO7" s="104"/>
      <c r="CQP7" s="104"/>
      <c r="CQQ7" s="104"/>
      <c r="CQR7" s="104"/>
      <c r="CQS7" s="104"/>
      <c r="CQT7" s="104"/>
      <c r="CQU7" s="104"/>
      <c r="CQV7" s="104"/>
      <c r="CQW7" s="104"/>
      <c r="CQX7" s="104"/>
      <c r="CQY7" s="104"/>
      <c r="CQZ7" s="104"/>
      <c r="CRA7" s="104"/>
      <c r="CRB7" s="104"/>
      <c r="CRC7" s="104"/>
      <c r="CRD7" s="104"/>
      <c r="CRE7" s="104"/>
      <c r="CRF7" s="104"/>
      <c r="CRG7" s="104"/>
      <c r="CRH7" s="104"/>
      <c r="CRI7" s="104"/>
      <c r="CRJ7" s="104"/>
      <c r="CRK7" s="104"/>
      <c r="CRL7" s="104"/>
      <c r="CRM7" s="104"/>
      <c r="CRN7" s="104"/>
      <c r="CRO7" s="104"/>
      <c r="CRP7" s="104"/>
      <c r="CRQ7" s="104"/>
      <c r="CRR7" s="104"/>
      <c r="CRS7" s="104"/>
      <c r="CRT7" s="104"/>
      <c r="CRU7" s="104"/>
      <c r="CRV7" s="104"/>
      <c r="CRW7" s="104"/>
      <c r="CRX7" s="104"/>
      <c r="CRY7" s="104"/>
      <c r="CRZ7" s="104"/>
      <c r="CSA7" s="104"/>
      <c r="CSB7" s="104"/>
      <c r="CSC7" s="104"/>
      <c r="CSD7" s="104"/>
      <c r="CSE7" s="104"/>
      <c r="CSF7" s="104"/>
      <c r="CSG7" s="104"/>
      <c r="CSH7" s="104"/>
      <c r="CSI7" s="104"/>
      <c r="CSJ7" s="104"/>
      <c r="CSK7" s="104"/>
      <c r="CSL7" s="104"/>
      <c r="CSM7" s="104"/>
      <c r="CSN7" s="104"/>
      <c r="CSO7" s="104"/>
      <c r="CSP7" s="104"/>
      <c r="CSQ7" s="104"/>
      <c r="CSR7" s="104"/>
      <c r="CSS7" s="104"/>
      <c r="CST7" s="104"/>
      <c r="CSU7" s="104"/>
      <c r="CSV7" s="104"/>
      <c r="CSW7" s="104"/>
      <c r="CSX7" s="104"/>
      <c r="CSY7" s="104"/>
      <c r="CSZ7" s="104"/>
      <c r="CTA7" s="104"/>
      <c r="CTB7" s="104"/>
      <c r="CTC7" s="104"/>
      <c r="CTD7" s="104"/>
      <c r="CTE7" s="104"/>
      <c r="CTF7" s="104"/>
      <c r="CTG7" s="104"/>
      <c r="CTH7" s="104"/>
      <c r="CTI7" s="104"/>
      <c r="CTJ7" s="104"/>
      <c r="CTK7" s="104"/>
      <c r="CTL7" s="104"/>
      <c r="CTM7" s="104"/>
      <c r="CTN7" s="104"/>
      <c r="CTO7" s="104"/>
      <c r="CTP7" s="104"/>
      <c r="CTQ7" s="104"/>
      <c r="CTR7" s="104"/>
      <c r="CTS7" s="104"/>
      <c r="CTT7" s="104"/>
      <c r="CTU7" s="104"/>
      <c r="CTV7" s="104"/>
      <c r="CTW7" s="104"/>
      <c r="CTX7" s="104"/>
      <c r="CTY7" s="104"/>
      <c r="CTZ7" s="104"/>
      <c r="CUA7" s="104"/>
      <c r="CUB7" s="104"/>
      <c r="CUC7" s="104"/>
      <c r="CUD7" s="104"/>
      <c r="CUE7" s="104"/>
      <c r="CUF7" s="104"/>
      <c r="CUG7" s="104"/>
      <c r="CUH7" s="104"/>
      <c r="CUI7" s="104"/>
      <c r="CUJ7" s="104"/>
      <c r="CUK7" s="104"/>
      <c r="CUL7" s="104"/>
      <c r="CUM7" s="104"/>
      <c r="CUN7" s="104"/>
      <c r="CUO7" s="104"/>
      <c r="CUP7" s="104"/>
      <c r="CUQ7" s="104"/>
      <c r="CUR7" s="104"/>
      <c r="CUS7" s="104"/>
      <c r="CUT7" s="104"/>
      <c r="CUU7" s="104"/>
      <c r="CUV7" s="104"/>
      <c r="CUW7" s="104"/>
      <c r="CUX7" s="104"/>
      <c r="CUY7" s="104"/>
      <c r="CUZ7" s="104"/>
      <c r="CVA7" s="104"/>
      <c r="CVB7" s="104"/>
      <c r="CVC7" s="104"/>
      <c r="CVD7" s="104"/>
      <c r="CVE7" s="104"/>
      <c r="CVF7" s="104"/>
      <c r="CVG7" s="104"/>
      <c r="CVH7" s="104"/>
      <c r="CVI7" s="104"/>
      <c r="CVJ7" s="104"/>
      <c r="CVK7" s="104"/>
      <c r="CVL7" s="104"/>
      <c r="CVM7" s="104"/>
      <c r="CVN7" s="104"/>
      <c r="CVO7" s="104"/>
      <c r="CVP7" s="104"/>
      <c r="CVQ7" s="104"/>
      <c r="CVR7" s="104"/>
      <c r="CVS7" s="104"/>
      <c r="CVT7" s="104"/>
      <c r="CVU7" s="104"/>
      <c r="CVV7" s="104"/>
      <c r="CVW7" s="104"/>
      <c r="CVX7" s="104"/>
      <c r="CVY7" s="104"/>
      <c r="CVZ7" s="104"/>
      <c r="CWA7" s="104"/>
      <c r="CWB7" s="104"/>
      <c r="CWC7" s="104"/>
      <c r="CWD7" s="104"/>
      <c r="CWE7" s="104"/>
      <c r="CWF7" s="104"/>
      <c r="CWG7" s="104"/>
      <c r="CWH7" s="104"/>
      <c r="CWI7" s="104"/>
      <c r="CWJ7" s="104"/>
      <c r="CWK7" s="104"/>
      <c r="CWL7" s="104"/>
      <c r="CWM7" s="104"/>
      <c r="CWN7" s="104"/>
      <c r="CWO7" s="104"/>
      <c r="CWP7" s="104"/>
      <c r="CWQ7" s="104"/>
      <c r="CWR7" s="104"/>
      <c r="CWS7" s="104"/>
      <c r="CWT7" s="104"/>
      <c r="CWU7" s="104"/>
      <c r="CWV7" s="104"/>
      <c r="CWW7" s="104"/>
      <c r="CWX7" s="104"/>
      <c r="CWY7" s="104"/>
      <c r="CWZ7" s="104"/>
      <c r="CXA7" s="104"/>
      <c r="CXB7" s="104"/>
      <c r="CXC7" s="104"/>
      <c r="CXD7" s="104"/>
      <c r="CXE7" s="104"/>
      <c r="CXF7" s="104"/>
      <c r="CXG7" s="104"/>
      <c r="CXH7" s="104"/>
      <c r="CXI7" s="104"/>
      <c r="CXJ7" s="104"/>
      <c r="CXK7" s="104"/>
      <c r="CXL7" s="104"/>
      <c r="CXM7" s="104"/>
      <c r="CXN7" s="104"/>
      <c r="CXO7" s="104"/>
      <c r="CXP7" s="104"/>
      <c r="CXQ7" s="104"/>
      <c r="CXR7" s="104"/>
      <c r="CXS7" s="104"/>
      <c r="CXT7" s="104"/>
      <c r="CXU7" s="104"/>
      <c r="CXV7" s="104"/>
      <c r="CXW7" s="104"/>
      <c r="CXX7" s="104"/>
      <c r="CXY7" s="104"/>
      <c r="CXZ7" s="104"/>
      <c r="CYA7" s="104"/>
      <c r="CYB7" s="104"/>
      <c r="CYC7" s="104"/>
      <c r="CYD7" s="104"/>
      <c r="CYE7" s="104"/>
      <c r="CYF7" s="104"/>
      <c r="CYG7" s="104"/>
      <c r="CYH7" s="104"/>
      <c r="CYI7" s="104"/>
      <c r="CYJ7" s="104"/>
      <c r="CYK7" s="104"/>
      <c r="CYL7" s="104"/>
      <c r="CYM7" s="104"/>
      <c r="CYN7" s="104"/>
      <c r="CYO7" s="104"/>
      <c r="CYP7" s="104"/>
      <c r="CYQ7" s="104"/>
      <c r="CYR7" s="104"/>
      <c r="CYS7" s="104"/>
      <c r="CYT7" s="104"/>
      <c r="CYU7" s="104"/>
      <c r="CYV7" s="104"/>
      <c r="CYW7" s="104"/>
      <c r="CYX7" s="104"/>
      <c r="CYY7" s="104"/>
      <c r="CYZ7" s="104"/>
      <c r="CZA7" s="104"/>
      <c r="CZB7" s="104"/>
      <c r="CZC7" s="104"/>
      <c r="CZD7" s="104"/>
      <c r="CZE7" s="104"/>
      <c r="CZF7" s="104"/>
      <c r="CZG7" s="104"/>
      <c r="CZH7" s="104"/>
      <c r="CZI7" s="104"/>
      <c r="CZJ7" s="104"/>
      <c r="CZK7" s="104"/>
      <c r="CZL7" s="104"/>
      <c r="CZM7" s="104"/>
      <c r="CZN7" s="104"/>
      <c r="CZO7" s="104"/>
      <c r="CZP7" s="104"/>
      <c r="CZQ7" s="104"/>
      <c r="CZR7" s="104"/>
      <c r="CZS7" s="104"/>
      <c r="CZT7" s="104"/>
      <c r="CZU7" s="104"/>
      <c r="CZV7" s="104"/>
      <c r="CZW7" s="104"/>
      <c r="CZX7" s="104"/>
      <c r="CZY7" s="104"/>
      <c r="CZZ7" s="104"/>
      <c r="DAA7" s="104"/>
      <c r="DAB7" s="104"/>
      <c r="DAC7" s="104"/>
      <c r="DAD7" s="104"/>
      <c r="DAE7" s="104"/>
      <c r="DAF7" s="104"/>
      <c r="DAG7" s="104"/>
      <c r="DAH7" s="104"/>
      <c r="DAI7" s="104"/>
      <c r="DAJ7" s="104"/>
      <c r="DAK7" s="104"/>
      <c r="DAL7" s="104"/>
      <c r="DAM7" s="104"/>
      <c r="DAN7" s="104"/>
      <c r="DAO7" s="104"/>
      <c r="DAP7" s="104"/>
      <c r="DAQ7" s="104"/>
      <c r="DAR7" s="104"/>
      <c r="DAS7" s="104"/>
      <c r="DAT7" s="104"/>
      <c r="DAU7" s="104"/>
      <c r="DAV7" s="104"/>
      <c r="DAW7" s="104"/>
      <c r="DAX7" s="104"/>
      <c r="DAY7" s="104"/>
      <c r="DAZ7" s="104"/>
      <c r="DBA7" s="104"/>
      <c r="DBB7" s="104"/>
      <c r="DBC7" s="104"/>
      <c r="DBD7" s="104"/>
      <c r="DBE7" s="104"/>
      <c r="DBF7" s="104"/>
      <c r="DBG7" s="104"/>
      <c r="DBH7" s="104"/>
      <c r="DBI7" s="104"/>
      <c r="DBJ7" s="104"/>
      <c r="DBK7" s="104"/>
      <c r="DBL7" s="104"/>
      <c r="DBM7" s="104"/>
      <c r="DBN7" s="104"/>
      <c r="DBO7" s="104"/>
      <c r="DBP7" s="104"/>
      <c r="DBQ7" s="104"/>
      <c r="DBR7" s="104"/>
      <c r="DBS7" s="104"/>
      <c r="DBT7" s="104"/>
      <c r="DBU7" s="104"/>
      <c r="DBV7" s="104"/>
      <c r="DBW7" s="104"/>
      <c r="DBX7" s="104"/>
      <c r="DBY7" s="104"/>
      <c r="DBZ7" s="104"/>
      <c r="DCA7" s="104"/>
      <c r="DCB7" s="104"/>
      <c r="DCC7" s="104"/>
      <c r="DCD7" s="104"/>
      <c r="DCE7" s="104"/>
      <c r="DCF7" s="104"/>
      <c r="DCG7" s="104"/>
      <c r="DCH7" s="104"/>
      <c r="DCI7" s="104"/>
      <c r="DCJ7" s="104"/>
      <c r="DCK7" s="104"/>
      <c r="DCL7" s="104"/>
      <c r="DCM7" s="104"/>
      <c r="DCN7" s="104"/>
      <c r="DCO7" s="104"/>
      <c r="DCP7" s="104"/>
      <c r="DCQ7" s="104"/>
      <c r="DCR7" s="104"/>
      <c r="DCS7" s="104"/>
      <c r="DCT7" s="104"/>
      <c r="DCU7" s="104"/>
      <c r="DCV7" s="104"/>
      <c r="DCW7" s="104"/>
      <c r="DCX7" s="104"/>
      <c r="DCY7" s="104"/>
      <c r="DCZ7" s="104"/>
      <c r="DDA7" s="104"/>
      <c r="DDB7" s="104"/>
      <c r="DDC7" s="104"/>
      <c r="DDD7" s="104"/>
      <c r="DDE7" s="104"/>
      <c r="DDF7" s="104"/>
      <c r="DDG7" s="104"/>
      <c r="DDH7" s="104"/>
      <c r="DDI7" s="104"/>
      <c r="DDJ7" s="104"/>
      <c r="DDK7" s="104"/>
      <c r="DDL7" s="104"/>
      <c r="DDM7" s="104"/>
      <c r="DDN7" s="104"/>
      <c r="DDO7" s="104"/>
      <c r="DDP7" s="104"/>
      <c r="DDQ7" s="104"/>
      <c r="DDR7" s="104"/>
      <c r="DDS7" s="104"/>
      <c r="DDT7" s="104"/>
      <c r="DDU7" s="104"/>
      <c r="DDV7" s="104"/>
      <c r="DDW7" s="104"/>
      <c r="DDX7" s="104"/>
      <c r="DDY7" s="104"/>
      <c r="DDZ7" s="104"/>
      <c r="DEA7" s="104"/>
      <c r="DEB7" s="104"/>
      <c r="DEC7" s="104"/>
      <c r="DED7" s="104"/>
      <c r="DEE7" s="104"/>
      <c r="DEF7" s="104"/>
      <c r="DEG7" s="104"/>
      <c r="DEH7" s="104"/>
      <c r="DEI7" s="104"/>
      <c r="DEJ7" s="104"/>
      <c r="DEK7" s="104"/>
      <c r="DEL7" s="104"/>
      <c r="DEM7" s="104"/>
      <c r="DEN7" s="104"/>
      <c r="DEO7" s="104"/>
      <c r="DEP7" s="104"/>
      <c r="DEQ7" s="104"/>
      <c r="DER7" s="104"/>
      <c r="DES7" s="104"/>
      <c r="DET7" s="104"/>
      <c r="DEU7" s="104"/>
      <c r="DEV7" s="104"/>
      <c r="DEW7" s="104"/>
      <c r="DEX7" s="104"/>
      <c r="DEY7" s="104"/>
      <c r="DEZ7" s="104"/>
      <c r="DFA7" s="104"/>
      <c r="DFB7" s="104"/>
      <c r="DFC7" s="104"/>
      <c r="DFD7" s="104"/>
      <c r="DFE7" s="104"/>
      <c r="DFF7" s="104"/>
      <c r="DFG7" s="104"/>
      <c r="DFH7" s="104"/>
      <c r="DFI7" s="104"/>
      <c r="DFJ7" s="104"/>
      <c r="DFK7" s="104"/>
      <c r="DFL7" s="104"/>
      <c r="DFM7" s="104"/>
      <c r="DFN7" s="104"/>
      <c r="DFO7" s="104"/>
      <c r="DFP7" s="104"/>
      <c r="DFQ7" s="104"/>
      <c r="DFR7" s="104"/>
      <c r="DFS7" s="104"/>
      <c r="DFT7" s="104"/>
      <c r="DFU7" s="104"/>
      <c r="DFV7" s="104"/>
      <c r="DFW7" s="104"/>
      <c r="DFX7" s="104"/>
      <c r="DFY7" s="104"/>
      <c r="DFZ7" s="104"/>
      <c r="DGA7" s="104"/>
      <c r="DGB7" s="104"/>
      <c r="DGC7" s="104"/>
      <c r="DGD7" s="104"/>
      <c r="DGE7" s="104"/>
      <c r="DGF7" s="104"/>
      <c r="DGG7" s="104"/>
      <c r="DGH7" s="104"/>
      <c r="DGI7" s="104"/>
      <c r="DGJ7" s="104"/>
      <c r="DGK7" s="104"/>
      <c r="DGL7" s="104"/>
      <c r="DGM7" s="104"/>
      <c r="DGN7" s="104"/>
      <c r="DGO7" s="104"/>
      <c r="DGP7" s="104"/>
      <c r="DGQ7" s="104"/>
      <c r="DGR7" s="104"/>
      <c r="DGS7" s="104"/>
      <c r="DGT7" s="104"/>
      <c r="DGU7" s="104"/>
      <c r="DGV7" s="104"/>
      <c r="DGW7" s="104"/>
      <c r="DGX7" s="104"/>
      <c r="DGY7" s="104"/>
      <c r="DGZ7" s="104"/>
      <c r="DHA7" s="104"/>
      <c r="DHB7" s="104"/>
      <c r="DHC7" s="104"/>
      <c r="DHD7" s="104"/>
      <c r="DHE7" s="104"/>
      <c r="DHF7" s="104"/>
      <c r="DHG7" s="104"/>
      <c r="DHH7" s="104"/>
      <c r="DHI7" s="104"/>
      <c r="DHJ7" s="104"/>
      <c r="DHK7" s="104"/>
      <c r="DHL7" s="104"/>
      <c r="DHM7" s="104"/>
      <c r="DHN7" s="104"/>
      <c r="DHO7" s="104"/>
      <c r="DHP7" s="104"/>
      <c r="DHQ7" s="104"/>
      <c r="DHR7" s="104"/>
      <c r="DHS7" s="104"/>
      <c r="DHT7" s="104"/>
      <c r="DHU7" s="104"/>
      <c r="DHV7" s="104"/>
      <c r="DHW7" s="104"/>
      <c r="DHX7" s="104"/>
      <c r="DHY7" s="104"/>
      <c r="DHZ7" s="104"/>
      <c r="DIA7" s="104"/>
      <c r="DIB7" s="104"/>
      <c r="DIC7" s="104"/>
      <c r="DID7" s="104"/>
      <c r="DIE7" s="104"/>
      <c r="DIF7" s="104"/>
      <c r="DIG7" s="104"/>
      <c r="DIH7" s="104"/>
      <c r="DII7" s="104"/>
      <c r="DIJ7" s="104"/>
      <c r="DIK7" s="104"/>
      <c r="DIL7" s="104"/>
      <c r="DIM7" s="104"/>
      <c r="DIN7" s="104"/>
      <c r="DIO7" s="104"/>
      <c r="DIP7" s="104"/>
      <c r="DIQ7" s="104"/>
      <c r="DIR7" s="104"/>
      <c r="DIS7" s="104"/>
      <c r="DIT7" s="104"/>
      <c r="DIU7" s="104"/>
      <c r="DIV7" s="104"/>
      <c r="DIW7" s="104"/>
      <c r="DIX7" s="104"/>
      <c r="DIY7" s="104"/>
      <c r="DIZ7" s="104"/>
      <c r="DJA7" s="104"/>
      <c r="DJB7" s="104"/>
      <c r="DJC7" s="104"/>
      <c r="DJD7" s="104"/>
      <c r="DJE7" s="104"/>
      <c r="DJF7" s="104"/>
      <c r="DJG7" s="104"/>
      <c r="DJH7" s="104"/>
      <c r="DJI7" s="104"/>
      <c r="DJJ7" s="104"/>
      <c r="DJK7" s="104"/>
      <c r="DJL7" s="104"/>
      <c r="DJM7" s="104"/>
      <c r="DJN7" s="104"/>
      <c r="DJO7" s="104"/>
      <c r="DJP7" s="104"/>
      <c r="DJQ7" s="104"/>
      <c r="DJR7" s="104"/>
      <c r="DJS7" s="104"/>
      <c r="DJT7" s="104"/>
      <c r="DJU7" s="104"/>
      <c r="DJV7" s="104"/>
      <c r="DJW7" s="104"/>
      <c r="DJX7" s="104"/>
      <c r="DJY7" s="104"/>
      <c r="DJZ7" s="104"/>
      <c r="DKA7" s="104"/>
      <c r="DKB7" s="104"/>
      <c r="DKC7" s="104"/>
      <c r="DKD7" s="104"/>
      <c r="DKE7" s="104"/>
      <c r="DKF7" s="104"/>
      <c r="DKG7" s="104"/>
      <c r="DKH7" s="104"/>
      <c r="DKI7" s="104"/>
      <c r="DKJ7" s="104"/>
      <c r="DKK7" s="104"/>
      <c r="DKL7" s="104"/>
      <c r="DKM7" s="104"/>
      <c r="DKN7" s="104"/>
      <c r="DKO7" s="104"/>
      <c r="DKP7" s="104"/>
      <c r="DKQ7" s="104"/>
      <c r="DKR7" s="104"/>
      <c r="DKS7" s="104"/>
      <c r="DKT7" s="104"/>
      <c r="DKU7" s="104"/>
      <c r="DKV7" s="104"/>
      <c r="DKW7" s="104"/>
      <c r="DKX7" s="104"/>
      <c r="DKY7" s="104"/>
      <c r="DKZ7" s="104"/>
      <c r="DLA7" s="104"/>
      <c r="DLB7" s="104"/>
      <c r="DLC7" s="104"/>
      <c r="DLD7" s="104"/>
      <c r="DLE7" s="104"/>
      <c r="DLF7" s="104"/>
      <c r="DLG7" s="104"/>
      <c r="DLH7" s="104"/>
      <c r="DLI7" s="104"/>
      <c r="DLJ7" s="104"/>
      <c r="DLK7" s="104"/>
      <c r="DLL7" s="104"/>
      <c r="DLM7" s="104"/>
      <c r="DLN7" s="104"/>
      <c r="DLO7" s="104"/>
      <c r="DLP7" s="104"/>
      <c r="DLQ7" s="104"/>
      <c r="DLR7" s="104"/>
      <c r="DLS7" s="104"/>
      <c r="DLT7" s="104"/>
      <c r="DLU7" s="104"/>
      <c r="DLV7" s="104"/>
      <c r="DLW7" s="104"/>
      <c r="DLX7" s="104"/>
      <c r="DLY7" s="104"/>
      <c r="DLZ7" s="104"/>
      <c r="DMA7" s="104"/>
      <c r="DMB7" s="104"/>
      <c r="DMC7" s="104"/>
      <c r="DMD7" s="104"/>
      <c r="DME7" s="104"/>
      <c r="DMF7" s="104"/>
      <c r="DMG7" s="104"/>
      <c r="DMH7" s="104"/>
      <c r="DMI7" s="104"/>
      <c r="DMJ7" s="104"/>
      <c r="DMK7" s="104"/>
      <c r="DML7" s="104"/>
      <c r="DMM7" s="104"/>
      <c r="DMN7" s="104"/>
      <c r="DMO7" s="104"/>
      <c r="DMP7" s="104"/>
      <c r="DMQ7" s="104"/>
      <c r="DMR7" s="104"/>
      <c r="DMS7" s="104"/>
      <c r="DMT7" s="104"/>
      <c r="DMU7" s="104"/>
      <c r="DMV7" s="104"/>
      <c r="DMW7" s="104"/>
      <c r="DMX7" s="104"/>
      <c r="DMY7" s="104"/>
      <c r="DMZ7" s="104"/>
      <c r="DNA7" s="104"/>
      <c r="DNB7" s="104"/>
      <c r="DNC7" s="104"/>
      <c r="DND7" s="104"/>
      <c r="DNE7" s="104"/>
      <c r="DNF7" s="104"/>
      <c r="DNG7" s="104"/>
      <c r="DNH7" s="104"/>
      <c r="DNI7" s="104"/>
      <c r="DNJ7" s="104"/>
      <c r="DNK7" s="104"/>
      <c r="DNL7" s="104"/>
      <c r="DNM7" s="104"/>
      <c r="DNN7" s="104"/>
      <c r="DNO7" s="104"/>
      <c r="DNP7" s="104"/>
      <c r="DNQ7" s="104"/>
      <c r="DNR7" s="104"/>
      <c r="DNS7" s="104"/>
      <c r="DNT7" s="104"/>
      <c r="DNU7" s="104"/>
      <c r="DNV7" s="104"/>
      <c r="DNW7" s="104"/>
      <c r="DNX7" s="104"/>
      <c r="DNY7" s="104"/>
      <c r="DNZ7" s="104"/>
      <c r="DOA7" s="104"/>
      <c r="DOB7" s="104"/>
      <c r="DOC7" s="104"/>
      <c r="DOD7" s="104"/>
      <c r="DOE7" s="104"/>
      <c r="DOF7" s="104"/>
      <c r="DOG7" s="104"/>
      <c r="DOH7" s="104"/>
      <c r="DOI7" s="104"/>
      <c r="DOJ7" s="104"/>
      <c r="DOK7" s="104"/>
      <c r="DOL7" s="104"/>
      <c r="DOM7" s="104"/>
      <c r="DON7" s="104"/>
      <c r="DOO7" s="104"/>
      <c r="DOP7" s="104"/>
      <c r="DOQ7" s="104"/>
      <c r="DOR7" s="104"/>
      <c r="DOS7" s="104"/>
      <c r="DOT7" s="104"/>
      <c r="DOU7" s="104"/>
      <c r="DOV7" s="104"/>
      <c r="DOW7" s="104"/>
      <c r="DOX7" s="104"/>
      <c r="DOY7" s="104"/>
      <c r="DOZ7" s="104"/>
      <c r="DPA7" s="104"/>
      <c r="DPB7" s="104"/>
      <c r="DPC7" s="104"/>
      <c r="DPD7" s="104"/>
      <c r="DPE7" s="104"/>
      <c r="DPF7" s="104"/>
      <c r="DPG7" s="104"/>
      <c r="DPH7" s="104"/>
      <c r="DPI7" s="104"/>
      <c r="DPJ7" s="104"/>
      <c r="DPK7" s="104"/>
      <c r="DPL7" s="104"/>
      <c r="DPM7" s="104"/>
      <c r="DPN7" s="104"/>
      <c r="DPO7" s="104"/>
      <c r="DPP7" s="104"/>
      <c r="DPQ7" s="104"/>
      <c r="DPR7" s="104"/>
      <c r="DPS7" s="104"/>
      <c r="DPT7" s="104"/>
      <c r="DPU7" s="104"/>
      <c r="DPV7" s="104"/>
      <c r="DPW7" s="104"/>
      <c r="DPX7" s="104"/>
      <c r="DPY7" s="104"/>
      <c r="DPZ7" s="104"/>
      <c r="DQA7" s="104"/>
      <c r="DQB7" s="104"/>
      <c r="DQC7" s="104"/>
      <c r="DQD7" s="104"/>
      <c r="DQE7" s="104"/>
      <c r="DQF7" s="104"/>
      <c r="DQG7" s="104"/>
      <c r="DQH7" s="104"/>
      <c r="DQI7" s="104"/>
      <c r="DQJ7" s="104"/>
      <c r="DQK7" s="104"/>
      <c r="DQL7" s="104"/>
      <c r="DQM7" s="104"/>
      <c r="DQN7" s="104"/>
      <c r="DQO7" s="104"/>
      <c r="DQP7" s="104"/>
      <c r="DQQ7" s="104"/>
      <c r="DQR7" s="104"/>
      <c r="DQS7" s="104"/>
      <c r="DQT7" s="104"/>
      <c r="DQU7" s="104"/>
      <c r="DQV7" s="104"/>
      <c r="DQW7" s="104"/>
      <c r="DQX7" s="104"/>
      <c r="DQY7" s="104"/>
      <c r="DQZ7" s="104"/>
      <c r="DRA7" s="104"/>
      <c r="DRB7" s="104"/>
      <c r="DRC7" s="104"/>
      <c r="DRD7" s="104"/>
      <c r="DRE7" s="104"/>
      <c r="DRF7" s="104"/>
      <c r="DRG7" s="104"/>
      <c r="DRH7" s="104"/>
      <c r="DRI7" s="104"/>
      <c r="DRJ7" s="104"/>
      <c r="DRK7" s="104"/>
      <c r="DRL7" s="104"/>
      <c r="DRM7" s="104"/>
      <c r="DRN7" s="104"/>
      <c r="DRO7" s="104"/>
      <c r="DRP7" s="104"/>
      <c r="DRQ7" s="104"/>
      <c r="DRR7" s="104"/>
      <c r="DRS7" s="104"/>
      <c r="DRT7" s="104"/>
      <c r="DRU7" s="104"/>
      <c r="DRV7" s="104"/>
      <c r="DRW7" s="104"/>
      <c r="DRX7" s="104"/>
      <c r="DRY7" s="104"/>
      <c r="DRZ7" s="104"/>
      <c r="DSA7" s="104"/>
      <c r="DSB7" s="104"/>
      <c r="DSC7" s="104"/>
      <c r="DSD7" s="104"/>
      <c r="DSE7" s="104"/>
      <c r="DSF7" s="104"/>
      <c r="DSG7" s="104"/>
      <c r="DSH7" s="104"/>
      <c r="DSI7" s="104"/>
      <c r="DSJ7" s="104"/>
      <c r="DSK7" s="104"/>
      <c r="DSL7" s="104"/>
      <c r="DSM7" s="104"/>
      <c r="DSN7" s="104"/>
      <c r="DSO7" s="104"/>
      <c r="DSP7" s="104"/>
      <c r="DSQ7" s="104"/>
      <c r="DSR7" s="104"/>
      <c r="DSS7" s="104"/>
      <c r="DST7" s="104"/>
      <c r="DSU7" s="104"/>
      <c r="DSV7" s="104"/>
      <c r="DSW7" s="104"/>
      <c r="DSX7" s="104"/>
      <c r="DSY7" s="104"/>
      <c r="DSZ7" s="104"/>
      <c r="DTA7" s="104"/>
      <c r="DTB7" s="104"/>
      <c r="DTC7" s="104"/>
      <c r="DTD7" s="104"/>
      <c r="DTE7" s="104"/>
      <c r="DTF7" s="104"/>
      <c r="DTG7" s="104"/>
      <c r="DTH7" s="104"/>
      <c r="DTI7" s="104"/>
      <c r="DTJ7" s="104"/>
      <c r="DTK7" s="104"/>
      <c r="DTL7" s="104"/>
      <c r="DTM7" s="104"/>
      <c r="DTN7" s="104"/>
      <c r="DTO7" s="104"/>
      <c r="DTP7" s="104"/>
      <c r="DTQ7" s="104"/>
      <c r="DTR7" s="104"/>
      <c r="DTS7" s="104"/>
      <c r="DTT7" s="104"/>
      <c r="DTU7" s="104"/>
      <c r="DTV7" s="104"/>
      <c r="DTW7" s="104"/>
      <c r="DTX7" s="104"/>
      <c r="DTY7" s="104"/>
      <c r="DTZ7" s="104"/>
      <c r="DUA7" s="104"/>
      <c r="DUB7" s="104"/>
      <c r="DUC7" s="104"/>
      <c r="DUD7" s="104"/>
      <c r="DUE7" s="104"/>
      <c r="DUF7" s="104"/>
      <c r="DUG7" s="104"/>
      <c r="DUH7" s="104"/>
      <c r="DUI7" s="104"/>
      <c r="DUJ7" s="104"/>
      <c r="DUK7" s="104"/>
      <c r="DUL7" s="104"/>
      <c r="DUM7" s="104"/>
      <c r="DUN7" s="104"/>
      <c r="DUO7" s="104"/>
      <c r="DUP7" s="104"/>
      <c r="DUQ7" s="104"/>
      <c r="DUR7" s="104"/>
      <c r="DUS7" s="104"/>
      <c r="DUT7" s="104"/>
      <c r="DUU7" s="104"/>
      <c r="DUV7" s="104"/>
      <c r="DUW7" s="104"/>
      <c r="DUX7" s="104"/>
      <c r="DUY7" s="104"/>
      <c r="DUZ7" s="104"/>
      <c r="DVA7" s="104"/>
      <c r="DVB7" s="104"/>
      <c r="DVC7" s="104"/>
      <c r="DVD7" s="104"/>
      <c r="DVE7" s="104"/>
      <c r="DVF7" s="104"/>
      <c r="DVG7" s="104"/>
      <c r="DVH7" s="104"/>
      <c r="DVI7" s="104"/>
      <c r="DVJ7" s="104"/>
      <c r="DVK7" s="104"/>
      <c r="DVL7" s="104"/>
      <c r="DVM7" s="104"/>
      <c r="DVN7" s="104"/>
      <c r="DVO7" s="104"/>
      <c r="DVP7" s="104"/>
      <c r="DVQ7" s="104"/>
      <c r="DVR7" s="104"/>
      <c r="DVS7" s="104"/>
      <c r="DVT7" s="104"/>
      <c r="DVU7" s="104"/>
      <c r="DVV7" s="104"/>
      <c r="DVW7" s="104"/>
      <c r="DVX7" s="104"/>
      <c r="DVY7" s="104"/>
      <c r="DVZ7" s="104"/>
      <c r="DWA7" s="104"/>
      <c r="DWB7" s="104"/>
      <c r="DWC7" s="104"/>
      <c r="DWD7" s="104"/>
      <c r="DWE7" s="104"/>
      <c r="DWF7" s="104"/>
      <c r="DWG7" s="104"/>
      <c r="DWH7" s="104"/>
      <c r="DWI7" s="104"/>
      <c r="DWJ7" s="104"/>
      <c r="DWK7" s="104"/>
      <c r="DWL7" s="104"/>
      <c r="DWM7" s="104"/>
      <c r="DWN7" s="104"/>
      <c r="DWO7" s="104"/>
      <c r="DWP7" s="104"/>
      <c r="DWQ7" s="104"/>
      <c r="DWR7" s="104"/>
      <c r="DWS7" s="104"/>
      <c r="DWT7" s="104"/>
      <c r="DWU7" s="104"/>
      <c r="DWV7" s="104"/>
      <c r="DWW7" s="104"/>
      <c r="DWX7" s="104"/>
      <c r="DWY7" s="104"/>
      <c r="DWZ7" s="104"/>
      <c r="DXA7" s="104"/>
      <c r="DXB7" s="104"/>
      <c r="DXC7" s="104"/>
      <c r="DXD7" s="104"/>
      <c r="DXE7" s="104"/>
      <c r="DXF7" s="104"/>
      <c r="DXG7" s="104"/>
      <c r="DXH7" s="104"/>
      <c r="DXI7" s="104"/>
      <c r="DXJ7" s="104"/>
      <c r="DXK7" s="104"/>
      <c r="DXL7" s="104"/>
      <c r="DXM7" s="104"/>
      <c r="DXN7" s="104"/>
      <c r="DXO7" s="104"/>
      <c r="DXP7" s="104"/>
      <c r="DXQ7" s="104"/>
      <c r="DXR7" s="104"/>
      <c r="DXS7" s="104"/>
      <c r="DXT7" s="104"/>
      <c r="DXU7" s="104"/>
      <c r="DXV7" s="104"/>
      <c r="DXW7" s="104"/>
      <c r="DXX7" s="104"/>
      <c r="DXY7" s="104"/>
      <c r="DXZ7" s="104"/>
      <c r="DYA7" s="104"/>
      <c r="DYB7" s="104"/>
      <c r="DYC7" s="104"/>
      <c r="DYD7" s="104"/>
      <c r="DYE7" s="104"/>
      <c r="DYF7" s="104"/>
      <c r="DYG7" s="104"/>
      <c r="DYH7" s="104"/>
      <c r="DYI7" s="104"/>
      <c r="DYJ7" s="104"/>
      <c r="DYK7" s="104"/>
      <c r="DYL7" s="104"/>
      <c r="DYM7" s="104"/>
      <c r="DYN7" s="104"/>
      <c r="DYO7" s="104"/>
      <c r="DYP7" s="104"/>
      <c r="DYQ7" s="104"/>
      <c r="DYR7" s="104"/>
      <c r="DYS7" s="104"/>
      <c r="DYT7" s="104"/>
      <c r="DYU7" s="104"/>
      <c r="DYV7" s="104"/>
      <c r="DYW7" s="104"/>
      <c r="DYX7" s="104"/>
      <c r="DYY7" s="104"/>
      <c r="DYZ7" s="104"/>
      <c r="DZA7" s="104"/>
      <c r="DZB7" s="104"/>
      <c r="DZC7" s="104"/>
      <c r="DZD7" s="104"/>
      <c r="DZE7" s="104"/>
      <c r="DZF7" s="104"/>
      <c r="DZG7" s="104"/>
      <c r="DZH7" s="104"/>
      <c r="DZI7" s="104"/>
      <c r="DZJ7" s="104"/>
      <c r="DZK7" s="104"/>
      <c r="DZL7" s="104"/>
      <c r="DZM7" s="104"/>
      <c r="DZN7" s="104"/>
      <c r="DZO7" s="104"/>
      <c r="DZP7" s="104"/>
      <c r="DZQ7" s="104"/>
      <c r="DZR7" s="104"/>
      <c r="DZS7" s="104"/>
      <c r="DZT7" s="104"/>
      <c r="DZU7" s="104"/>
      <c r="DZV7" s="104"/>
      <c r="DZW7" s="104"/>
      <c r="DZX7" s="104"/>
      <c r="DZY7" s="104"/>
      <c r="DZZ7" s="104"/>
      <c r="EAA7" s="104"/>
      <c r="EAB7" s="104"/>
      <c r="EAC7" s="104"/>
      <c r="EAD7" s="104"/>
      <c r="EAE7" s="104"/>
      <c r="EAF7" s="104"/>
      <c r="EAG7" s="104"/>
      <c r="EAH7" s="104"/>
      <c r="EAI7" s="104"/>
      <c r="EAJ7" s="104"/>
      <c r="EAK7" s="104"/>
      <c r="EAL7" s="104"/>
      <c r="EAM7" s="104"/>
      <c r="EAN7" s="104"/>
      <c r="EAO7" s="104"/>
      <c r="EAP7" s="104"/>
      <c r="EAQ7" s="104"/>
      <c r="EAR7" s="104"/>
      <c r="EAS7" s="104"/>
      <c r="EAT7" s="104"/>
      <c r="EAU7" s="104"/>
      <c r="EAV7" s="104"/>
      <c r="EAW7" s="104"/>
      <c r="EAX7" s="104"/>
      <c r="EAY7" s="104"/>
      <c r="EAZ7" s="104"/>
      <c r="EBA7" s="104"/>
      <c r="EBB7" s="104"/>
      <c r="EBC7" s="104"/>
      <c r="EBD7" s="104"/>
      <c r="EBE7" s="104"/>
      <c r="EBF7" s="104"/>
      <c r="EBG7" s="104"/>
      <c r="EBH7" s="104"/>
      <c r="EBI7" s="104"/>
      <c r="EBJ7" s="104"/>
      <c r="EBK7" s="104"/>
      <c r="EBL7" s="104"/>
      <c r="EBM7" s="104"/>
      <c r="EBN7" s="104"/>
      <c r="EBO7" s="104"/>
      <c r="EBP7" s="104"/>
      <c r="EBQ7" s="104"/>
      <c r="EBR7" s="104"/>
      <c r="EBS7" s="104"/>
      <c r="EBT7" s="104"/>
      <c r="EBU7" s="104"/>
      <c r="EBV7" s="104"/>
      <c r="EBW7" s="104"/>
      <c r="EBX7" s="104"/>
      <c r="EBY7" s="104"/>
      <c r="EBZ7" s="104"/>
      <c r="ECA7" s="104"/>
      <c r="ECB7" s="104"/>
      <c r="ECC7" s="104"/>
      <c r="ECD7" s="104"/>
      <c r="ECE7" s="104"/>
      <c r="ECF7" s="104"/>
      <c r="ECG7" s="104"/>
      <c r="ECH7" s="104"/>
      <c r="ECI7" s="104"/>
      <c r="ECJ7" s="104"/>
      <c r="ECK7" s="104"/>
      <c r="ECL7" s="104"/>
      <c r="ECM7" s="104"/>
      <c r="ECN7" s="104"/>
      <c r="ECO7" s="104"/>
      <c r="ECP7" s="104"/>
      <c r="ECQ7" s="104"/>
      <c r="ECR7" s="104"/>
      <c r="ECS7" s="104"/>
      <c r="ECT7" s="104"/>
      <c r="ECU7" s="104"/>
      <c r="ECV7" s="104"/>
      <c r="ECW7" s="104"/>
      <c r="ECX7" s="104"/>
      <c r="ECY7" s="104"/>
      <c r="ECZ7" s="104"/>
      <c r="EDA7" s="104"/>
      <c r="EDB7" s="104"/>
      <c r="EDC7" s="104"/>
      <c r="EDD7" s="104"/>
      <c r="EDE7" s="104"/>
      <c r="EDF7" s="104"/>
      <c r="EDG7" s="104"/>
      <c r="EDH7" s="104"/>
      <c r="EDI7" s="104"/>
      <c r="EDJ7" s="104"/>
      <c r="EDK7" s="104"/>
      <c r="EDL7" s="104"/>
      <c r="EDM7" s="104"/>
      <c r="EDN7" s="104"/>
      <c r="EDO7" s="104"/>
      <c r="EDP7" s="104"/>
      <c r="EDQ7" s="104"/>
      <c r="EDR7" s="104"/>
      <c r="EDS7" s="104"/>
      <c r="EDT7" s="104"/>
      <c r="EDU7" s="104"/>
      <c r="EDV7" s="104"/>
      <c r="EDW7" s="104"/>
      <c r="EDX7" s="104"/>
      <c r="EDY7" s="104"/>
      <c r="EDZ7" s="104"/>
      <c r="EEA7" s="104"/>
      <c r="EEB7" s="104"/>
      <c r="EEC7" s="104"/>
      <c r="EED7" s="104"/>
      <c r="EEE7" s="104"/>
      <c r="EEF7" s="104"/>
      <c r="EEG7" s="104"/>
      <c r="EEH7" s="104"/>
      <c r="EEI7" s="104"/>
      <c r="EEJ7" s="104"/>
      <c r="EEK7" s="104"/>
      <c r="EEL7" s="104"/>
      <c r="EEM7" s="104"/>
      <c r="EEN7" s="104"/>
      <c r="EEO7" s="104"/>
      <c r="EEP7" s="104"/>
      <c r="EEQ7" s="104"/>
      <c r="EER7" s="104"/>
      <c r="EES7" s="104"/>
      <c r="EET7" s="104"/>
      <c r="EEU7" s="104"/>
      <c r="EEV7" s="104"/>
      <c r="EEW7" s="104"/>
      <c r="EEX7" s="104"/>
      <c r="EEY7" s="104"/>
      <c r="EEZ7" s="104"/>
      <c r="EFA7" s="104"/>
      <c r="EFB7" s="104"/>
      <c r="EFC7" s="104"/>
      <c r="EFD7" s="104"/>
      <c r="EFE7" s="104"/>
      <c r="EFF7" s="104"/>
      <c r="EFG7" s="104"/>
      <c r="EFH7" s="104"/>
      <c r="EFI7" s="104"/>
      <c r="EFJ7" s="104"/>
      <c r="EFK7" s="104"/>
      <c r="EFL7" s="104"/>
      <c r="EFM7" s="104"/>
      <c r="EFN7" s="104"/>
      <c r="EFO7" s="104"/>
      <c r="EFP7" s="104"/>
      <c r="EFQ7" s="104"/>
      <c r="EFR7" s="104"/>
      <c r="EFS7" s="104"/>
      <c r="EFT7" s="104"/>
      <c r="EFU7" s="104"/>
      <c r="EFV7" s="104"/>
      <c r="EFW7" s="104"/>
      <c r="EFX7" s="104"/>
      <c r="EFY7" s="104"/>
      <c r="EFZ7" s="104"/>
      <c r="EGA7" s="104"/>
      <c r="EGB7" s="104"/>
      <c r="EGC7" s="104"/>
      <c r="EGD7" s="104"/>
      <c r="EGE7" s="104"/>
      <c r="EGF7" s="104"/>
      <c r="EGG7" s="104"/>
      <c r="EGH7" s="104"/>
      <c r="EGI7" s="104"/>
      <c r="EGJ7" s="104"/>
      <c r="EGK7" s="104"/>
      <c r="EGL7" s="104"/>
      <c r="EGM7" s="104"/>
      <c r="EGN7" s="104"/>
      <c r="EGO7" s="104"/>
      <c r="EGP7" s="104"/>
      <c r="EGQ7" s="104"/>
      <c r="EGR7" s="104"/>
      <c r="EGS7" s="104"/>
      <c r="EGT7" s="104"/>
      <c r="EGU7" s="104"/>
      <c r="EGV7" s="104"/>
      <c r="EGW7" s="104"/>
      <c r="EGX7" s="104"/>
      <c r="EGY7" s="104"/>
      <c r="EGZ7" s="104"/>
      <c r="EHA7" s="104"/>
      <c r="EHB7" s="104"/>
      <c r="EHC7" s="104"/>
      <c r="EHD7" s="104"/>
      <c r="EHE7" s="104"/>
      <c r="EHF7" s="104"/>
      <c r="EHG7" s="104"/>
      <c r="EHH7" s="104"/>
      <c r="EHI7" s="104"/>
      <c r="EHJ7" s="104"/>
      <c r="EHK7" s="104"/>
      <c r="EHL7" s="104"/>
      <c r="EHM7" s="104"/>
      <c r="EHN7" s="104"/>
      <c r="EHO7" s="104"/>
      <c r="EHP7" s="104"/>
      <c r="EHQ7" s="104"/>
      <c r="EHR7" s="104"/>
      <c r="EHS7" s="104"/>
      <c r="EHT7" s="104"/>
      <c r="EHU7" s="104"/>
      <c r="EHV7" s="104"/>
      <c r="EHW7" s="104"/>
      <c r="EHX7" s="104"/>
      <c r="EHY7" s="104"/>
      <c r="EHZ7" s="104"/>
      <c r="EIA7" s="104"/>
      <c r="EIB7" s="104"/>
      <c r="EIC7" s="104"/>
      <c r="EID7" s="104"/>
      <c r="EIE7" s="104"/>
      <c r="EIF7" s="104"/>
      <c r="EIG7" s="104"/>
      <c r="EIH7" s="104"/>
      <c r="EII7" s="104"/>
      <c r="EIJ7" s="104"/>
      <c r="EIK7" s="104"/>
      <c r="EIL7" s="104"/>
      <c r="EIM7" s="104"/>
      <c r="EIN7" s="104"/>
      <c r="EIO7" s="104"/>
      <c r="EIP7" s="104"/>
      <c r="EIQ7" s="104"/>
      <c r="EIR7" s="104"/>
      <c r="EIS7" s="104"/>
      <c r="EIT7" s="104"/>
      <c r="EIU7" s="104"/>
      <c r="EIV7" s="104"/>
      <c r="EIW7" s="104"/>
      <c r="EIX7" s="104"/>
      <c r="EIY7" s="104"/>
      <c r="EIZ7" s="104"/>
      <c r="EJA7" s="104"/>
      <c r="EJB7" s="104"/>
      <c r="EJC7" s="104"/>
      <c r="EJD7" s="104"/>
      <c r="EJE7" s="104"/>
      <c r="EJF7" s="104"/>
      <c r="EJG7" s="104"/>
      <c r="EJH7" s="104"/>
      <c r="EJI7" s="104"/>
      <c r="EJJ7" s="104"/>
      <c r="EJK7" s="104"/>
      <c r="EJL7" s="104"/>
      <c r="EJM7" s="104"/>
      <c r="EJN7" s="104"/>
      <c r="EJO7" s="104"/>
      <c r="EJP7" s="104"/>
      <c r="EJQ7" s="104"/>
      <c r="EJR7" s="104"/>
      <c r="EJS7" s="104"/>
      <c r="EJT7" s="104"/>
      <c r="EJU7" s="104"/>
      <c r="EJV7" s="104"/>
      <c r="EJW7" s="104"/>
      <c r="EJX7" s="104"/>
      <c r="EJY7" s="104"/>
      <c r="EJZ7" s="104"/>
      <c r="EKA7" s="104"/>
      <c r="EKB7" s="104"/>
      <c r="EKC7" s="104"/>
      <c r="EKD7" s="104"/>
      <c r="EKE7" s="104"/>
      <c r="EKF7" s="104"/>
      <c r="EKG7" s="104"/>
      <c r="EKH7" s="104"/>
      <c r="EKI7" s="104"/>
      <c r="EKJ7" s="104"/>
      <c r="EKK7" s="104"/>
      <c r="EKL7" s="104"/>
      <c r="EKM7" s="104"/>
      <c r="EKN7" s="104"/>
      <c r="EKO7" s="104"/>
      <c r="EKP7" s="104"/>
      <c r="EKQ7" s="104"/>
      <c r="EKR7" s="104"/>
      <c r="EKS7" s="104"/>
      <c r="EKT7" s="104"/>
      <c r="EKU7" s="104"/>
      <c r="EKV7" s="104"/>
      <c r="EKW7" s="104"/>
      <c r="EKX7" s="104"/>
      <c r="EKY7" s="104"/>
      <c r="EKZ7" s="104"/>
      <c r="ELA7" s="104"/>
      <c r="ELB7" s="104"/>
      <c r="ELC7" s="104"/>
      <c r="ELD7" s="104"/>
      <c r="ELE7" s="104"/>
      <c r="ELF7" s="104"/>
      <c r="ELG7" s="104"/>
      <c r="ELH7" s="104"/>
      <c r="ELI7" s="104"/>
      <c r="ELJ7" s="104"/>
      <c r="ELK7" s="104"/>
      <c r="ELL7" s="104"/>
      <c r="ELM7" s="104"/>
      <c r="ELN7" s="104"/>
      <c r="ELO7" s="104"/>
      <c r="ELP7" s="104"/>
      <c r="ELQ7" s="104"/>
      <c r="ELR7" s="104"/>
      <c r="ELS7" s="104"/>
      <c r="ELT7" s="104"/>
      <c r="ELU7" s="104"/>
      <c r="ELV7" s="104"/>
      <c r="ELW7" s="104"/>
      <c r="ELX7" s="104"/>
      <c r="ELY7" s="104"/>
      <c r="ELZ7" s="104"/>
      <c r="EMA7" s="104"/>
      <c r="EMB7" s="104"/>
      <c r="EMC7" s="104"/>
      <c r="EMD7" s="104"/>
      <c r="EME7" s="104"/>
      <c r="EMF7" s="104"/>
      <c r="EMG7" s="104"/>
      <c r="EMH7" s="104"/>
      <c r="EMI7" s="104"/>
      <c r="EMJ7" s="104"/>
      <c r="EMK7" s="104"/>
      <c r="EML7" s="104"/>
      <c r="EMM7" s="104"/>
      <c r="EMN7" s="104"/>
      <c r="EMO7" s="104"/>
      <c r="EMP7" s="104"/>
      <c r="EMQ7" s="104"/>
      <c r="EMR7" s="104"/>
      <c r="EMS7" s="104"/>
      <c r="EMT7" s="104"/>
      <c r="EMU7" s="104"/>
      <c r="EMV7" s="104"/>
      <c r="EMW7" s="104"/>
      <c r="EMX7" s="104"/>
      <c r="EMY7" s="104"/>
      <c r="EMZ7" s="104"/>
      <c r="ENA7" s="104"/>
      <c r="ENB7" s="104"/>
      <c r="ENC7" s="104"/>
      <c r="END7" s="104"/>
      <c r="ENE7" s="104"/>
      <c r="ENF7" s="104"/>
      <c r="ENG7" s="104"/>
      <c r="ENH7" s="104"/>
      <c r="ENI7" s="104"/>
      <c r="ENJ7" s="104"/>
      <c r="ENK7" s="104"/>
      <c r="ENL7" s="104"/>
      <c r="ENM7" s="104"/>
      <c r="ENN7" s="104"/>
      <c r="ENO7" s="104"/>
      <c r="ENP7" s="104"/>
      <c r="ENQ7" s="104"/>
      <c r="ENR7" s="104"/>
      <c r="ENS7" s="104"/>
      <c r="ENT7" s="104"/>
      <c r="ENU7" s="104"/>
      <c r="ENV7" s="104"/>
      <c r="ENW7" s="104"/>
      <c r="ENX7" s="104"/>
      <c r="ENY7" s="104"/>
      <c r="ENZ7" s="104"/>
      <c r="EOA7" s="104"/>
      <c r="EOB7" s="104"/>
      <c r="EOC7" s="104"/>
      <c r="EOD7" s="104"/>
      <c r="EOE7" s="104"/>
      <c r="EOF7" s="104"/>
      <c r="EOG7" s="104"/>
      <c r="EOH7" s="104"/>
      <c r="EOI7" s="104"/>
      <c r="EOJ7" s="104"/>
      <c r="EOK7" s="104"/>
      <c r="EOL7" s="104"/>
      <c r="EOM7" s="104"/>
      <c r="EON7" s="104"/>
      <c r="EOO7" s="104"/>
      <c r="EOP7" s="104"/>
      <c r="EOQ7" s="104"/>
      <c r="EOR7" s="104"/>
      <c r="EOS7" s="104"/>
      <c r="EOT7" s="104"/>
      <c r="EOU7" s="104"/>
      <c r="EOV7" s="104"/>
      <c r="EOW7" s="104"/>
      <c r="EOX7" s="104"/>
      <c r="EOY7" s="104"/>
      <c r="EOZ7" s="104"/>
      <c r="EPA7" s="104"/>
      <c r="EPB7" s="104"/>
      <c r="EPC7" s="104"/>
      <c r="EPD7" s="104"/>
      <c r="EPE7" s="104"/>
      <c r="EPF7" s="104"/>
      <c r="EPG7" s="104"/>
      <c r="EPH7" s="104"/>
      <c r="EPI7" s="104"/>
      <c r="EPJ7" s="104"/>
      <c r="EPK7" s="104"/>
      <c r="EPL7" s="104"/>
      <c r="EPM7" s="104"/>
      <c r="EPN7" s="104"/>
      <c r="EPO7" s="104"/>
      <c r="EPP7" s="104"/>
      <c r="EPQ7" s="104"/>
      <c r="EPR7" s="104"/>
      <c r="EPS7" s="104"/>
      <c r="EPT7" s="104"/>
      <c r="EPU7" s="104"/>
      <c r="EPV7" s="104"/>
      <c r="EPW7" s="104"/>
      <c r="EPX7" s="104"/>
      <c r="EPY7" s="104"/>
      <c r="EPZ7" s="104"/>
      <c r="EQA7" s="104"/>
      <c r="EQB7" s="104"/>
      <c r="EQC7" s="104"/>
      <c r="EQD7" s="104"/>
      <c r="EQE7" s="104"/>
      <c r="EQF7" s="104"/>
      <c r="EQG7" s="104"/>
      <c r="EQH7" s="104"/>
      <c r="EQI7" s="104"/>
      <c r="EQJ7" s="104"/>
      <c r="EQK7" s="104"/>
      <c r="EQL7" s="104"/>
      <c r="EQM7" s="104"/>
      <c r="EQN7" s="104"/>
      <c r="EQO7" s="104"/>
      <c r="EQP7" s="104"/>
      <c r="EQQ7" s="104"/>
      <c r="EQR7" s="104"/>
      <c r="EQS7" s="104"/>
      <c r="EQT7" s="104"/>
      <c r="EQU7" s="104"/>
      <c r="EQV7" s="104"/>
      <c r="EQW7" s="104"/>
      <c r="EQX7" s="104"/>
      <c r="EQY7" s="104"/>
      <c r="EQZ7" s="104"/>
      <c r="ERA7" s="104"/>
      <c r="ERB7" s="104"/>
      <c r="ERC7" s="104"/>
      <c r="ERD7" s="104"/>
      <c r="ERE7" s="104"/>
      <c r="ERF7" s="104"/>
      <c r="ERG7" s="104"/>
      <c r="ERH7" s="104"/>
      <c r="ERI7" s="104"/>
      <c r="ERJ7" s="104"/>
      <c r="ERK7" s="104"/>
      <c r="ERL7" s="104"/>
      <c r="ERM7" s="104"/>
      <c r="ERN7" s="104"/>
      <c r="ERO7" s="104"/>
      <c r="ERP7" s="104"/>
      <c r="ERQ7" s="104"/>
      <c r="ERR7" s="104"/>
      <c r="ERS7" s="104"/>
      <c r="ERT7" s="104"/>
      <c r="ERU7" s="104"/>
      <c r="ERV7" s="104"/>
      <c r="ERW7" s="104"/>
      <c r="ERX7" s="104"/>
      <c r="ERY7" s="104"/>
      <c r="ERZ7" s="104"/>
      <c r="ESA7" s="104"/>
      <c r="ESB7" s="104"/>
      <c r="ESC7" s="104"/>
      <c r="ESD7" s="104"/>
      <c r="ESE7" s="104"/>
      <c r="ESF7" s="104"/>
      <c r="ESG7" s="104"/>
      <c r="ESH7" s="104"/>
      <c r="ESI7" s="104"/>
      <c r="ESJ7" s="104"/>
      <c r="ESK7" s="104"/>
      <c r="ESL7" s="104"/>
      <c r="ESM7" s="104"/>
      <c r="ESN7" s="104"/>
      <c r="ESO7" s="104"/>
      <c r="ESP7" s="104"/>
      <c r="ESQ7" s="104"/>
      <c r="ESR7" s="104"/>
      <c r="ESS7" s="104"/>
      <c r="EST7" s="104"/>
      <c r="ESU7" s="104"/>
      <c r="ESV7" s="104"/>
      <c r="ESW7" s="104"/>
      <c r="ESX7" s="104"/>
      <c r="ESY7" s="104"/>
      <c r="ESZ7" s="104"/>
      <c r="ETA7" s="104"/>
      <c r="ETB7" s="104"/>
      <c r="ETC7" s="104"/>
      <c r="ETD7" s="104"/>
      <c r="ETE7" s="104"/>
      <c r="ETF7" s="104"/>
      <c r="ETG7" s="104"/>
      <c r="ETH7" s="104"/>
      <c r="ETI7" s="104"/>
      <c r="ETJ7" s="104"/>
      <c r="ETK7" s="104"/>
      <c r="ETL7" s="104"/>
      <c r="ETM7" s="104"/>
      <c r="ETN7" s="104"/>
      <c r="ETO7" s="104"/>
      <c r="ETP7" s="104"/>
      <c r="ETQ7" s="104"/>
      <c r="ETR7" s="104"/>
      <c r="ETS7" s="104"/>
      <c r="ETT7" s="104"/>
      <c r="ETU7" s="104"/>
      <c r="ETV7" s="104"/>
      <c r="ETW7" s="104"/>
      <c r="ETX7" s="104"/>
      <c r="ETY7" s="104"/>
      <c r="ETZ7" s="104"/>
      <c r="EUA7" s="104"/>
      <c r="EUB7" s="104"/>
      <c r="EUC7" s="104"/>
      <c r="EUD7" s="104"/>
      <c r="EUE7" s="104"/>
      <c r="EUF7" s="104"/>
      <c r="EUG7" s="104"/>
      <c r="EUH7" s="104"/>
      <c r="EUI7" s="104"/>
      <c r="EUJ7" s="104"/>
      <c r="EUK7" s="104"/>
      <c r="EUL7" s="104"/>
      <c r="EUM7" s="104"/>
      <c r="EUN7" s="104"/>
      <c r="EUO7" s="104"/>
      <c r="EUP7" s="104"/>
      <c r="EUQ7" s="104"/>
      <c r="EUR7" s="104"/>
      <c r="EUS7" s="104"/>
      <c r="EUT7" s="104"/>
      <c r="EUU7" s="104"/>
      <c r="EUV7" s="104"/>
      <c r="EUW7" s="104"/>
      <c r="EUX7" s="104"/>
      <c r="EUY7" s="104"/>
      <c r="EUZ7" s="104"/>
      <c r="EVA7" s="104"/>
      <c r="EVB7" s="104"/>
      <c r="EVC7" s="104"/>
      <c r="EVD7" s="104"/>
      <c r="EVE7" s="104"/>
      <c r="EVF7" s="104"/>
      <c r="EVG7" s="104"/>
      <c r="EVH7" s="104"/>
      <c r="EVI7" s="104"/>
      <c r="EVJ7" s="104"/>
      <c r="EVK7" s="104"/>
      <c r="EVL7" s="104"/>
      <c r="EVM7" s="104"/>
      <c r="EVN7" s="104"/>
      <c r="EVO7" s="104"/>
      <c r="EVP7" s="104"/>
      <c r="EVQ7" s="104"/>
      <c r="EVR7" s="104"/>
      <c r="EVS7" s="104"/>
      <c r="EVT7" s="104"/>
      <c r="EVU7" s="104"/>
      <c r="EVV7" s="104"/>
      <c r="EVW7" s="104"/>
      <c r="EVX7" s="104"/>
      <c r="EVY7" s="104"/>
      <c r="EVZ7" s="104"/>
      <c r="EWA7" s="104"/>
      <c r="EWB7" s="104"/>
      <c r="EWC7" s="104"/>
      <c r="EWD7" s="104"/>
      <c r="EWE7" s="104"/>
      <c r="EWF7" s="104"/>
      <c r="EWG7" s="104"/>
      <c r="EWH7" s="104"/>
      <c r="EWI7" s="104"/>
      <c r="EWJ7" s="104"/>
      <c r="EWK7" s="104"/>
      <c r="EWL7" s="104"/>
      <c r="EWM7" s="104"/>
      <c r="EWN7" s="104"/>
      <c r="EWO7" s="104"/>
      <c r="EWP7" s="104"/>
      <c r="EWQ7" s="104"/>
      <c r="EWR7" s="104"/>
      <c r="EWS7" s="104"/>
      <c r="EWT7" s="104"/>
      <c r="EWU7" s="104"/>
      <c r="EWV7" s="104"/>
      <c r="EWW7" s="104"/>
      <c r="EWX7" s="104"/>
      <c r="EWY7" s="104"/>
      <c r="EWZ7" s="104"/>
      <c r="EXA7" s="104"/>
      <c r="EXB7" s="104"/>
      <c r="EXC7" s="104"/>
      <c r="EXD7" s="104"/>
      <c r="EXE7" s="104"/>
      <c r="EXF7" s="104"/>
      <c r="EXG7" s="104"/>
      <c r="EXH7" s="104"/>
      <c r="EXI7" s="104"/>
      <c r="EXJ7" s="104"/>
      <c r="EXK7" s="104"/>
      <c r="EXL7" s="104"/>
      <c r="EXM7" s="104"/>
      <c r="EXN7" s="104"/>
      <c r="EXO7" s="104"/>
      <c r="EXP7" s="104"/>
      <c r="EXQ7" s="104"/>
      <c r="EXR7" s="104"/>
      <c r="EXS7" s="104"/>
      <c r="EXT7" s="104"/>
      <c r="EXU7" s="104"/>
      <c r="EXV7" s="104"/>
      <c r="EXW7" s="104"/>
      <c r="EXX7" s="104"/>
      <c r="EXY7" s="104"/>
      <c r="EXZ7" s="104"/>
      <c r="EYA7" s="104"/>
      <c r="EYB7" s="104"/>
      <c r="EYC7" s="104"/>
      <c r="EYD7" s="104"/>
      <c r="EYE7" s="104"/>
      <c r="EYF7" s="104"/>
      <c r="EYG7" s="104"/>
      <c r="EYH7" s="104"/>
      <c r="EYI7" s="104"/>
      <c r="EYJ7" s="104"/>
      <c r="EYK7" s="104"/>
      <c r="EYL7" s="104"/>
      <c r="EYM7" s="104"/>
      <c r="EYN7" s="104"/>
      <c r="EYO7" s="104"/>
      <c r="EYP7" s="104"/>
      <c r="EYQ7" s="104"/>
      <c r="EYR7" s="104"/>
      <c r="EYS7" s="104"/>
      <c r="EYT7" s="104"/>
      <c r="EYU7" s="104"/>
      <c r="EYV7" s="104"/>
      <c r="EYW7" s="104"/>
      <c r="EYX7" s="104"/>
      <c r="EYY7" s="104"/>
      <c r="EYZ7" s="104"/>
      <c r="EZA7" s="104"/>
      <c r="EZB7" s="104"/>
      <c r="EZC7" s="104"/>
      <c r="EZD7" s="104"/>
      <c r="EZE7" s="104"/>
      <c r="EZF7" s="104"/>
      <c r="EZG7" s="104"/>
      <c r="EZH7" s="104"/>
      <c r="EZI7" s="104"/>
      <c r="EZJ7" s="104"/>
      <c r="EZK7" s="104"/>
      <c r="EZL7" s="104"/>
      <c r="EZM7" s="104"/>
      <c r="EZN7" s="104"/>
      <c r="EZO7" s="104"/>
      <c r="EZP7" s="104"/>
      <c r="EZQ7" s="104"/>
      <c r="EZR7" s="104"/>
      <c r="EZS7" s="104"/>
      <c r="EZT7" s="104"/>
      <c r="EZU7" s="104"/>
      <c r="EZV7" s="104"/>
      <c r="EZW7" s="104"/>
      <c r="EZX7" s="104"/>
      <c r="EZY7" s="104"/>
      <c r="EZZ7" s="104"/>
      <c r="FAA7" s="104"/>
      <c r="FAB7" s="104"/>
      <c r="FAC7" s="104"/>
      <c r="FAD7" s="104"/>
      <c r="FAE7" s="104"/>
      <c r="FAF7" s="104"/>
      <c r="FAG7" s="104"/>
      <c r="FAH7" s="104"/>
      <c r="FAI7" s="104"/>
      <c r="FAJ7" s="104"/>
      <c r="FAK7" s="104"/>
      <c r="FAL7" s="104"/>
      <c r="FAM7" s="104"/>
      <c r="FAN7" s="104"/>
      <c r="FAO7" s="104"/>
      <c r="FAP7" s="104"/>
      <c r="FAQ7" s="104"/>
      <c r="FAR7" s="104"/>
      <c r="FAS7" s="104"/>
      <c r="FAT7" s="104"/>
      <c r="FAU7" s="104"/>
      <c r="FAV7" s="104"/>
      <c r="FAW7" s="104"/>
      <c r="FAX7" s="104"/>
      <c r="FAY7" s="104"/>
      <c r="FAZ7" s="104"/>
      <c r="FBA7" s="104"/>
      <c r="FBB7" s="104"/>
      <c r="FBC7" s="104"/>
      <c r="FBD7" s="104"/>
      <c r="FBE7" s="104"/>
      <c r="FBF7" s="104"/>
      <c r="FBG7" s="104"/>
      <c r="FBH7" s="104"/>
      <c r="FBI7" s="104"/>
      <c r="FBJ7" s="104"/>
      <c r="FBK7" s="104"/>
      <c r="FBL7" s="104"/>
      <c r="FBM7" s="104"/>
      <c r="FBN7" s="104"/>
      <c r="FBO7" s="104"/>
      <c r="FBP7" s="104"/>
      <c r="FBQ7" s="104"/>
      <c r="FBR7" s="104"/>
      <c r="FBS7" s="104"/>
      <c r="FBT7" s="104"/>
      <c r="FBU7" s="104"/>
      <c r="FBV7" s="104"/>
      <c r="FBW7" s="104"/>
      <c r="FBX7" s="104"/>
      <c r="FBY7" s="104"/>
      <c r="FBZ7" s="104"/>
      <c r="FCA7" s="104"/>
      <c r="FCB7" s="104"/>
      <c r="FCC7" s="104"/>
      <c r="FCD7" s="104"/>
      <c r="FCE7" s="104"/>
      <c r="FCF7" s="104"/>
      <c r="FCG7" s="104"/>
      <c r="FCH7" s="104"/>
      <c r="FCI7" s="104"/>
      <c r="FCJ7" s="104"/>
      <c r="FCK7" s="104"/>
      <c r="FCL7" s="104"/>
      <c r="FCM7" s="104"/>
      <c r="FCN7" s="104"/>
      <c r="FCO7" s="104"/>
      <c r="FCP7" s="104"/>
      <c r="FCQ7" s="104"/>
      <c r="FCR7" s="104"/>
      <c r="FCS7" s="104"/>
      <c r="FCT7" s="104"/>
      <c r="FCU7" s="104"/>
      <c r="FCV7" s="104"/>
      <c r="FCW7" s="104"/>
      <c r="FCX7" s="104"/>
      <c r="FCY7" s="104"/>
      <c r="FCZ7" s="104"/>
      <c r="FDA7" s="104"/>
      <c r="FDB7" s="104"/>
      <c r="FDC7" s="104"/>
      <c r="FDD7" s="104"/>
      <c r="FDE7" s="104"/>
      <c r="FDF7" s="104"/>
      <c r="FDG7" s="104"/>
      <c r="FDH7" s="104"/>
      <c r="FDI7" s="104"/>
      <c r="FDJ7" s="104"/>
      <c r="FDK7" s="104"/>
      <c r="FDL7" s="104"/>
      <c r="FDM7" s="104"/>
      <c r="FDN7" s="104"/>
      <c r="FDO7" s="104"/>
      <c r="FDP7" s="104"/>
      <c r="FDQ7" s="104"/>
      <c r="FDR7" s="104"/>
      <c r="FDS7" s="104"/>
      <c r="FDT7" s="104"/>
      <c r="FDU7" s="104"/>
      <c r="FDV7" s="104"/>
      <c r="FDW7" s="104"/>
      <c r="FDX7" s="104"/>
      <c r="FDY7" s="104"/>
      <c r="FDZ7" s="104"/>
      <c r="FEA7" s="104"/>
      <c r="FEB7" s="104"/>
      <c r="FEC7" s="104"/>
      <c r="FED7" s="104"/>
      <c r="FEE7" s="104"/>
      <c r="FEF7" s="104"/>
      <c r="FEG7" s="104"/>
      <c r="FEH7" s="104"/>
      <c r="FEI7" s="104"/>
      <c r="FEJ7" s="104"/>
      <c r="FEK7" s="104"/>
      <c r="FEL7" s="104"/>
      <c r="FEM7" s="104"/>
      <c r="FEN7" s="104"/>
      <c r="FEO7" s="104"/>
      <c r="FEP7" s="104"/>
      <c r="FEQ7" s="104"/>
      <c r="FER7" s="104"/>
      <c r="FES7" s="104"/>
      <c r="FET7" s="104"/>
      <c r="FEU7" s="104"/>
      <c r="FEV7" s="104"/>
      <c r="FEW7" s="104"/>
      <c r="FEX7" s="104"/>
      <c r="FEY7" s="104"/>
      <c r="FEZ7" s="104"/>
      <c r="FFA7" s="104"/>
      <c r="FFB7" s="104"/>
      <c r="FFC7" s="104"/>
      <c r="FFD7" s="104"/>
      <c r="FFE7" s="104"/>
      <c r="FFF7" s="104"/>
      <c r="FFG7" s="104"/>
      <c r="FFH7" s="104"/>
      <c r="FFI7" s="104"/>
      <c r="FFJ7" s="104"/>
      <c r="FFK7" s="104"/>
      <c r="FFL7" s="104"/>
      <c r="FFM7" s="104"/>
      <c r="FFN7" s="104"/>
      <c r="FFO7" s="104"/>
      <c r="FFP7" s="104"/>
      <c r="FFQ7" s="104"/>
      <c r="FFR7" s="104"/>
      <c r="FFS7" s="104"/>
      <c r="FFT7" s="104"/>
      <c r="FFU7" s="104"/>
      <c r="FFV7" s="104"/>
      <c r="FFW7" s="104"/>
      <c r="FFX7" s="104"/>
      <c r="FFY7" s="104"/>
      <c r="FFZ7" s="104"/>
      <c r="FGA7" s="104"/>
      <c r="FGB7" s="104"/>
      <c r="FGC7" s="104"/>
      <c r="FGD7" s="104"/>
      <c r="FGE7" s="104"/>
      <c r="FGF7" s="104"/>
      <c r="FGG7" s="104"/>
      <c r="FGH7" s="104"/>
      <c r="FGI7" s="104"/>
      <c r="FGJ7" s="104"/>
      <c r="FGK7" s="104"/>
      <c r="FGL7" s="104"/>
      <c r="FGM7" s="104"/>
      <c r="FGN7" s="104"/>
      <c r="FGO7" s="104"/>
      <c r="FGP7" s="104"/>
      <c r="FGQ7" s="104"/>
      <c r="FGR7" s="104"/>
      <c r="FGS7" s="104"/>
      <c r="FGT7" s="104"/>
      <c r="FGU7" s="104"/>
      <c r="FGV7" s="104"/>
      <c r="FGW7" s="104"/>
      <c r="FGX7" s="104"/>
      <c r="FGY7" s="104"/>
      <c r="FGZ7" s="104"/>
      <c r="FHA7" s="104"/>
      <c r="FHB7" s="104"/>
      <c r="FHC7" s="104"/>
      <c r="FHD7" s="104"/>
      <c r="FHE7" s="104"/>
      <c r="FHF7" s="104"/>
      <c r="FHG7" s="104"/>
      <c r="FHH7" s="104"/>
      <c r="FHI7" s="104"/>
      <c r="FHJ7" s="104"/>
      <c r="FHK7" s="104"/>
      <c r="FHL7" s="104"/>
      <c r="FHM7" s="104"/>
      <c r="FHN7" s="104"/>
      <c r="FHO7" s="104"/>
      <c r="FHP7" s="104"/>
      <c r="FHQ7" s="104"/>
      <c r="FHR7" s="104"/>
      <c r="FHS7" s="104"/>
      <c r="FHT7" s="104"/>
      <c r="FHU7" s="104"/>
      <c r="FHV7" s="104"/>
      <c r="FHW7" s="104"/>
      <c r="FHX7" s="104"/>
      <c r="FHY7" s="104"/>
      <c r="FHZ7" s="104"/>
      <c r="FIA7" s="104"/>
      <c r="FIB7" s="104"/>
      <c r="FIC7" s="104"/>
      <c r="FID7" s="104"/>
      <c r="FIE7" s="104"/>
      <c r="FIF7" s="104"/>
      <c r="FIG7" s="104"/>
      <c r="FIH7" s="104"/>
      <c r="FII7" s="104"/>
      <c r="FIJ7" s="104"/>
      <c r="FIK7" s="104"/>
      <c r="FIL7" s="104"/>
      <c r="FIM7" s="104"/>
      <c r="FIN7" s="104"/>
      <c r="FIO7" s="104"/>
      <c r="FIP7" s="104"/>
      <c r="FIQ7" s="104"/>
      <c r="FIR7" s="104"/>
      <c r="FIS7" s="104"/>
      <c r="FIT7" s="104"/>
      <c r="FIU7" s="104"/>
      <c r="FIV7" s="104"/>
      <c r="FIW7" s="104"/>
      <c r="FIX7" s="104"/>
      <c r="FIY7" s="104"/>
      <c r="FIZ7" s="104"/>
      <c r="FJA7" s="104"/>
      <c r="FJB7" s="104"/>
      <c r="FJC7" s="104"/>
      <c r="FJD7" s="104"/>
      <c r="FJE7" s="104"/>
      <c r="FJF7" s="104"/>
      <c r="FJG7" s="104"/>
      <c r="FJH7" s="104"/>
      <c r="FJI7" s="104"/>
      <c r="FJJ7" s="104"/>
      <c r="FJK7" s="104"/>
      <c r="FJL7" s="104"/>
      <c r="FJM7" s="104"/>
      <c r="FJN7" s="104"/>
      <c r="FJO7" s="104"/>
      <c r="FJP7" s="104"/>
      <c r="FJQ7" s="104"/>
      <c r="FJR7" s="104"/>
      <c r="FJS7" s="104"/>
      <c r="FJT7" s="104"/>
      <c r="FJU7" s="104"/>
      <c r="FJV7" s="104"/>
      <c r="FJW7" s="104"/>
      <c r="FJX7" s="104"/>
      <c r="FJY7" s="104"/>
      <c r="FJZ7" s="104"/>
      <c r="FKA7" s="104"/>
      <c r="FKB7" s="104"/>
      <c r="FKC7" s="104"/>
      <c r="FKD7" s="104"/>
      <c r="FKE7" s="104"/>
      <c r="FKF7" s="104"/>
      <c r="FKG7" s="104"/>
      <c r="FKH7" s="104"/>
      <c r="FKI7" s="104"/>
      <c r="FKJ7" s="104"/>
      <c r="FKK7" s="104"/>
      <c r="FKL7" s="104"/>
      <c r="FKM7" s="104"/>
      <c r="FKN7" s="104"/>
      <c r="FKO7" s="104"/>
      <c r="FKP7" s="104"/>
      <c r="FKQ7" s="104"/>
      <c r="FKR7" s="104"/>
      <c r="FKS7" s="104"/>
      <c r="FKT7" s="104"/>
      <c r="FKU7" s="104"/>
      <c r="FKV7" s="104"/>
      <c r="FKW7" s="104"/>
      <c r="FKX7" s="104"/>
      <c r="FKY7" s="104"/>
      <c r="FKZ7" s="104"/>
      <c r="FLA7" s="104"/>
      <c r="FLB7" s="104"/>
      <c r="FLC7" s="104"/>
      <c r="FLD7" s="104"/>
      <c r="FLE7" s="104"/>
      <c r="FLF7" s="104"/>
      <c r="FLG7" s="104"/>
      <c r="FLH7" s="104"/>
      <c r="FLI7" s="104"/>
      <c r="FLJ7" s="104"/>
      <c r="FLK7" s="104"/>
      <c r="FLL7" s="104"/>
      <c r="FLM7" s="104"/>
      <c r="FLN7" s="104"/>
      <c r="FLO7" s="104"/>
      <c r="FLP7" s="104"/>
      <c r="FLQ7" s="104"/>
      <c r="FLR7" s="104"/>
      <c r="FLS7" s="104"/>
      <c r="FLT7" s="104"/>
      <c r="FLU7" s="104"/>
      <c r="FLV7" s="104"/>
      <c r="FLW7" s="104"/>
      <c r="FLX7" s="104"/>
      <c r="FLY7" s="104"/>
      <c r="FLZ7" s="104"/>
      <c r="FMA7" s="104"/>
      <c r="FMB7" s="104"/>
      <c r="FMC7" s="104"/>
      <c r="FMD7" s="104"/>
      <c r="FME7" s="104"/>
      <c r="FMF7" s="104"/>
      <c r="FMG7" s="104"/>
      <c r="FMH7" s="104"/>
      <c r="FMI7" s="104"/>
      <c r="FMJ7" s="104"/>
      <c r="FMK7" s="104"/>
      <c r="FML7" s="104"/>
      <c r="FMM7" s="104"/>
      <c r="FMN7" s="104"/>
      <c r="FMO7" s="104"/>
      <c r="FMP7" s="104"/>
      <c r="FMQ7" s="104"/>
      <c r="FMR7" s="104"/>
      <c r="FMS7" s="104"/>
      <c r="FMT7" s="104"/>
      <c r="FMU7" s="104"/>
      <c r="FMV7" s="104"/>
      <c r="FMW7" s="104"/>
      <c r="FMX7" s="104"/>
      <c r="FMY7" s="104"/>
      <c r="FMZ7" s="104"/>
      <c r="FNA7" s="104"/>
      <c r="FNB7" s="104"/>
      <c r="FNC7" s="104"/>
      <c r="FND7" s="104"/>
      <c r="FNE7" s="104"/>
      <c r="FNF7" s="104"/>
      <c r="FNG7" s="104"/>
      <c r="FNH7" s="104"/>
      <c r="FNI7" s="104"/>
      <c r="FNJ7" s="104"/>
      <c r="FNK7" s="104"/>
      <c r="FNL7" s="104"/>
      <c r="FNM7" s="104"/>
      <c r="FNN7" s="104"/>
      <c r="FNO7" s="104"/>
      <c r="FNP7" s="104"/>
      <c r="FNQ7" s="104"/>
      <c r="FNR7" s="104"/>
      <c r="FNS7" s="104"/>
      <c r="FNT7" s="104"/>
      <c r="FNU7" s="104"/>
      <c r="FNV7" s="104"/>
      <c r="FNW7" s="104"/>
      <c r="FNX7" s="104"/>
      <c r="FNY7" s="104"/>
      <c r="FNZ7" s="104"/>
      <c r="FOA7" s="104"/>
      <c r="FOB7" s="104"/>
      <c r="FOC7" s="104"/>
      <c r="FOD7" s="104"/>
      <c r="FOE7" s="104"/>
      <c r="FOF7" s="104"/>
      <c r="FOG7" s="104"/>
      <c r="FOH7" s="104"/>
      <c r="FOI7" s="104"/>
      <c r="FOJ7" s="104"/>
      <c r="FOK7" s="104"/>
      <c r="FOL7" s="104"/>
      <c r="FOM7" s="104"/>
      <c r="FON7" s="104"/>
      <c r="FOO7" s="104"/>
      <c r="FOP7" s="104"/>
      <c r="FOQ7" s="104"/>
      <c r="FOR7" s="104"/>
      <c r="FOS7" s="104"/>
      <c r="FOT7" s="104"/>
      <c r="FOU7" s="104"/>
      <c r="FOV7" s="104"/>
      <c r="FOW7" s="104"/>
      <c r="FOX7" s="104"/>
      <c r="FOY7" s="104"/>
      <c r="FOZ7" s="104"/>
      <c r="FPA7" s="104"/>
      <c r="FPB7" s="104"/>
      <c r="FPC7" s="104"/>
      <c r="FPD7" s="104"/>
      <c r="FPE7" s="104"/>
      <c r="FPF7" s="104"/>
      <c r="FPG7" s="104"/>
      <c r="FPH7" s="104"/>
      <c r="FPI7" s="104"/>
      <c r="FPJ7" s="104"/>
      <c r="FPK7" s="104"/>
      <c r="FPL7" s="104"/>
      <c r="FPM7" s="104"/>
      <c r="FPN7" s="104"/>
      <c r="FPO7" s="104"/>
      <c r="FPP7" s="104"/>
      <c r="FPQ7" s="104"/>
      <c r="FPR7" s="104"/>
      <c r="FPS7" s="104"/>
      <c r="FPT7" s="104"/>
      <c r="FPU7" s="104"/>
      <c r="FPV7" s="104"/>
      <c r="FPW7" s="104"/>
      <c r="FPX7" s="104"/>
      <c r="FPY7" s="104"/>
      <c r="FPZ7" s="104"/>
      <c r="FQA7" s="104"/>
      <c r="FQB7" s="104"/>
      <c r="FQC7" s="104"/>
      <c r="FQD7" s="104"/>
      <c r="FQE7" s="104"/>
      <c r="FQF7" s="104"/>
      <c r="FQG7" s="104"/>
      <c r="FQH7" s="104"/>
      <c r="FQI7" s="104"/>
      <c r="FQJ7" s="104"/>
      <c r="FQK7" s="104"/>
      <c r="FQL7" s="104"/>
      <c r="FQM7" s="104"/>
      <c r="FQN7" s="104"/>
      <c r="FQO7" s="104"/>
      <c r="FQP7" s="104"/>
      <c r="FQQ7" s="104"/>
      <c r="FQR7" s="104"/>
      <c r="FQS7" s="104"/>
      <c r="FQT7" s="104"/>
      <c r="FQU7" s="104"/>
      <c r="FQV7" s="104"/>
      <c r="FQW7" s="104"/>
      <c r="FQX7" s="104"/>
      <c r="FQY7" s="104"/>
      <c r="FQZ7" s="104"/>
      <c r="FRA7" s="104"/>
      <c r="FRB7" s="104"/>
      <c r="FRC7" s="104"/>
      <c r="FRD7" s="104"/>
      <c r="FRE7" s="104"/>
      <c r="FRF7" s="104"/>
      <c r="FRG7" s="104"/>
      <c r="FRH7" s="104"/>
      <c r="FRI7" s="104"/>
      <c r="FRJ7" s="104"/>
      <c r="FRK7" s="104"/>
      <c r="FRL7" s="104"/>
      <c r="FRM7" s="104"/>
      <c r="FRN7" s="104"/>
      <c r="FRO7" s="104"/>
      <c r="FRP7" s="104"/>
      <c r="FRQ7" s="104"/>
      <c r="FRR7" s="104"/>
      <c r="FRS7" s="104"/>
      <c r="FRT7" s="104"/>
      <c r="FRU7" s="104"/>
      <c r="FRV7" s="104"/>
      <c r="FRW7" s="104"/>
      <c r="FRX7" s="104"/>
      <c r="FRY7" s="104"/>
      <c r="FRZ7" s="104"/>
      <c r="FSA7" s="104"/>
      <c r="FSB7" s="104"/>
      <c r="FSC7" s="104"/>
      <c r="FSD7" s="104"/>
      <c r="FSE7" s="104"/>
      <c r="FSF7" s="104"/>
      <c r="FSG7" s="104"/>
      <c r="FSH7" s="104"/>
      <c r="FSI7" s="104"/>
      <c r="FSJ7" s="104"/>
      <c r="FSK7" s="104"/>
      <c r="FSL7" s="104"/>
      <c r="FSM7" s="104"/>
      <c r="FSN7" s="104"/>
      <c r="FSO7" s="104"/>
      <c r="FSP7" s="104"/>
      <c r="FSQ7" s="104"/>
      <c r="FSR7" s="104"/>
      <c r="FSS7" s="104"/>
      <c r="FST7" s="104"/>
      <c r="FSU7" s="104"/>
      <c r="FSV7" s="104"/>
      <c r="FSW7" s="104"/>
      <c r="FSX7" s="104"/>
      <c r="FSY7" s="104"/>
      <c r="FSZ7" s="104"/>
      <c r="FTA7" s="104"/>
      <c r="FTB7" s="104"/>
      <c r="FTC7" s="104"/>
      <c r="FTD7" s="104"/>
      <c r="FTE7" s="104"/>
      <c r="FTF7" s="104"/>
      <c r="FTG7" s="104"/>
      <c r="FTH7" s="104"/>
      <c r="FTI7" s="104"/>
      <c r="FTJ7" s="104"/>
      <c r="FTK7" s="104"/>
      <c r="FTL7" s="104"/>
      <c r="FTM7" s="104"/>
      <c r="FTN7" s="104"/>
      <c r="FTO7" s="104"/>
      <c r="FTP7" s="104"/>
      <c r="FTQ7" s="104"/>
      <c r="FTR7" s="104"/>
      <c r="FTS7" s="104"/>
      <c r="FTT7" s="104"/>
      <c r="FTU7" s="104"/>
      <c r="FTV7" s="104"/>
      <c r="FTW7" s="104"/>
      <c r="FTX7" s="104"/>
      <c r="FTY7" s="104"/>
      <c r="FTZ7" s="104"/>
      <c r="FUA7" s="104"/>
      <c r="FUB7" s="104"/>
      <c r="FUC7" s="104"/>
      <c r="FUD7" s="104"/>
      <c r="FUE7" s="104"/>
      <c r="FUF7" s="104"/>
      <c r="FUG7" s="104"/>
      <c r="FUH7" s="104"/>
      <c r="FUI7" s="104"/>
      <c r="FUJ7" s="104"/>
      <c r="FUK7" s="104"/>
      <c r="FUL7" s="104"/>
      <c r="FUM7" s="104"/>
      <c r="FUN7" s="104"/>
      <c r="FUO7" s="104"/>
      <c r="FUP7" s="104"/>
      <c r="FUQ7" s="104"/>
      <c r="FUR7" s="104"/>
      <c r="FUS7" s="104"/>
      <c r="FUT7" s="104"/>
      <c r="FUU7" s="104"/>
      <c r="FUV7" s="104"/>
      <c r="FUW7" s="104"/>
      <c r="FUX7" s="104"/>
      <c r="FUY7" s="104"/>
      <c r="FUZ7" s="104"/>
      <c r="FVA7" s="104"/>
      <c r="FVB7" s="104"/>
      <c r="FVC7" s="104"/>
      <c r="FVD7" s="104"/>
      <c r="FVE7" s="104"/>
      <c r="FVF7" s="104"/>
      <c r="FVG7" s="104"/>
      <c r="FVH7" s="104"/>
      <c r="FVI7" s="104"/>
      <c r="FVJ7" s="104"/>
      <c r="FVK7" s="104"/>
      <c r="FVL7" s="104"/>
      <c r="FVM7" s="104"/>
      <c r="FVN7" s="104"/>
      <c r="FVO7" s="104"/>
      <c r="FVP7" s="104"/>
      <c r="FVQ7" s="104"/>
      <c r="FVR7" s="104"/>
      <c r="FVS7" s="104"/>
      <c r="FVT7" s="104"/>
      <c r="FVU7" s="104"/>
      <c r="FVV7" s="104"/>
      <c r="FVW7" s="104"/>
      <c r="FVX7" s="104"/>
      <c r="FVY7" s="104"/>
      <c r="FVZ7" s="104"/>
      <c r="FWA7" s="104"/>
      <c r="FWB7" s="104"/>
      <c r="FWC7" s="104"/>
      <c r="FWD7" s="104"/>
      <c r="FWE7" s="104"/>
      <c r="FWF7" s="104"/>
      <c r="FWG7" s="104"/>
      <c r="FWH7" s="104"/>
      <c r="FWI7" s="104"/>
      <c r="FWJ7" s="104"/>
      <c r="FWK7" s="104"/>
      <c r="FWL7" s="104"/>
      <c r="FWM7" s="104"/>
      <c r="FWN7" s="104"/>
      <c r="FWO7" s="104"/>
      <c r="FWP7" s="104"/>
      <c r="FWQ7" s="104"/>
      <c r="FWR7" s="104"/>
      <c r="FWS7" s="104"/>
      <c r="FWT7" s="104"/>
      <c r="FWU7" s="104"/>
      <c r="FWV7" s="104"/>
      <c r="FWW7" s="104"/>
      <c r="FWX7" s="104"/>
      <c r="FWY7" s="104"/>
      <c r="FWZ7" s="104"/>
      <c r="FXA7" s="104"/>
      <c r="FXB7" s="104"/>
      <c r="FXC7" s="104"/>
      <c r="FXD7" s="104"/>
      <c r="FXE7" s="104"/>
      <c r="FXF7" s="104"/>
      <c r="FXG7" s="104"/>
      <c r="FXH7" s="104"/>
      <c r="FXI7" s="104"/>
      <c r="FXJ7" s="104"/>
      <c r="FXK7" s="104"/>
      <c r="FXL7" s="104"/>
      <c r="FXM7" s="104"/>
      <c r="FXN7" s="104"/>
      <c r="FXO7" s="104"/>
      <c r="FXP7" s="104"/>
      <c r="FXQ7" s="104"/>
      <c r="FXR7" s="104"/>
      <c r="FXS7" s="104"/>
      <c r="FXT7" s="104"/>
      <c r="FXU7" s="104"/>
      <c r="FXV7" s="104"/>
      <c r="FXW7" s="104"/>
      <c r="FXX7" s="104"/>
      <c r="FXY7" s="104"/>
      <c r="FXZ7" s="104"/>
      <c r="FYA7" s="104"/>
      <c r="FYB7" s="104"/>
      <c r="FYC7" s="104"/>
      <c r="FYD7" s="104"/>
      <c r="FYE7" s="104"/>
      <c r="FYF7" s="104"/>
      <c r="FYG7" s="104"/>
      <c r="FYH7" s="104"/>
      <c r="FYI7" s="104"/>
      <c r="FYJ7" s="104"/>
      <c r="FYK7" s="104"/>
      <c r="FYL7" s="104"/>
      <c r="FYM7" s="104"/>
      <c r="FYN7" s="104"/>
      <c r="FYO7" s="104"/>
      <c r="FYP7" s="104"/>
      <c r="FYQ7" s="104"/>
      <c r="FYR7" s="104"/>
      <c r="FYS7" s="104"/>
      <c r="FYT7" s="104"/>
      <c r="FYU7" s="104"/>
      <c r="FYV7" s="104"/>
      <c r="FYW7" s="104"/>
      <c r="FYX7" s="104"/>
      <c r="FYY7" s="104"/>
      <c r="FYZ7" s="104"/>
      <c r="FZA7" s="104"/>
      <c r="FZB7" s="104"/>
      <c r="FZC7" s="104"/>
      <c r="FZD7" s="104"/>
      <c r="FZE7" s="104"/>
      <c r="FZF7" s="104"/>
      <c r="FZG7" s="104"/>
      <c r="FZH7" s="104"/>
      <c r="FZI7" s="104"/>
      <c r="FZJ7" s="104"/>
      <c r="FZK7" s="104"/>
      <c r="FZL7" s="104"/>
      <c r="FZM7" s="104"/>
      <c r="FZN7" s="104"/>
      <c r="FZO7" s="104"/>
      <c r="FZP7" s="104"/>
      <c r="FZQ7" s="104"/>
      <c r="FZR7" s="104"/>
      <c r="FZS7" s="104"/>
      <c r="FZT7" s="104"/>
      <c r="FZU7" s="104"/>
      <c r="FZV7" s="104"/>
      <c r="FZW7" s="104"/>
      <c r="FZX7" s="104"/>
      <c r="FZY7" s="104"/>
      <c r="FZZ7" s="104"/>
      <c r="GAA7" s="104"/>
      <c r="GAB7" s="104"/>
      <c r="GAC7" s="104"/>
      <c r="GAD7" s="104"/>
      <c r="GAE7" s="104"/>
      <c r="GAF7" s="104"/>
      <c r="GAG7" s="104"/>
      <c r="GAH7" s="104"/>
      <c r="GAI7" s="104"/>
      <c r="GAJ7" s="104"/>
      <c r="GAK7" s="104"/>
      <c r="GAL7" s="104"/>
      <c r="GAM7" s="104"/>
      <c r="GAN7" s="104"/>
      <c r="GAO7" s="104"/>
      <c r="GAP7" s="104"/>
      <c r="GAQ7" s="104"/>
      <c r="GAR7" s="104"/>
      <c r="GAS7" s="104"/>
      <c r="GAT7" s="104"/>
      <c r="GAU7" s="104"/>
      <c r="GAV7" s="104"/>
      <c r="GAW7" s="104"/>
      <c r="GAX7" s="104"/>
      <c r="GAY7" s="104"/>
      <c r="GAZ7" s="104"/>
      <c r="GBA7" s="104"/>
      <c r="GBB7" s="104"/>
      <c r="GBC7" s="104"/>
      <c r="GBD7" s="104"/>
      <c r="GBE7" s="104"/>
      <c r="GBF7" s="104"/>
      <c r="GBG7" s="104"/>
      <c r="GBH7" s="104"/>
      <c r="GBI7" s="104"/>
      <c r="GBJ7" s="104"/>
      <c r="GBK7" s="104"/>
      <c r="GBL7" s="104"/>
      <c r="GBM7" s="104"/>
      <c r="GBN7" s="104"/>
      <c r="GBO7" s="104"/>
      <c r="GBP7" s="104"/>
      <c r="GBQ7" s="104"/>
      <c r="GBR7" s="104"/>
      <c r="GBS7" s="104"/>
      <c r="GBT7" s="104"/>
      <c r="GBU7" s="104"/>
      <c r="GBV7" s="104"/>
      <c r="GBW7" s="104"/>
      <c r="GBX7" s="104"/>
      <c r="GBY7" s="104"/>
      <c r="GBZ7" s="104"/>
      <c r="GCA7" s="104"/>
      <c r="GCB7" s="104"/>
      <c r="GCC7" s="104"/>
      <c r="GCD7" s="104"/>
      <c r="GCE7" s="104"/>
      <c r="GCF7" s="104"/>
      <c r="GCG7" s="104"/>
      <c r="GCH7" s="104"/>
      <c r="GCI7" s="104"/>
      <c r="GCJ7" s="104"/>
      <c r="GCK7" s="104"/>
      <c r="GCL7" s="104"/>
      <c r="GCM7" s="104"/>
      <c r="GCN7" s="104"/>
      <c r="GCO7" s="104"/>
      <c r="GCP7" s="104"/>
      <c r="GCQ7" s="104"/>
      <c r="GCR7" s="104"/>
      <c r="GCS7" s="104"/>
      <c r="GCT7" s="104"/>
      <c r="GCU7" s="104"/>
      <c r="GCV7" s="104"/>
      <c r="GCW7" s="104"/>
      <c r="GCX7" s="104"/>
      <c r="GCY7" s="104"/>
      <c r="GCZ7" s="104"/>
      <c r="GDA7" s="104"/>
      <c r="GDB7" s="104"/>
      <c r="GDC7" s="104"/>
      <c r="GDD7" s="104"/>
      <c r="GDE7" s="104"/>
      <c r="GDF7" s="104"/>
      <c r="GDG7" s="104"/>
      <c r="GDH7" s="104"/>
      <c r="GDI7" s="104"/>
      <c r="GDJ7" s="104"/>
      <c r="GDK7" s="104"/>
      <c r="GDL7" s="104"/>
      <c r="GDM7" s="104"/>
      <c r="GDN7" s="104"/>
      <c r="GDO7" s="104"/>
      <c r="GDP7" s="104"/>
      <c r="GDQ7" s="104"/>
      <c r="GDR7" s="104"/>
      <c r="GDS7" s="104"/>
      <c r="GDT7" s="104"/>
      <c r="GDU7" s="104"/>
      <c r="GDV7" s="104"/>
      <c r="GDW7" s="104"/>
      <c r="GDX7" s="104"/>
      <c r="GDY7" s="104"/>
      <c r="GDZ7" s="104"/>
      <c r="GEA7" s="104"/>
      <c r="GEB7" s="104"/>
      <c r="GEC7" s="104"/>
      <c r="GED7" s="104"/>
      <c r="GEE7" s="104"/>
      <c r="GEF7" s="104"/>
      <c r="GEG7" s="104"/>
      <c r="GEH7" s="104"/>
      <c r="GEI7" s="104"/>
      <c r="GEJ7" s="104"/>
      <c r="GEK7" s="104"/>
      <c r="GEL7" s="104"/>
      <c r="GEM7" s="104"/>
      <c r="GEN7" s="104"/>
      <c r="GEO7" s="104"/>
      <c r="GEP7" s="104"/>
      <c r="GEQ7" s="104"/>
      <c r="GER7" s="104"/>
      <c r="GES7" s="104"/>
      <c r="GET7" s="104"/>
      <c r="GEU7" s="104"/>
      <c r="GEV7" s="104"/>
      <c r="GEW7" s="104"/>
      <c r="GEX7" s="104"/>
      <c r="GEY7" s="104"/>
      <c r="GEZ7" s="104"/>
      <c r="GFA7" s="104"/>
      <c r="GFB7" s="104"/>
      <c r="GFC7" s="104"/>
      <c r="GFD7" s="104"/>
      <c r="GFE7" s="104"/>
      <c r="GFF7" s="104"/>
      <c r="GFG7" s="104"/>
      <c r="GFH7" s="104"/>
      <c r="GFI7" s="104"/>
      <c r="GFJ7" s="104"/>
      <c r="GFK7" s="104"/>
      <c r="GFL7" s="104"/>
      <c r="GFM7" s="104"/>
      <c r="GFN7" s="104"/>
      <c r="GFO7" s="104"/>
      <c r="GFP7" s="104"/>
      <c r="GFQ7" s="104"/>
      <c r="GFR7" s="104"/>
      <c r="GFS7" s="104"/>
      <c r="GFT7" s="104"/>
      <c r="GFU7" s="104"/>
      <c r="GFV7" s="104"/>
      <c r="GFW7" s="104"/>
      <c r="GFX7" s="104"/>
      <c r="GFY7" s="104"/>
      <c r="GFZ7" s="104"/>
      <c r="GGA7" s="104"/>
      <c r="GGB7" s="104"/>
      <c r="GGC7" s="104"/>
      <c r="GGD7" s="104"/>
      <c r="GGE7" s="104"/>
      <c r="GGF7" s="104"/>
      <c r="GGG7" s="104"/>
      <c r="GGH7" s="104"/>
      <c r="GGI7" s="104"/>
      <c r="GGJ7" s="104"/>
      <c r="GGK7" s="104"/>
      <c r="GGL7" s="104"/>
      <c r="GGM7" s="104"/>
      <c r="GGN7" s="104"/>
      <c r="GGO7" s="104"/>
      <c r="GGP7" s="104"/>
      <c r="GGQ7" s="104"/>
      <c r="GGR7" s="104"/>
      <c r="GGS7" s="104"/>
      <c r="GGT7" s="104"/>
      <c r="GGU7" s="104"/>
      <c r="GGV7" s="104"/>
      <c r="GGW7" s="104"/>
      <c r="GGX7" s="104"/>
      <c r="GGY7" s="104"/>
      <c r="GGZ7" s="104"/>
      <c r="GHA7" s="104"/>
      <c r="GHB7" s="104"/>
      <c r="GHC7" s="104"/>
      <c r="GHD7" s="104"/>
      <c r="GHE7" s="104"/>
      <c r="GHF7" s="104"/>
      <c r="GHG7" s="104"/>
      <c r="GHH7" s="104"/>
      <c r="GHI7" s="104"/>
      <c r="GHJ7" s="104"/>
      <c r="GHK7" s="104"/>
      <c r="GHL7" s="104"/>
      <c r="GHM7" s="104"/>
      <c r="GHN7" s="104"/>
      <c r="GHO7" s="104"/>
      <c r="GHP7" s="104"/>
      <c r="GHQ7" s="104"/>
      <c r="GHR7" s="104"/>
      <c r="GHS7" s="104"/>
      <c r="GHT7" s="104"/>
      <c r="GHU7" s="104"/>
      <c r="GHV7" s="104"/>
      <c r="GHW7" s="104"/>
      <c r="GHX7" s="104"/>
      <c r="GHY7" s="104"/>
      <c r="GHZ7" s="104"/>
      <c r="GIA7" s="104"/>
      <c r="GIB7" s="104"/>
      <c r="GIC7" s="104"/>
      <c r="GID7" s="104"/>
      <c r="GIE7" s="104"/>
      <c r="GIF7" s="104"/>
      <c r="GIG7" s="104"/>
      <c r="GIH7" s="104"/>
      <c r="GII7" s="104"/>
      <c r="GIJ7" s="104"/>
      <c r="GIK7" s="104"/>
      <c r="GIL7" s="104"/>
      <c r="GIM7" s="104"/>
      <c r="GIN7" s="104"/>
      <c r="GIO7" s="104"/>
      <c r="GIP7" s="104"/>
      <c r="GIQ7" s="104"/>
      <c r="GIR7" s="104"/>
      <c r="GIS7" s="104"/>
      <c r="GIT7" s="104"/>
      <c r="GIU7" s="104"/>
      <c r="GIV7" s="104"/>
      <c r="GIW7" s="104"/>
      <c r="GIX7" s="104"/>
      <c r="GIY7" s="104"/>
      <c r="GIZ7" s="104"/>
      <c r="GJA7" s="104"/>
      <c r="GJB7" s="104"/>
      <c r="GJC7" s="104"/>
      <c r="GJD7" s="104"/>
      <c r="GJE7" s="104"/>
      <c r="GJF7" s="104"/>
      <c r="GJG7" s="104"/>
      <c r="GJH7" s="104"/>
      <c r="GJI7" s="104"/>
      <c r="GJJ7" s="104"/>
      <c r="GJK7" s="104"/>
      <c r="GJL7" s="104"/>
      <c r="GJM7" s="104"/>
      <c r="GJN7" s="104"/>
      <c r="GJO7" s="104"/>
      <c r="GJP7" s="104"/>
      <c r="GJQ7" s="104"/>
      <c r="GJR7" s="104"/>
      <c r="GJS7" s="104"/>
      <c r="GJT7" s="104"/>
      <c r="GJU7" s="104"/>
      <c r="GJV7" s="104"/>
      <c r="GJW7" s="104"/>
      <c r="GJX7" s="104"/>
      <c r="GJY7" s="104"/>
      <c r="GJZ7" s="104"/>
      <c r="GKA7" s="104"/>
      <c r="GKB7" s="104"/>
      <c r="GKC7" s="104"/>
      <c r="GKD7" s="104"/>
      <c r="GKE7" s="104"/>
      <c r="GKF7" s="104"/>
      <c r="GKG7" s="104"/>
      <c r="GKH7" s="104"/>
      <c r="GKI7" s="104"/>
      <c r="GKJ7" s="104"/>
      <c r="GKK7" s="104"/>
      <c r="GKL7" s="104"/>
      <c r="GKM7" s="104"/>
      <c r="GKN7" s="104"/>
      <c r="GKO7" s="104"/>
      <c r="GKP7" s="104"/>
      <c r="GKQ7" s="104"/>
      <c r="GKR7" s="104"/>
      <c r="GKS7" s="104"/>
      <c r="GKT7" s="104"/>
      <c r="GKU7" s="104"/>
      <c r="GKV7" s="104"/>
      <c r="GKW7" s="104"/>
      <c r="GKX7" s="104"/>
      <c r="GKY7" s="104"/>
      <c r="GKZ7" s="104"/>
      <c r="GLA7" s="104"/>
      <c r="GLB7" s="104"/>
      <c r="GLC7" s="104"/>
      <c r="GLD7" s="104"/>
      <c r="GLE7" s="104"/>
      <c r="GLF7" s="104"/>
      <c r="GLG7" s="104"/>
      <c r="GLH7" s="104"/>
      <c r="GLI7" s="104"/>
      <c r="GLJ7" s="104"/>
      <c r="GLK7" s="104"/>
      <c r="GLL7" s="104"/>
      <c r="GLM7" s="104"/>
      <c r="GLN7" s="104"/>
      <c r="GLO7" s="104"/>
      <c r="GLP7" s="104"/>
      <c r="GLQ7" s="104"/>
      <c r="GLR7" s="104"/>
      <c r="GLS7" s="104"/>
      <c r="GLT7" s="104"/>
      <c r="GLU7" s="104"/>
      <c r="GLV7" s="104"/>
      <c r="GLW7" s="104"/>
      <c r="GLX7" s="104"/>
      <c r="GLY7" s="104"/>
      <c r="GLZ7" s="104"/>
      <c r="GMA7" s="104"/>
      <c r="GMB7" s="104"/>
      <c r="GMC7" s="104"/>
      <c r="GMD7" s="104"/>
      <c r="GME7" s="104"/>
      <c r="GMF7" s="104"/>
      <c r="GMG7" s="104"/>
      <c r="GMH7" s="104"/>
      <c r="GMI7" s="104"/>
      <c r="GMJ7" s="104"/>
      <c r="GMK7" s="104"/>
      <c r="GML7" s="104"/>
      <c r="GMM7" s="104"/>
      <c r="GMN7" s="104"/>
      <c r="GMO7" s="104"/>
      <c r="GMP7" s="104"/>
      <c r="GMQ7" s="104"/>
      <c r="GMR7" s="104"/>
      <c r="GMS7" s="104"/>
      <c r="GMT7" s="104"/>
      <c r="GMU7" s="104"/>
      <c r="GMV7" s="104"/>
      <c r="GMW7" s="104"/>
      <c r="GMX7" s="104"/>
      <c r="GMY7" s="104"/>
      <c r="GMZ7" s="104"/>
      <c r="GNA7" s="104"/>
      <c r="GNB7" s="104"/>
      <c r="GNC7" s="104"/>
      <c r="GND7" s="104"/>
      <c r="GNE7" s="104"/>
      <c r="GNF7" s="104"/>
      <c r="GNG7" s="104"/>
      <c r="GNH7" s="104"/>
      <c r="GNI7" s="104"/>
      <c r="GNJ7" s="104"/>
      <c r="GNK7" s="104"/>
      <c r="GNL7" s="104"/>
      <c r="GNM7" s="104"/>
      <c r="GNN7" s="104"/>
      <c r="GNO7" s="104"/>
      <c r="GNP7" s="104"/>
      <c r="GNQ7" s="104"/>
      <c r="GNR7" s="104"/>
      <c r="GNS7" s="104"/>
      <c r="GNT7" s="104"/>
      <c r="GNU7" s="104"/>
      <c r="GNV7" s="104"/>
      <c r="GNW7" s="104"/>
      <c r="GNX7" s="104"/>
      <c r="GNY7" s="104"/>
      <c r="GNZ7" s="104"/>
      <c r="GOA7" s="104"/>
      <c r="GOB7" s="104"/>
      <c r="GOC7" s="104"/>
      <c r="GOD7" s="104"/>
      <c r="GOE7" s="104"/>
      <c r="GOF7" s="104"/>
      <c r="GOG7" s="104"/>
      <c r="GOH7" s="104"/>
      <c r="GOI7" s="104"/>
      <c r="GOJ7" s="104"/>
      <c r="GOK7" s="104"/>
      <c r="GOL7" s="104"/>
      <c r="GOM7" s="104"/>
      <c r="GON7" s="104"/>
      <c r="GOO7" s="104"/>
      <c r="GOP7" s="104"/>
      <c r="GOQ7" s="104"/>
      <c r="GOR7" s="104"/>
      <c r="GOS7" s="104"/>
      <c r="GOT7" s="104"/>
      <c r="GOU7" s="104"/>
      <c r="GOV7" s="104"/>
      <c r="GOW7" s="104"/>
      <c r="GOX7" s="104"/>
      <c r="GOY7" s="104"/>
      <c r="GOZ7" s="104"/>
      <c r="GPA7" s="104"/>
      <c r="GPB7" s="104"/>
      <c r="GPC7" s="104"/>
      <c r="GPD7" s="104"/>
      <c r="GPE7" s="104"/>
      <c r="GPF7" s="104"/>
      <c r="GPG7" s="104"/>
      <c r="GPH7" s="104"/>
      <c r="GPI7" s="104"/>
      <c r="GPJ7" s="104"/>
      <c r="GPK7" s="104"/>
      <c r="GPL7" s="104"/>
      <c r="GPM7" s="104"/>
      <c r="GPN7" s="104"/>
      <c r="GPO7" s="104"/>
      <c r="GPP7" s="104"/>
      <c r="GPQ7" s="104"/>
      <c r="GPR7" s="104"/>
      <c r="GPS7" s="104"/>
      <c r="GPT7" s="104"/>
      <c r="GPU7" s="104"/>
      <c r="GPV7" s="104"/>
      <c r="GPW7" s="104"/>
      <c r="GPX7" s="104"/>
      <c r="GPY7" s="104"/>
      <c r="GPZ7" s="104"/>
      <c r="GQA7" s="104"/>
      <c r="GQB7" s="104"/>
      <c r="GQC7" s="104"/>
      <c r="GQD7" s="104"/>
      <c r="GQE7" s="104"/>
      <c r="GQF7" s="104"/>
      <c r="GQG7" s="104"/>
      <c r="GQH7" s="104"/>
      <c r="GQI7" s="104"/>
      <c r="GQJ7" s="104"/>
      <c r="GQK7" s="104"/>
      <c r="GQL7" s="104"/>
      <c r="GQM7" s="104"/>
      <c r="GQN7" s="104"/>
      <c r="GQO7" s="104"/>
      <c r="GQP7" s="104"/>
      <c r="GQQ7" s="104"/>
      <c r="GQR7" s="104"/>
      <c r="GQS7" s="104"/>
      <c r="GQT7" s="104"/>
      <c r="GQU7" s="104"/>
      <c r="GQV7" s="104"/>
      <c r="GQW7" s="104"/>
      <c r="GQX7" s="104"/>
      <c r="GQY7" s="104"/>
      <c r="GQZ7" s="104"/>
      <c r="GRA7" s="104"/>
      <c r="GRB7" s="104"/>
      <c r="GRC7" s="104"/>
      <c r="GRD7" s="104"/>
      <c r="GRE7" s="104"/>
      <c r="GRF7" s="104"/>
      <c r="GRG7" s="104"/>
      <c r="GRH7" s="104"/>
      <c r="GRI7" s="104"/>
      <c r="GRJ7" s="104"/>
      <c r="GRK7" s="104"/>
      <c r="GRL7" s="104"/>
      <c r="GRM7" s="104"/>
      <c r="GRN7" s="104"/>
      <c r="GRO7" s="104"/>
      <c r="GRP7" s="104"/>
      <c r="GRQ7" s="104"/>
      <c r="GRR7" s="104"/>
      <c r="GRS7" s="104"/>
      <c r="GRT7" s="104"/>
      <c r="GRU7" s="104"/>
      <c r="GRV7" s="104"/>
      <c r="GRW7" s="104"/>
      <c r="GRX7" s="104"/>
      <c r="GRY7" s="104"/>
      <c r="GRZ7" s="104"/>
      <c r="GSA7" s="104"/>
      <c r="GSB7" s="104"/>
      <c r="GSC7" s="104"/>
      <c r="GSD7" s="104"/>
      <c r="GSE7" s="104"/>
      <c r="GSF7" s="104"/>
      <c r="GSG7" s="104"/>
      <c r="GSH7" s="104"/>
      <c r="GSI7" s="104"/>
      <c r="GSJ7" s="104"/>
      <c r="GSK7" s="104"/>
      <c r="GSL7" s="104"/>
      <c r="GSM7" s="104"/>
      <c r="GSN7" s="104"/>
      <c r="GSO7" s="104"/>
      <c r="GSP7" s="104"/>
      <c r="GSQ7" s="104"/>
      <c r="GSR7" s="104"/>
      <c r="GSS7" s="104"/>
      <c r="GST7" s="104"/>
      <c r="GSU7" s="104"/>
      <c r="GSV7" s="104"/>
      <c r="GSW7" s="104"/>
      <c r="GSX7" s="104"/>
      <c r="GSY7" s="104"/>
      <c r="GSZ7" s="104"/>
      <c r="GTA7" s="104"/>
      <c r="GTB7" s="104"/>
      <c r="GTC7" s="104"/>
      <c r="GTD7" s="104"/>
      <c r="GTE7" s="104"/>
      <c r="GTF7" s="104"/>
      <c r="GTG7" s="104"/>
      <c r="GTH7" s="104"/>
      <c r="GTI7" s="104"/>
      <c r="GTJ7" s="104"/>
      <c r="GTK7" s="104"/>
      <c r="GTL7" s="104"/>
      <c r="GTM7" s="104"/>
      <c r="GTN7" s="104"/>
      <c r="GTO7" s="104"/>
      <c r="GTP7" s="104"/>
      <c r="GTQ7" s="104"/>
      <c r="GTR7" s="104"/>
      <c r="GTS7" s="104"/>
      <c r="GTT7" s="104"/>
      <c r="GTU7" s="104"/>
      <c r="GTV7" s="104"/>
      <c r="GTW7" s="104"/>
      <c r="GTX7" s="104"/>
      <c r="GTY7" s="104"/>
      <c r="GTZ7" s="104"/>
      <c r="GUA7" s="104"/>
      <c r="GUB7" s="104"/>
      <c r="GUC7" s="104"/>
      <c r="GUD7" s="104"/>
      <c r="GUE7" s="104"/>
      <c r="GUF7" s="104"/>
      <c r="GUG7" s="104"/>
      <c r="GUH7" s="104"/>
      <c r="GUI7" s="104"/>
      <c r="GUJ7" s="104"/>
      <c r="GUK7" s="104"/>
      <c r="GUL7" s="104"/>
      <c r="GUM7" s="104"/>
      <c r="GUN7" s="104"/>
      <c r="GUO7" s="104"/>
      <c r="GUP7" s="104"/>
      <c r="GUQ7" s="104"/>
      <c r="GUR7" s="104"/>
      <c r="GUS7" s="104"/>
      <c r="GUT7" s="104"/>
      <c r="GUU7" s="104"/>
      <c r="GUV7" s="104"/>
      <c r="GUW7" s="104"/>
      <c r="GUX7" s="104"/>
      <c r="GUY7" s="104"/>
      <c r="GUZ7" s="104"/>
      <c r="GVA7" s="104"/>
      <c r="GVB7" s="104"/>
      <c r="GVC7" s="104"/>
      <c r="GVD7" s="104"/>
      <c r="GVE7" s="104"/>
      <c r="GVF7" s="104"/>
      <c r="GVG7" s="104"/>
      <c r="GVH7" s="104"/>
      <c r="GVI7" s="104"/>
      <c r="GVJ7" s="104"/>
      <c r="GVK7" s="104"/>
      <c r="GVL7" s="104"/>
      <c r="GVM7" s="104"/>
      <c r="GVN7" s="104"/>
      <c r="GVO7" s="104"/>
      <c r="GVP7" s="104"/>
      <c r="GVQ7" s="104"/>
      <c r="GVR7" s="104"/>
      <c r="GVS7" s="104"/>
      <c r="GVT7" s="104"/>
      <c r="GVU7" s="104"/>
      <c r="GVV7" s="104"/>
      <c r="GVW7" s="104"/>
      <c r="GVX7" s="104"/>
      <c r="GVY7" s="104"/>
      <c r="GVZ7" s="104"/>
      <c r="GWA7" s="104"/>
      <c r="GWB7" s="104"/>
      <c r="GWC7" s="104"/>
      <c r="GWD7" s="104"/>
      <c r="GWE7" s="104"/>
      <c r="GWF7" s="104"/>
      <c r="GWG7" s="104"/>
      <c r="GWH7" s="104"/>
      <c r="GWI7" s="104"/>
      <c r="GWJ7" s="104"/>
      <c r="GWK7" s="104"/>
      <c r="GWL7" s="104"/>
      <c r="GWM7" s="104"/>
      <c r="GWN7" s="104"/>
      <c r="GWO7" s="104"/>
      <c r="GWP7" s="104"/>
      <c r="GWQ7" s="104"/>
      <c r="GWR7" s="104"/>
      <c r="GWS7" s="104"/>
      <c r="GWT7" s="104"/>
      <c r="GWU7" s="104"/>
      <c r="GWV7" s="104"/>
      <c r="GWW7" s="104"/>
      <c r="GWX7" s="104"/>
      <c r="GWY7" s="104"/>
      <c r="GWZ7" s="104"/>
      <c r="GXA7" s="104"/>
      <c r="GXB7" s="104"/>
      <c r="GXC7" s="104"/>
      <c r="GXD7" s="104"/>
      <c r="GXE7" s="104"/>
      <c r="GXF7" s="104"/>
      <c r="GXG7" s="104"/>
      <c r="GXH7" s="104"/>
      <c r="GXI7" s="104"/>
      <c r="GXJ7" s="104"/>
      <c r="GXK7" s="104"/>
      <c r="GXL7" s="104"/>
      <c r="GXM7" s="104"/>
      <c r="GXN7" s="104"/>
      <c r="GXO7" s="104"/>
      <c r="GXP7" s="104"/>
      <c r="GXQ7" s="104"/>
      <c r="GXR7" s="104"/>
      <c r="GXS7" s="104"/>
      <c r="GXT7" s="104"/>
      <c r="GXU7" s="104"/>
      <c r="GXV7" s="104"/>
      <c r="GXW7" s="104"/>
      <c r="GXX7" s="104"/>
      <c r="GXY7" s="104"/>
      <c r="GXZ7" s="104"/>
      <c r="GYA7" s="104"/>
      <c r="GYB7" s="104"/>
      <c r="GYC7" s="104"/>
      <c r="GYD7" s="104"/>
      <c r="GYE7" s="104"/>
      <c r="GYF7" s="104"/>
      <c r="GYG7" s="104"/>
      <c r="GYH7" s="104"/>
      <c r="GYI7" s="104"/>
      <c r="GYJ7" s="104"/>
      <c r="GYK7" s="104"/>
      <c r="GYL7" s="104"/>
      <c r="GYM7" s="104"/>
      <c r="GYN7" s="104"/>
      <c r="GYO7" s="104"/>
      <c r="GYP7" s="104"/>
      <c r="GYQ7" s="104"/>
      <c r="GYR7" s="104"/>
      <c r="GYS7" s="104"/>
      <c r="GYT7" s="104"/>
      <c r="GYU7" s="104"/>
      <c r="GYV7" s="104"/>
      <c r="GYW7" s="104"/>
      <c r="GYX7" s="104"/>
      <c r="GYY7" s="104"/>
      <c r="GYZ7" s="104"/>
      <c r="GZA7" s="104"/>
      <c r="GZB7" s="104"/>
      <c r="GZC7" s="104"/>
      <c r="GZD7" s="104"/>
      <c r="GZE7" s="104"/>
      <c r="GZF7" s="104"/>
      <c r="GZG7" s="104"/>
      <c r="GZH7" s="104"/>
      <c r="GZI7" s="104"/>
      <c r="GZJ7" s="104"/>
      <c r="GZK7" s="104"/>
      <c r="GZL7" s="104"/>
      <c r="GZM7" s="104"/>
      <c r="GZN7" s="104"/>
      <c r="GZO7" s="104"/>
      <c r="GZP7" s="104"/>
      <c r="GZQ7" s="104"/>
      <c r="GZR7" s="104"/>
      <c r="GZS7" s="104"/>
      <c r="GZT7" s="104"/>
      <c r="GZU7" s="104"/>
      <c r="GZV7" s="104"/>
      <c r="GZW7" s="104"/>
      <c r="GZX7" s="104"/>
      <c r="GZY7" s="104"/>
      <c r="GZZ7" s="104"/>
      <c r="HAA7" s="104"/>
      <c r="HAB7" s="104"/>
      <c r="HAC7" s="104"/>
      <c r="HAD7" s="104"/>
      <c r="HAE7" s="104"/>
      <c r="HAF7" s="104"/>
      <c r="HAG7" s="104"/>
      <c r="HAH7" s="104"/>
      <c r="HAI7" s="104"/>
      <c r="HAJ7" s="104"/>
      <c r="HAK7" s="104"/>
      <c r="HAL7" s="104"/>
      <c r="HAM7" s="104"/>
      <c r="HAN7" s="104"/>
      <c r="HAO7" s="104"/>
      <c r="HAP7" s="104"/>
      <c r="HAQ7" s="104"/>
      <c r="HAR7" s="104"/>
      <c r="HAS7" s="104"/>
      <c r="HAT7" s="104"/>
      <c r="HAU7" s="104"/>
      <c r="HAV7" s="104"/>
      <c r="HAW7" s="104"/>
      <c r="HAX7" s="104"/>
      <c r="HAY7" s="104"/>
      <c r="HAZ7" s="104"/>
      <c r="HBA7" s="104"/>
      <c r="HBB7" s="104"/>
      <c r="HBC7" s="104"/>
      <c r="HBD7" s="104"/>
      <c r="HBE7" s="104"/>
      <c r="HBF7" s="104"/>
      <c r="HBG7" s="104"/>
      <c r="HBH7" s="104"/>
      <c r="HBI7" s="104"/>
      <c r="HBJ7" s="104"/>
      <c r="HBK7" s="104"/>
      <c r="HBL7" s="104"/>
      <c r="HBM7" s="104"/>
      <c r="HBN7" s="104"/>
      <c r="HBO7" s="104"/>
      <c r="HBP7" s="104"/>
      <c r="HBQ7" s="104"/>
      <c r="HBR7" s="104"/>
      <c r="HBS7" s="104"/>
      <c r="HBT7" s="104"/>
      <c r="HBU7" s="104"/>
      <c r="HBV7" s="104"/>
      <c r="HBW7" s="104"/>
      <c r="HBX7" s="104"/>
      <c r="HBY7" s="104"/>
      <c r="HBZ7" s="104"/>
      <c r="HCA7" s="104"/>
      <c r="HCB7" s="104"/>
      <c r="HCC7" s="104"/>
      <c r="HCD7" s="104"/>
      <c r="HCE7" s="104"/>
      <c r="HCF7" s="104"/>
      <c r="HCG7" s="104"/>
      <c r="HCH7" s="104"/>
      <c r="HCI7" s="104"/>
      <c r="HCJ7" s="104"/>
      <c r="HCK7" s="104"/>
      <c r="HCL7" s="104"/>
      <c r="HCM7" s="104"/>
      <c r="HCN7" s="104"/>
      <c r="HCO7" s="104"/>
      <c r="HCP7" s="104"/>
      <c r="HCQ7" s="104"/>
      <c r="HCR7" s="104"/>
      <c r="HCS7" s="104"/>
      <c r="HCT7" s="104"/>
      <c r="HCU7" s="104"/>
      <c r="HCV7" s="104"/>
      <c r="HCW7" s="104"/>
      <c r="HCX7" s="104"/>
      <c r="HCY7" s="104"/>
      <c r="HCZ7" s="104"/>
      <c r="HDA7" s="104"/>
      <c r="HDB7" s="104"/>
      <c r="HDC7" s="104"/>
      <c r="HDD7" s="104"/>
      <c r="HDE7" s="104"/>
      <c r="HDF7" s="104"/>
      <c r="HDG7" s="104"/>
      <c r="HDH7" s="104"/>
      <c r="HDI7" s="104"/>
      <c r="HDJ7" s="104"/>
      <c r="HDK7" s="104"/>
      <c r="HDL7" s="104"/>
      <c r="HDM7" s="104"/>
      <c r="HDN7" s="104"/>
      <c r="HDO7" s="104"/>
      <c r="HDP7" s="104"/>
      <c r="HDQ7" s="104"/>
      <c r="HDR7" s="104"/>
      <c r="HDS7" s="104"/>
      <c r="HDT7" s="104"/>
      <c r="HDU7" s="104"/>
      <c r="HDV7" s="104"/>
      <c r="HDW7" s="104"/>
      <c r="HDX7" s="104"/>
      <c r="HDY7" s="104"/>
      <c r="HDZ7" s="104"/>
      <c r="HEA7" s="104"/>
      <c r="HEB7" s="104"/>
      <c r="HEC7" s="104"/>
      <c r="HED7" s="104"/>
      <c r="HEE7" s="104"/>
      <c r="HEF7" s="104"/>
      <c r="HEG7" s="104"/>
      <c r="HEH7" s="104"/>
      <c r="HEI7" s="104"/>
      <c r="HEJ7" s="104"/>
      <c r="HEK7" s="104"/>
      <c r="HEL7" s="104"/>
      <c r="HEM7" s="104"/>
      <c r="HEN7" s="104"/>
      <c r="HEO7" s="104"/>
      <c r="HEP7" s="104"/>
      <c r="HEQ7" s="104"/>
      <c r="HER7" s="104"/>
      <c r="HES7" s="104"/>
      <c r="HET7" s="104"/>
      <c r="HEU7" s="104"/>
      <c r="HEV7" s="104"/>
      <c r="HEW7" s="104"/>
      <c r="HEX7" s="104"/>
      <c r="HEY7" s="104"/>
      <c r="HEZ7" s="104"/>
      <c r="HFA7" s="104"/>
      <c r="HFB7" s="104"/>
      <c r="HFC7" s="104"/>
      <c r="HFD7" s="104"/>
      <c r="HFE7" s="104"/>
      <c r="HFF7" s="104"/>
      <c r="HFG7" s="104"/>
      <c r="HFH7" s="104"/>
      <c r="HFI7" s="104"/>
      <c r="HFJ7" s="104"/>
      <c r="HFK7" s="104"/>
      <c r="HFL7" s="104"/>
      <c r="HFM7" s="104"/>
      <c r="HFN7" s="104"/>
      <c r="HFO7" s="104"/>
      <c r="HFP7" s="104"/>
      <c r="HFQ7" s="104"/>
      <c r="HFR7" s="104"/>
      <c r="HFS7" s="104"/>
      <c r="HFT7" s="104"/>
      <c r="HFU7" s="104"/>
      <c r="HFV7" s="104"/>
      <c r="HFW7" s="104"/>
      <c r="HFX7" s="104"/>
      <c r="HFY7" s="104"/>
      <c r="HFZ7" s="104"/>
      <c r="HGA7" s="104"/>
      <c r="HGB7" s="104"/>
      <c r="HGC7" s="104"/>
      <c r="HGD7" s="104"/>
      <c r="HGE7" s="104"/>
      <c r="HGF7" s="104"/>
      <c r="HGG7" s="104"/>
      <c r="HGH7" s="104"/>
      <c r="HGI7" s="104"/>
      <c r="HGJ7" s="104"/>
      <c r="HGK7" s="104"/>
      <c r="HGL7" s="104"/>
      <c r="HGM7" s="104"/>
      <c r="HGN7" s="104"/>
      <c r="HGO7" s="104"/>
      <c r="HGP7" s="104"/>
      <c r="HGQ7" s="104"/>
      <c r="HGR7" s="104"/>
      <c r="HGS7" s="104"/>
      <c r="HGT7" s="104"/>
      <c r="HGU7" s="104"/>
      <c r="HGV7" s="104"/>
      <c r="HGW7" s="104"/>
      <c r="HGX7" s="104"/>
      <c r="HGY7" s="104"/>
      <c r="HGZ7" s="104"/>
      <c r="HHA7" s="104"/>
      <c r="HHB7" s="104"/>
      <c r="HHC7" s="104"/>
      <c r="HHD7" s="104"/>
      <c r="HHE7" s="104"/>
      <c r="HHF7" s="104"/>
      <c r="HHG7" s="104"/>
      <c r="HHH7" s="104"/>
      <c r="HHI7" s="104"/>
      <c r="HHJ7" s="104"/>
      <c r="HHK7" s="104"/>
      <c r="HHL7" s="104"/>
      <c r="HHM7" s="104"/>
      <c r="HHN7" s="104"/>
      <c r="HHO7" s="104"/>
      <c r="HHP7" s="104"/>
      <c r="HHQ7" s="104"/>
      <c r="HHR7" s="104"/>
      <c r="HHS7" s="104"/>
      <c r="HHT7" s="104"/>
      <c r="HHU7" s="104"/>
      <c r="HHV7" s="104"/>
      <c r="HHW7" s="104"/>
      <c r="HHX7" s="104"/>
      <c r="HHY7" s="104"/>
      <c r="HHZ7" s="104"/>
      <c r="HIA7" s="104"/>
      <c r="HIB7" s="104"/>
      <c r="HIC7" s="104"/>
      <c r="HID7" s="104"/>
      <c r="HIE7" s="104"/>
      <c r="HIF7" s="104"/>
      <c r="HIG7" s="104"/>
      <c r="HIH7" s="104"/>
      <c r="HII7" s="104"/>
      <c r="HIJ7" s="104"/>
      <c r="HIK7" s="104"/>
      <c r="HIL7" s="104"/>
      <c r="HIM7" s="104"/>
      <c r="HIN7" s="104"/>
      <c r="HIO7" s="104"/>
      <c r="HIP7" s="104"/>
      <c r="HIQ7" s="104"/>
      <c r="HIR7" s="104"/>
      <c r="HIS7" s="104"/>
      <c r="HIT7" s="104"/>
      <c r="HIU7" s="104"/>
      <c r="HIV7" s="104"/>
      <c r="HIW7" s="104"/>
      <c r="HIX7" s="104"/>
      <c r="HIY7" s="104"/>
      <c r="HIZ7" s="104"/>
      <c r="HJA7" s="104"/>
      <c r="HJB7" s="104"/>
      <c r="HJC7" s="104"/>
      <c r="HJD7" s="104"/>
      <c r="HJE7" s="104"/>
      <c r="HJF7" s="104"/>
      <c r="HJG7" s="104"/>
      <c r="HJH7" s="104"/>
      <c r="HJI7" s="104"/>
      <c r="HJJ7" s="104"/>
      <c r="HJK7" s="104"/>
      <c r="HJL7" s="104"/>
      <c r="HJM7" s="104"/>
      <c r="HJN7" s="104"/>
      <c r="HJO7" s="104"/>
      <c r="HJP7" s="104"/>
      <c r="HJQ7" s="104"/>
      <c r="HJR7" s="104"/>
      <c r="HJS7" s="104"/>
      <c r="HJT7" s="104"/>
      <c r="HJU7" s="104"/>
      <c r="HJV7" s="104"/>
      <c r="HJW7" s="104"/>
      <c r="HJX7" s="104"/>
      <c r="HJY7" s="104"/>
      <c r="HJZ7" s="104"/>
      <c r="HKA7" s="104"/>
      <c r="HKB7" s="104"/>
      <c r="HKC7" s="104"/>
      <c r="HKD7" s="104"/>
      <c r="HKE7" s="104"/>
      <c r="HKF7" s="104"/>
      <c r="HKG7" s="104"/>
      <c r="HKH7" s="104"/>
      <c r="HKI7" s="104"/>
      <c r="HKJ7" s="104"/>
      <c r="HKK7" s="104"/>
      <c r="HKL7" s="104"/>
      <c r="HKM7" s="104"/>
      <c r="HKN7" s="104"/>
      <c r="HKO7" s="104"/>
      <c r="HKP7" s="104"/>
      <c r="HKQ7" s="104"/>
      <c r="HKR7" s="104"/>
      <c r="HKS7" s="104"/>
      <c r="HKT7" s="104"/>
      <c r="HKU7" s="104"/>
      <c r="HKV7" s="104"/>
      <c r="HKW7" s="104"/>
      <c r="HKX7" s="104"/>
      <c r="HKY7" s="104"/>
      <c r="HKZ7" s="104"/>
      <c r="HLA7" s="104"/>
      <c r="HLB7" s="104"/>
      <c r="HLC7" s="104"/>
      <c r="HLD7" s="104"/>
      <c r="HLE7" s="104"/>
      <c r="HLF7" s="104"/>
      <c r="HLG7" s="104"/>
      <c r="HLH7" s="104"/>
      <c r="HLI7" s="104"/>
      <c r="HLJ7" s="104"/>
      <c r="HLK7" s="104"/>
      <c r="HLL7" s="104"/>
      <c r="HLM7" s="104"/>
      <c r="HLN7" s="104"/>
      <c r="HLO7" s="104"/>
      <c r="HLP7" s="104"/>
      <c r="HLQ7" s="104"/>
      <c r="HLR7" s="104"/>
      <c r="HLS7" s="104"/>
      <c r="HLT7" s="104"/>
      <c r="HLU7" s="104"/>
      <c r="HLV7" s="104"/>
      <c r="HLW7" s="104"/>
      <c r="HLX7" s="104"/>
      <c r="HLY7" s="104"/>
      <c r="HLZ7" s="104"/>
      <c r="HMA7" s="104"/>
      <c r="HMB7" s="104"/>
      <c r="HMC7" s="104"/>
      <c r="HMD7" s="104"/>
      <c r="HME7" s="104"/>
      <c r="HMF7" s="104"/>
      <c r="HMG7" s="104"/>
      <c r="HMH7" s="104"/>
      <c r="HMI7" s="104"/>
      <c r="HMJ7" s="104"/>
      <c r="HMK7" s="104"/>
      <c r="HML7" s="104"/>
      <c r="HMM7" s="104"/>
      <c r="HMN7" s="104"/>
      <c r="HMO7" s="104"/>
      <c r="HMP7" s="104"/>
      <c r="HMQ7" s="104"/>
      <c r="HMR7" s="104"/>
      <c r="HMS7" s="104"/>
      <c r="HMT7" s="104"/>
      <c r="HMU7" s="104"/>
      <c r="HMV7" s="104"/>
      <c r="HMW7" s="104"/>
      <c r="HMX7" s="104"/>
      <c r="HMY7" s="104"/>
      <c r="HMZ7" s="104"/>
      <c r="HNA7" s="104"/>
      <c r="HNB7" s="104"/>
      <c r="HNC7" s="104"/>
      <c r="HND7" s="104"/>
      <c r="HNE7" s="104"/>
      <c r="HNF7" s="104"/>
      <c r="HNG7" s="104"/>
      <c r="HNH7" s="104"/>
      <c r="HNI7" s="104"/>
      <c r="HNJ7" s="104"/>
      <c r="HNK7" s="104"/>
      <c r="HNL7" s="104"/>
      <c r="HNM7" s="104"/>
      <c r="HNN7" s="104"/>
      <c r="HNO7" s="104"/>
      <c r="HNP7" s="104"/>
      <c r="HNQ7" s="104"/>
      <c r="HNR7" s="104"/>
      <c r="HNS7" s="104"/>
      <c r="HNT7" s="104"/>
      <c r="HNU7" s="104"/>
      <c r="HNV7" s="104"/>
      <c r="HNW7" s="104"/>
      <c r="HNX7" s="104"/>
      <c r="HNY7" s="104"/>
      <c r="HNZ7" s="104"/>
      <c r="HOA7" s="104"/>
      <c r="HOB7" s="104"/>
      <c r="HOC7" s="104"/>
      <c r="HOD7" s="104"/>
      <c r="HOE7" s="104"/>
      <c r="HOF7" s="104"/>
      <c r="HOG7" s="104"/>
      <c r="HOH7" s="104"/>
      <c r="HOI7" s="104"/>
      <c r="HOJ7" s="104"/>
      <c r="HOK7" s="104"/>
      <c r="HOL7" s="104"/>
      <c r="HOM7" s="104"/>
      <c r="HON7" s="104"/>
      <c r="HOO7" s="104"/>
      <c r="HOP7" s="104"/>
      <c r="HOQ7" s="104"/>
      <c r="HOR7" s="104"/>
      <c r="HOS7" s="104"/>
      <c r="HOT7" s="104"/>
      <c r="HOU7" s="104"/>
      <c r="HOV7" s="104"/>
      <c r="HOW7" s="104"/>
      <c r="HOX7" s="104"/>
      <c r="HOY7" s="104"/>
      <c r="HOZ7" s="104"/>
      <c r="HPA7" s="104"/>
      <c r="HPB7" s="104"/>
      <c r="HPC7" s="104"/>
      <c r="HPD7" s="104"/>
      <c r="HPE7" s="104"/>
      <c r="HPF7" s="104"/>
      <c r="HPG7" s="104"/>
      <c r="HPH7" s="104"/>
      <c r="HPI7" s="104"/>
      <c r="HPJ7" s="104"/>
      <c r="HPK7" s="104"/>
      <c r="HPL7" s="104"/>
      <c r="HPM7" s="104"/>
      <c r="HPN7" s="104"/>
      <c r="HPO7" s="104"/>
      <c r="HPP7" s="104"/>
      <c r="HPQ7" s="104"/>
      <c r="HPR7" s="104"/>
      <c r="HPS7" s="104"/>
      <c r="HPT7" s="104"/>
      <c r="HPU7" s="104"/>
      <c r="HPV7" s="104"/>
      <c r="HPW7" s="104"/>
      <c r="HPX7" s="104"/>
      <c r="HPY7" s="104"/>
      <c r="HPZ7" s="104"/>
      <c r="HQA7" s="104"/>
      <c r="HQB7" s="104"/>
      <c r="HQC7" s="104"/>
      <c r="HQD7" s="104"/>
      <c r="HQE7" s="104"/>
      <c r="HQF7" s="104"/>
      <c r="HQG7" s="104"/>
      <c r="HQH7" s="104"/>
      <c r="HQI7" s="104"/>
      <c r="HQJ7" s="104"/>
      <c r="HQK7" s="104"/>
      <c r="HQL7" s="104"/>
      <c r="HQM7" s="104"/>
      <c r="HQN7" s="104"/>
      <c r="HQO7" s="104"/>
      <c r="HQP7" s="104"/>
      <c r="HQQ7" s="104"/>
      <c r="HQR7" s="104"/>
      <c r="HQS7" s="104"/>
      <c r="HQT7" s="104"/>
      <c r="HQU7" s="104"/>
      <c r="HQV7" s="104"/>
      <c r="HQW7" s="104"/>
      <c r="HQX7" s="104"/>
      <c r="HQY7" s="104"/>
      <c r="HQZ7" s="104"/>
      <c r="HRA7" s="104"/>
      <c r="HRB7" s="104"/>
      <c r="HRC7" s="104"/>
      <c r="HRD7" s="104"/>
      <c r="HRE7" s="104"/>
      <c r="HRF7" s="104"/>
      <c r="HRG7" s="104"/>
      <c r="HRH7" s="104"/>
      <c r="HRI7" s="104"/>
      <c r="HRJ7" s="104"/>
      <c r="HRK7" s="104"/>
      <c r="HRL7" s="104"/>
      <c r="HRM7" s="104"/>
      <c r="HRN7" s="104"/>
      <c r="HRO7" s="104"/>
      <c r="HRP7" s="104"/>
      <c r="HRQ7" s="104"/>
      <c r="HRR7" s="104"/>
      <c r="HRS7" s="104"/>
      <c r="HRT7" s="104"/>
      <c r="HRU7" s="104"/>
      <c r="HRV7" s="104"/>
      <c r="HRW7" s="104"/>
      <c r="HRX7" s="104"/>
      <c r="HRY7" s="104"/>
      <c r="HRZ7" s="104"/>
      <c r="HSA7" s="104"/>
      <c r="HSB7" s="104"/>
      <c r="HSC7" s="104"/>
      <c r="HSD7" s="104"/>
      <c r="HSE7" s="104"/>
      <c r="HSF7" s="104"/>
      <c r="HSG7" s="104"/>
      <c r="HSH7" s="104"/>
      <c r="HSI7" s="104"/>
      <c r="HSJ7" s="104"/>
      <c r="HSK7" s="104"/>
      <c r="HSL7" s="104"/>
      <c r="HSM7" s="104"/>
      <c r="HSN7" s="104"/>
      <c r="HSO7" s="104"/>
      <c r="HSP7" s="104"/>
      <c r="HSQ7" s="104"/>
      <c r="HSR7" s="104"/>
      <c r="HSS7" s="104"/>
      <c r="HST7" s="104"/>
      <c r="HSU7" s="104"/>
      <c r="HSV7" s="104"/>
      <c r="HSW7" s="104"/>
      <c r="HSX7" s="104"/>
      <c r="HSY7" s="104"/>
      <c r="HSZ7" s="104"/>
      <c r="HTA7" s="104"/>
      <c r="HTB7" s="104"/>
      <c r="HTC7" s="104"/>
      <c r="HTD7" s="104"/>
      <c r="HTE7" s="104"/>
      <c r="HTF7" s="104"/>
      <c r="HTG7" s="104"/>
      <c r="HTH7" s="104"/>
      <c r="HTI7" s="104"/>
      <c r="HTJ7" s="104"/>
      <c r="HTK7" s="104"/>
      <c r="HTL7" s="104"/>
      <c r="HTM7" s="104"/>
      <c r="HTN7" s="104"/>
      <c r="HTO7" s="104"/>
      <c r="HTP7" s="104"/>
      <c r="HTQ7" s="104"/>
      <c r="HTR7" s="104"/>
      <c r="HTS7" s="104"/>
      <c r="HTT7" s="104"/>
      <c r="HTU7" s="104"/>
      <c r="HTV7" s="104"/>
      <c r="HTW7" s="104"/>
      <c r="HTX7" s="104"/>
      <c r="HTY7" s="104"/>
      <c r="HTZ7" s="104"/>
      <c r="HUA7" s="104"/>
      <c r="HUB7" s="104"/>
      <c r="HUC7" s="104"/>
      <c r="HUD7" s="104"/>
      <c r="HUE7" s="104"/>
      <c r="HUF7" s="104"/>
      <c r="HUG7" s="104"/>
      <c r="HUH7" s="104"/>
      <c r="HUI7" s="104"/>
      <c r="HUJ7" s="104"/>
      <c r="HUK7" s="104"/>
      <c r="HUL7" s="104"/>
      <c r="HUM7" s="104"/>
      <c r="HUN7" s="104"/>
      <c r="HUO7" s="104"/>
      <c r="HUP7" s="104"/>
      <c r="HUQ7" s="104"/>
      <c r="HUR7" s="104"/>
      <c r="HUS7" s="104"/>
      <c r="HUT7" s="104"/>
      <c r="HUU7" s="104"/>
      <c r="HUV7" s="104"/>
      <c r="HUW7" s="104"/>
      <c r="HUX7" s="104"/>
      <c r="HUY7" s="104"/>
      <c r="HUZ7" s="104"/>
      <c r="HVA7" s="104"/>
      <c r="HVB7" s="104"/>
      <c r="HVC7" s="104"/>
      <c r="HVD7" s="104"/>
      <c r="HVE7" s="104"/>
      <c r="HVF7" s="104"/>
      <c r="HVG7" s="104"/>
      <c r="HVH7" s="104"/>
      <c r="HVI7" s="104"/>
      <c r="HVJ7" s="104"/>
      <c r="HVK7" s="104"/>
      <c r="HVL7" s="104"/>
      <c r="HVM7" s="104"/>
      <c r="HVN7" s="104"/>
      <c r="HVO7" s="104"/>
      <c r="HVP7" s="104"/>
      <c r="HVQ7" s="104"/>
      <c r="HVR7" s="104"/>
      <c r="HVS7" s="104"/>
      <c r="HVT7" s="104"/>
      <c r="HVU7" s="104"/>
      <c r="HVV7" s="104"/>
      <c r="HVW7" s="104"/>
      <c r="HVX7" s="104"/>
      <c r="HVY7" s="104"/>
      <c r="HVZ7" s="104"/>
      <c r="HWA7" s="104"/>
      <c r="HWB7" s="104"/>
      <c r="HWC7" s="104"/>
      <c r="HWD7" s="104"/>
      <c r="HWE7" s="104"/>
      <c r="HWF7" s="104"/>
      <c r="HWG7" s="104"/>
      <c r="HWH7" s="104"/>
      <c r="HWI7" s="104"/>
      <c r="HWJ7" s="104"/>
      <c r="HWK7" s="104"/>
      <c r="HWL7" s="104"/>
      <c r="HWM7" s="104"/>
      <c r="HWN7" s="104"/>
      <c r="HWO7" s="104"/>
      <c r="HWP7" s="104"/>
      <c r="HWQ7" s="104"/>
      <c r="HWR7" s="104"/>
      <c r="HWS7" s="104"/>
      <c r="HWT7" s="104"/>
      <c r="HWU7" s="104"/>
      <c r="HWV7" s="104"/>
      <c r="HWW7" s="104"/>
      <c r="HWX7" s="104"/>
      <c r="HWY7" s="104"/>
      <c r="HWZ7" s="104"/>
      <c r="HXA7" s="104"/>
      <c r="HXB7" s="104"/>
      <c r="HXC7" s="104"/>
      <c r="HXD7" s="104"/>
      <c r="HXE7" s="104"/>
      <c r="HXF7" s="104"/>
      <c r="HXG7" s="104"/>
      <c r="HXH7" s="104"/>
      <c r="HXI7" s="104"/>
      <c r="HXJ7" s="104"/>
      <c r="HXK7" s="104"/>
      <c r="HXL7" s="104"/>
      <c r="HXM7" s="104"/>
      <c r="HXN7" s="104"/>
      <c r="HXO7" s="104"/>
      <c r="HXP7" s="104"/>
      <c r="HXQ7" s="104"/>
      <c r="HXR7" s="104"/>
      <c r="HXS7" s="104"/>
      <c r="HXT7" s="104"/>
      <c r="HXU7" s="104"/>
      <c r="HXV7" s="104"/>
      <c r="HXW7" s="104"/>
      <c r="HXX7" s="104"/>
      <c r="HXY7" s="104"/>
      <c r="HXZ7" s="104"/>
      <c r="HYA7" s="104"/>
      <c r="HYB7" s="104"/>
      <c r="HYC7" s="104"/>
      <c r="HYD7" s="104"/>
      <c r="HYE7" s="104"/>
      <c r="HYF7" s="104"/>
      <c r="HYG7" s="104"/>
      <c r="HYH7" s="104"/>
      <c r="HYI7" s="104"/>
      <c r="HYJ7" s="104"/>
      <c r="HYK7" s="104"/>
      <c r="HYL7" s="104"/>
      <c r="HYM7" s="104"/>
      <c r="HYN7" s="104"/>
      <c r="HYO7" s="104"/>
      <c r="HYP7" s="104"/>
      <c r="HYQ7" s="104"/>
      <c r="HYR7" s="104"/>
      <c r="HYS7" s="104"/>
      <c r="HYT7" s="104"/>
      <c r="HYU7" s="104"/>
      <c r="HYV7" s="104"/>
      <c r="HYW7" s="104"/>
      <c r="HYX7" s="104"/>
      <c r="HYY7" s="104"/>
      <c r="HYZ7" s="104"/>
      <c r="HZA7" s="104"/>
      <c r="HZB7" s="104"/>
      <c r="HZC7" s="104"/>
      <c r="HZD7" s="104"/>
      <c r="HZE7" s="104"/>
      <c r="HZF7" s="104"/>
      <c r="HZG7" s="104"/>
      <c r="HZH7" s="104"/>
      <c r="HZI7" s="104"/>
      <c r="HZJ7" s="104"/>
      <c r="HZK7" s="104"/>
      <c r="HZL7" s="104"/>
      <c r="HZM7" s="104"/>
      <c r="HZN7" s="104"/>
      <c r="HZO7" s="104"/>
      <c r="HZP7" s="104"/>
      <c r="HZQ7" s="104"/>
      <c r="HZR7" s="104"/>
      <c r="HZS7" s="104"/>
      <c r="HZT7" s="104"/>
      <c r="HZU7" s="104"/>
      <c r="HZV7" s="104"/>
      <c r="HZW7" s="104"/>
      <c r="HZX7" s="104"/>
      <c r="HZY7" s="104"/>
      <c r="HZZ7" s="104"/>
      <c r="IAA7" s="104"/>
      <c r="IAB7" s="104"/>
      <c r="IAC7" s="104"/>
      <c r="IAD7" s="104"/>
      <c r="IAE7" s="104"/>
      <c r="IAF7" s="104"/>
      <c r="IAG7" s="104"/>
      <c r="IAH7" s="104"/>
      <c r="IAI7" s="104"/>
      <c r="IAJ7" s="104"/>
      <c r="IAK7" s="104"/>
      <c r="IAL7" s="104"/>
      <c r="IAM7" s="104"/>
      <c r="IAN7" s="104"/>
      <c r="IAO7" s="104"/>
      <c r="IAP7" s="104"/>
      <c r="IAQ7" s="104"/>
      <c r="IAR7" s="104"/>
      <c r="IAS7" s="104"/>
      <c r="IAT7" s="104"/>
      <c r="IAU7" s="104"/>
      <c r="IAV7" s="104"/>
      <c r="IAW7" s="104"/>
      <c r="IAX7" s="104"/>
      <c r="IAY7" s="104"/>
      <c r="IAZ7" s="104"/>
      <c r="IBA7" s="104"/>
      <c r="IBB7" s="104"/>
      <c r="IBC7" s="104"/>
      <c r="IBD7" s="104"/>
      <c r="IBE7" s="104"/>
      <c r="IBF7" s="104"/>
      <c r="IBG7" s="104"/>
      <c r="IBH7" s="104"/>
      <c r="IBI7" s="104"/>
      <c r="IBJ7" s="104"/>
      <c r="IBK7" s="104"/>
      <c r="IBL7" s="104"/>
      <c r="IBM7" s="104"/>
      <c r="IBN7" s="104"/>
      <c r="IBO7" s="104"/>
      <c r="IBP7" s="104"/>
      <c r="IBQ7" s="104"/>
      <c r="IBR7" s="104"/>
      <c r="IBS7" s="104"/>
      <c r="IBT7" s="104"/>
      <c r="IBU7" s="104"/>
      <c r="IBV7" s="104"/>
      <c r="IBW7" s="104"/>
      <c r="IBX7" s="104"/>
      <c r="IBY7" s="104"/>
      <c r="IBZ7" s="104"/>
      <c r="ICA7" s="104"/>
      <c r="ICB7" s="104"/>
      <c r="ICC7" s="104"/>
      <c r="ICD7" s="104"/>
      <c r="ICE7" s="104"/>
      <c r="ICF7" s="104"/>
      <c r="ICG7" s="104"/>
      <c r="ICH7" s="104"/>
      <c r="ICI7" s="104"/>
      <c r="ICJ7" s="104"/>
      <c r="ICK7" s="104"/>
      <c r="ICL7" s="104"/>
      <c r="ICM7" s="104"/>
      <c r="ICN7" s="104"/>
      <c r="ICO7" s="104"/>
      <c r="ICP7" s="104"/>
      <c r="ICQ7" s="104"/>
      <c r="ICR7" s="104"/>
      <c r="ICS7" s="104"/>
      <c r="ICT7" s="104"/>
      <c r="ICU7" s="104"/>
      <c r="ICV7" s="104"/>
      <c r="ICW7" s="104"/>
      <c r="ICX7" s="104"/>
      <c r="ICY7" s="104"/>
      <c r="ICZ7" s="104"/>
      <c r="IDA7" s="104"/>
      <c r="IDB7" s="104"/>
      <c r="IDC7" s="104"/>
      <c r="IDD7" s="104"/>
      <c r="IDE7" s="104"/>
      <c r="IDF7" s="104"/>
      <c r="IDG7" s="104"/>
      <c r="IDH7" s="104"/>
      <c r="IDI7" s="104"/>
      <c r="IDJ7" s="104"/>
      <c r="IDK7" s="104"/>
      <c r="IDL7" s="104"/>
      <c r="IDM7" s="104"/>
      <c r="IDN7" s="104"/>
      <c r="IDO7" s="104"/>
      <c r="IDP7" s="104"/>
      <c r="IDQ7" s="104"/>
      <c r="IDR7" s="104"/>
      <c r="IDS7" s="104"/>
      <c r="IDT7" s="104"/>
      <c r="IDU7" s="104"/>
      <c r="IDV7" s="104"/>
      <c r="IDW7" s="104"/>
      <c r="IDX7" s="104"/>
      <c r="IDY7" s="104"/>
      <c r="IDZ7" s="104"/>
      <c r="IEA7" s="104"/>
      <c r="IEB7" s="104"/>
      <c r="IEC7" s="104"/>
      <c r="IED7" s="104"/>
      <c r="IEE7" s="104"/>
      <c r="IEF7" s="104"/>
      <c r="IEG7" s="104"/>
      <c r="IEH7" s="104"/>
      <c r="IEI7" s="104"/>
      <c r="IEJ7" s="104"/>
      <c r="IEK7" s="104"/>
      <c r="IEL7" s="104"/>
      <c r="IEM7" s="104"/>
      <c r="IEN7" s="104"/>
      <c r="IEO7" s="104"/>
      <c r="IEP7" s="104"/>
      <c r="IEQ7" s="104"/>
      <c r="IER7" s="104"/>
      <c r="IES7" s="104"/>
      <c r="IET7" s="104"/>
      <c r="IEU7" s="104"/>
      <c r="IEV7" s="104"/>
      <c r="IEW7" s="104"/>
      <c r="IEX7" s="104"/>
      <c r="IEY7" s="104"/>
      <c r="IEZ7" s="104"/>
      <c r="IFA7" s="104"/>
      <c r="IFB7" s="104"/>
      <c r="IFC7" s="104"/>
      <c r="IFD7" s="104"/>
      <c r="IFE7" s="104"/>
      <c r="IFF7" s="104"/>
      <c r="IFG7" s="104"/>
      <c r="IFH7" s="104"/>
      <c r="IFI7" s="104"/>
      <c r="IFJ7" s="104"/>
      <c r="IFK7" s="104"/>
      <c r="IFL7" s="104"/>
      <c r="IFM7" s="104"/>
      <c r="IFN7" s="104"/>
      <c r="IFO7" s="104"/>
      <c r="IFP7" s="104"/>
      <c r="IFQ7" s="104"/>
      <c r="IFR7" s="104"/>
      <c r="IFS7" s="104"/>
      <c r="IFT7" s="104"/>
      <c r="IFU7" s="104"/>
      <c r="IFV7" s="104"/>
      <c r="IFW7" s="104"/>
      <c r="IFX7" s="104"/>
      <c r="IFY7" s="104"/>
      <c r="IFZ7" s="104"/>
      <c r="IGA7" s="104"/>
      <c r="IGB7" s="104"/>
      <c r="IGC7" s="104"/>
      <c r="IGD7" s="104"/>
      <c r="IGE7" s="104"/>
      <c r="IGF7" s="104"/>
      <c r="IGG7" s="104"/>
      <c r="IGH7" s="104"/>
      <c r="IGI7" s="104"/>
      <c r="IGJ7" s="104"/>
      <c r="IGK7" s="104"/>
      <c r="IGL7" s="104"/>
      <c r="IGM7" s="104"/>
      <c r="IGN7" s="104"/>
      <c r="IGO7" s="104"/>
      <c r="IGP7" s="104"/>
      <c r="IGQ7" s="104"/>
      <c r="IGR7" s="104"/>
      <c r="IGS7" s="104"/>
      <c r="IGT7" s="104"/>
      <c r="IGU7" s="104"/>
      <c r="IGV7" s="104"/>
      <c r="IGW7" s="104"/>
      <c r="IGX7" s="104"/>
      <c r="IGY7" s="104"/>
      <c r="IGZ7" s="104"/>
      <c r="IHA7" s="104"/>
      <c r="IHB7" s="104"/>
      <c r="IHC7" s="104"/>
      <c r="IHD7" s="104"/>
      <c r="IHE7" s="104"/>
      <c r="IHF7" s="104"/>
      <c r="IHG7" s="104"/>
      <c r="IHH7" s="104"/>
      <c r="IHI7" s="104"/>
      <c r="IHJ7" s="104"/>
      <c r="IHK7" s="104"/>
      <c r="IHL7" s="104"/>
      <c r="IHM7" s="104"/>
      <c r="IHN7" s="104"/>
      <c r="IHO7" s="104"/>
      <c r="IHP7" s="104"/>
      <c r="IHQ7" s="104"/>
      <c r="IHR7" s="104"/>
      <c r="IHS7" s="104"/>
      <c r="IHT7" s="104"/>
      <c r="IHU7" s="104"/>
      <c r="IHV7" s="104"/>
      <c r="IHW7" s="104"/>
      <c r="IHX7" s="104"/>
      <c r="IHY7" s="104"/>
      <c r="IHZ7" s="104"/>
      <c r="IIA7" s="104"/>
      <c r="IIB7" s="104"/>
      <c r="IIC7" s="104"/>
      <c r="IID7" s="104"/>
      <c r="IIE7" s="104"/>
      <c r="IIF7" s="104"/>
      <c r="IIG7" s="104"/>
      <c r="IIH7" s="104"/>
      <c r="III7" s="104"/>
      <c r="IIJ7" s="104"/>
      <c r="IIK7" s="104"/>
      <c r="IIL7" s="104"/>
      <c r="IIM7" s="104"/>
      <c r="IIN7" s="104"/>
      <c r="IIO7" s="104"/>
      <c r="IIP7" s="104"/>
      <c r="IIQ7" s="104"/>
      <c r="IIR7" s="104"/>
      <c r="IIS7" s="104"/>
      <c r="IIT7" s="104"/>
      <c r="IIU7" s="104"/>
      <c r="IIV7" s="104"/>
      <c r="IIW7" s="104"/>
      <c r="IIX7" s="104"/>
      <c r="IIY7" s="104"/>
      <c r="IIZ7" s="104"/>
      <c r="IJA7" s="104"/>
      <c r="IJB7" s="104"/>
      <c r="IJC7" s="104"/>
      <c r="IJD7" s="104"/>
      <c r="IJE7" s="104"/>
      <c r="IJF7" s="104"/>
      <c r="IJG7" s="104"/>
      <c r="IJH7" s="104"/>
      <c r="IJI7" s="104"/>
      <c r="IJJ7" s="104"/>
      <c r="IJK7" s="104"/>
      <c r="IJL7" s="104"/>
      <c r="IJM7" s="104"/>
      <c r="IJN7" s="104"/>
      <c r="IJO7" s="104"/>
      <c r="IJP7" s="104"/>
      <c r="IJQ7" s="104"/>
      <c r="IJR7" s="104"/>
      <c r="IJS7" s="104"/>
      <c r="IJT7" s="104"/>
      <c r="IJU7" s="104"/>
      <c r="IJV7" s="104"/>
      <c r="IJW7" s="104"/>
      <c r="IJX7" s="104"/>
      <c r="IJY7" s="104"/>
      <c r="IJZ7" s="104"/>
      <c r="IKA7" s="104"/>
      <c r="IKB7" s="104"/>
      <c r="IKC7" s="104"/>
      <c r="IKD7" s="104"/>
      <c r="IKE7" s="104"/>
      <c r="IKF7" s="104"/>
      <c r="IKG7" s="104"/>
      <c r="IKH7" s="104"/>
      <c r="IKI7" s="104"/>
      <c r="IKJ7" s="104"/>
      <c r="IKK7" s="104"/>
      <c r="IKL7" s="104"/>
      <c r="IKM7" s="104"/>
      <c r="IKN7" s="104"/>
      <c r="IKO7" s="104"/>
      <c r="IKP7" s="104"/>
      <c r="IKQ7" s="104"/>
      <c r="IKR7" s="104"/>
      <c r="IKS7" s="104"/>
      <c r="IKT7" s="104"/>
      <c r="IKU7" s="104"/>
      <c r="IKV7" s="104"/>
      <c r="IKW7" s="104"/>
      <c r="IKX7" s="104"/>
      <c r="IKY7" s="104"/>
      <c r="IKZ7" s="104"/>
      <c r="ILA7" s="104"/>
      <c r="ILB7" s="104"/>
      <c r="ILC7" s="104"/>
      <c r="ILD7" s="104"/>
      <c r="ILE7" s="104"/>
      <c r="ILF7" s="104"/>
      <c r="ILG7" s="104"/>
      <c r="ILH7" s="104"/>
      <c r="ILI7" s="104"/>
      <c r="ILJ7" s="104"/>
      <c r="ILK7" s="104"/>
      <c r="ILL7" s="104"/>
      <c r="ILM7" s="104"/>
      <c r="ILN7" s="104"/>
      <c r="ILO7" s="104"/>
      <c r="ILP7" s="104"/>
      <c r="ILQ7" s="104"/>
      <c r="ILR7" s="104"/>
      <c r="ILS7" s="104"/>
      <c r="ILT7" s="104"/>
      <c r="ILU7" s="104"/>
      <c r="ILV7" s="104"/>
      <c r="ILW7" s="104"/>
      <c r="ILX7" s="104"/>
      <c r="ILY7" s="104"/>
      <c r="ILZ7" s="104"/>
      <c r="IMA7" s="104"/>
      <c r="IMB7" s="104"/>
      <c r="IMC7" s="104"/>
      <c r="IMD7" s="104"/>
      <c r="IME7" s="104"/>
      <c r="IMF7" s="104"/>
      <c r="IMG7" s="104"/>
      <c r="IMH7" s="104"/>
      <c r="IMI7" s="104"/>
      <c r="IMJ7" s="104"/>
      <c r="IMK7" s="104"/>
      <c r="IML7" s="104"/>
      <c r="IMM7" s="104"/>
      <c r="IMN7" s="104"/>
      <c r="IMO7" s="104"/>
      <c r="IMP7" s="104"/>
      <c r="IMQ7" s="104"/>
      <c r="IMR7" s="104"/>
      <c r="IMS7" s="104"/>
      <c r="IMT7" s="104"/>
      <c r="IMU7" s="104"/>
      <c r="IMV7" s="104"/>
      <c r="IMW7" s="104"/>
      <c r="IMX7" s="104"/>
      <c r="IMY7" s="104"/>
      <c r="IMZ7" s="104"/>
      <c r="INA7" s="104"/>
      <c r="INB7" s="104"/>
      <c r="INC7" s="104"/>
      <c r="IND7" s="104"/>
      <c r="INE7" s="104"/>
      <c r="INF7" s="104"/>
      <c r="ING7" s="104"/>
      <c r="INH7" s="104"/>
      <c r="INI7" s="104"/>
      <c r="INJ7" s="104"/>
      <c r="INK7" s="104"/>
      <c r="INL7" s="104"/>
      <c r="INM7" s="104"/>
      <c r="INN7" s="104"/>
      <c r="INO7" s="104"/>
      <c r="INP7" s="104"/>
      <c r="INQ7" s="104"/>
      <c r="INR7" s="104"/>
      <c r="INS7" s="104"/>
      <c r="INT7" s="104"/>
      <c r="INU7" s="104"/>
      <c r="INV7" s="104"/>
      <c r="INW7" s="104"/>
      <c r="INX7" s="104"/>
      <c r="INY7" s="104"/>
      <c r="INZ7" s="104"/>
      <c r="IOA7" s="104"/>
      <c r="IOB7" s="104"/>
      <c r="IOC7" s="104"/>
      <c r="IOD7" s="104"/>
      <c r="IOE7" s="104"/>
      <c r="IOF7" s="104"/>
      <c r="IOG7" s="104"/>
      <c r="IOH7" s="104"/>
      <c r="IOI7" s="104"/>
      <c r="IOJ7" s="104"/>
      <c r="IOK7" s="104"/>
      <c r="IOL7" s="104"/>
      <c r="IOM7" s="104"/>
      <c r="ION7" s="104"/>
      <c r="IOO7" s="104"/>
      <c r="IOP7" s="104"/>
      <c r="IOQ7" s="104"/>
      <c r="IOR7" s="104"/>
      <c r="IOS7" s="104"/>
      <c r="IOT7" s="104"/>
      <c r="IOU7" s="104"/>
      <c r="IOV7" s="104"/>
      <c r="IOW7" s="104"/>
      <c r="IOX7" s="104"/>
      <c r="IOY7" s="104"/>
      <c r="IOZ7" s="104"/>
      <c r="IPA7" s="104"/>
      <c r="IPB7" s="104"/>
      <c r="IPC7" s="104"/>
      <c r="IPD7" s="104"/>
      <c r="IPE7" s="104"/>
      <c r="IPF7" s="104"/>
      <c r="IPG7" s="104"/>
      <c r="IPH7" s="104"/>
      <c r="IPI7" s="104"/>
      <c r="IPJ7" s="104"/>
      <c r="IPK7" s="104"/>
      <c r="IPL7" s="104"/>
      <c r="IPM7" s="104"/>
      <c r="IPN7" s="104"/>
      <c r="IPO7" s="104"/>
      <c r="IPP7" s="104"/>
      <c r="IPQ7" s="104"/>
      <c r="IPR7" s="104"/>
      <c r="IPS7" s="104"/>
      <c r="IPT7" s="104"/>
      <c r="IPU7" s="104"/>
      <c r="IPV7" s="104"/>
      <c r="IPW7" s="104"/>
      <c r="IPX7" s="104"/>
      <c r="IPY7" s="104"/>
      <c r="IPZ7" s="104"/>
      <c r="IQA7" s="104"/>
      <c r="IQB7" s="104"/>
      <c r="IQC7" s="104"/>
      <c r="IQD7" s="104"/>
      <c r="IQE7" s="104"/>
      <c r="IQF7" s="104"/>
      <c r="IQG7" s="104"/>
      <c r="IQH7" s="104"/>
      <c r="IQI7" s="104"/>
      <c r="IQJ7" s="104"/>
      <c r="IQK7" s="104"/>
      <c r="IQL7" s="104"/>
      <c r="IQM7" s="104"/>
      <c r="IQN7" s="104"/>
      <c r="IQO7" s="104"/>
      <c r="IQP7" s="104"/>
      <c r="IQQ7" s="104"/>
      <c r="IQR7" s="104"/>
      <c r="IQS7" s="104"/>
      <c r="IQT7" s="104"/>
      <c r="IQU7" s="104"/>
      <c r="IQV7" s="104"/>
      <c r="IQW7" s="104"/>
      <c r="IQX7" s="104"/>
      <c r="IQY7" s="104"/>
      <c r="IQZ7" s="104"/>
      <c r="IRA7" s="104"/>
      <c r="IRB7" s="104"/>
      <c r="IRC7" s="104"/>
      <c r="IRD7" s="104"/>
      <c r="IRE7" s="104"/>
      <c r="IRF7" s="104"/>
      <c r="IRG7" s="104"/>
      <c r="IRH7" s="104"/>
      <c r="IRI7" s="104"/>
      <c r="IRJ7" s="104"/>
      <c r="IRK7" s="104"/>
      <c r="IRL7" s="104"/>
      <c r="IRM7" s="104"/>
      <c r="IRN7" s="104"/>
      <c r="IRO7" s="104"/>
      <c r="IRP7" s="104"/>
      <c r="IRQ7" s="104"/>
      <c r="IRR7" s="104"/>
      <c r="IRS7" s="104"/>
      <c r="IRT7" s="104"/>
      <c r="IRU7" s="104"/>
      <c r="IRV7" s="104"/>
      <c r="IRW7" s="104"/>
      <c r="IRX7" s="104"/>
      <c r="IRY7" s="104"/>
      <c r="IRZ7" s="104"/>
      <c r="ISA7" s="104"/>
      <c r="ISB7" s="104"/>
      <c r="ISC7" s="104"/>
      <c r="ISD7" s="104"/>
      <c r="ISE7" s="104"/>
      <c r="ISF7" s="104"/>
      <c r="ISG7" s="104"/>
      <c r="ISH7" s="104"/>
      <c r="ISI7" s="104"/>
      <c r="ISJ7" s="104"/>
      <c r="ISK7" s="104"/>
      <c r="ISL7" s="104"/>
      <c r="ISM7" s="104"/>
      <c r="ISN7" s="104"/>
      <c r="ISO7" s="104"/>
      <c r="ISP7" s="104"/>
      <c r="ISQ7" s="104"/>
      <c r="ISR7" s="104"/>
      <c r="ISS7" s="104"/>
      <c r="IST7" s="104"/>
      <c r="ISU7" s="104"/>
      <c r="ISV7" s="104"/>
      <c r="ISW7" s="104"/>
      <c r="ISX7" s="104"/>
      <c r="ISY7" s="104"/>
      <c r="ISZ7" s="104"/>
      <c r="ITA7" s="104"/>
      <c r="ITB7" s="104"/>
      <c r="ITC7" s="104"/>
      <c r="ITD7" s="104"/>
      <c r="ITE7" s="104"/>
      <c r="ITF7" s="104"/>
      <c r="ITG7" s="104"/>
      <c r="ITH7" s="104"/>
      <c r="ITI7" s="104"/>
      <c r="ITJ7" s="104"/>
      <c r="ITK7" s="104"/>
      <c r="ITL7" s="104"/>
      <c r="ITM7" s="104"/>
      <c r="ITN7" s="104"/>
      <c r="ITO7" s="104"/>
      <c r="ITP7" s="104"/>
      <c r="ITQ7" s="104"/>
      <c r="ITR7" s="104"/>
      <c r="ITS7" s="104"/>
      <c r="ITT7" s="104"/>
      <c r="ITU7" s="104"/>
      <c r="ITV7" s="104"/>
      <c r="ITW7" s="104"/>
      <c r="ITX7" s="104"/>
      <c r="ITY7" s="104"/>
      <c r="ITZ7" s="104"/>
      <c r="IUA7" s="104"/>
      <c r="IUB7" s="104"/>
      <c r="IUC7" s="104"/>
      <c r="IUD7" s="104"/>
      <c r="IUE7" s="104"/>
      <c r="IUF7" s="104"/>
      <c r="IUG7" s="104"/>
      <c r="IUH7" s="104"/>
      <c r="IUI7" s="104"/>
      <c r="IUJ7" s="104"/>
      <c r="IUK7" s="104"/>
      <c r="IUL7" s="104"/>
      <c r="IUM7" s="104"/>
      <c r="IUN7" s="104"/>
      <c r="IUO7" s="104"/>
      <c r="IUP7" s="104"/>
      <c r="IUQ7" s="104"/>
      <c r="IUR7" s="104"/>
      <c r="IUS7" s="104"/>
      <c r="IUT7" s="104"/>
      <c r="IUU7" s="104"/>
      <c r="IUV7" s="104"/>
      <c r="IUW7" s="104"/>
      <c r="IUX7" s="104"/>
      <c r="IUY7" s="104"/>
      <c r="IUZ7" s="104"/>
      <c r="IVA7" s="104"/>
      <c r="IVB7" s="104"/>
      <c r="IVC7" s="104"/>
      <c r="IVD7" s="104"/>
      <c r="IVE7" s="104"/>
      <c r="IVF7" s="104"/>
      <c r="IVG7" s="104"/>
      <c r="IVH7" s="104"/>
      <c r="IVI7" s="104"/>
      <c r="IVJ7" s="104"/>
      <c r="IVK7" s="104"/>
      <c r="IVL7" s="104"/>
      <c r="IVM7" s="104"/>
      <c r="IVN7" s="104"/>
      <c r="IVO7" s="104"/>
      <c r="IVP7" s="104"/>
      <c r="IVQ7" s="104"/>
      <c r="IVR7" s="104"/>
      <c r="IVS7" s="104"/>
      <c r="IVT7" s="104"/>
      <c r="IVU7" s="104"/>
      <c r="IVV7" s="104"/>
      <c r="IVW7" s="104"/>
      <c r="IVX7" s="104"/>
      <c r="IVY7" s="104"/>
      <c r="IVZ7" s="104"/>
      <c r="IWA7" s="104"/>
      <c r="IWB7" s="104"/>
      <c r="IWC7" s="104"/>
      <c r="IWD7" s="104"/>
      <c r="IWE7" s="104"/>
      <c r="IWF7" s="104"/>
      <c r="IWG7" s="104"/>
      <c r="IWH7" s="104"/>
      <c r="IWI7" s="104"/>
      <c r="IWJ7" s="104"/>
      <c r="IWK7" s="104"/>
      <c r="IWL7" s="104"/>
      <c r="IWM7" s="104"/>
      <c r="IWN7" s="104"/>
      <c r="IWO7" s="104"/>
      <c r="IWP7" s="104"/>
      <c r="IWQ7" s="104"/>
      <c r="IWR7" s="104"/>
      <c r="IWS7" s="104"/>
      <c r="IWT7" s="104"/>
      <c r="IWU7" s="104"/>
      <c r="IWV7" s="104"/>
      <c r="IWW7" s="104"/>
      <c r="IWX7" s="104"/>
      <c r="IWY7" s="104"/>
      <c r="IWZ7" s="104"/>
      <c r="IXA7" s="104"/>
      <c r="IXB7" s="104"/>
      <c r="IXC7" s="104"/>
      <c r="IXD7" s="104"/>
      <c r="IXE7" s="104"/>
      <c r="IXF7" s="104"/>
      <c r="IXG7" s="104"/>
      <c r="IXH7" s="104"/>
      <c r="IXI7" s="104"/>
      <c r="IXJ7" s="104"/>
      <c r="IXK7" s="104"/>
      <c r="IXL7" s="104"/>
      <c r="IXM7" s="104"/>
      <c r="IXN7" s="104"/>
      <c r="IXO7" s="104"/>
      <c r="IXP7" s="104"/>
      <c r="IXQ7" s="104"/>
      <c r="IXR7" s="104"/>
      <c r="IXS7" s="104"/>
      <c r="IXT7" s="104"/>
      <c r="IXU7" s="104"/>
      <c r="IXV7" s="104"/>
      <c r="IXW7" s="104"/>
      <c r="IXX7" s="104"/>
      <c r="IXY7" s="104"/>
      <c r="IXZ7" s="104"/>
      <c r="IYA7" s="104"/>
      <c r="IYB7" s="104"/>
      <c r="IYC7" s="104"/>
      <c r="IYD7" s="104"/>
      <c r="IYE7" s="104"/>
      <c r="IYF7" s="104"/>
      <c r="IYG7" s="104"/>
      <c r="IYH7" s="104"/>
      <c r="IYI7" s="104"/>
      <c r="IYJ7" s="104"/>
      <c r="IYK7" s="104"/>
      <c r="IYL7" s="104"/>
      <c r="IYM7" s="104"/>
      <c r="IYN7" s="104"/>
      <c r="IYO7" s="104"/>
      <c r="IYP7" s="104"/>
      <c r="IYQ7" s="104"/>
      <c r="IYR7" s="104"/>
      <c r="IYS7" s="104"/>
      <c r="IYT7" s="104"/>
      <c r="IYU7" s="104"/>
      <c r="IYV7" s="104"/>
      <c r="IYW7" s="104"/>
      <c r="IYX7" s="104"/>
      <c r="IYY7" s="104"/>
      <c r="IYZ7" s="104"/>
      <c r="IZA7" s="104"/>
      <c r="IZB7" s="104"/>
      <c r="IZC7" s="104"/>
      <c r="IZD7" s="104"/>
      <c r="IZE7" s="104"/>
      <c r="IZF7" s="104"/>
      <c r="IZG7" s="104"/>
      <c r="IZH7" s="104"/>
      <c r="IZI7" s="104"/>
      <c r="IZJ7" s="104"/>
      <c r="IZK7" s="104"/>
      <c r="IZL7" s="104"/>
      <c r="IZM7" s="104"/>
      <c r="IZN7" s="104"/>
      <c r="IZO7" s="104"/>
      <c r="IZP7" s="104"/>
      <c r="IZQ7" s="104"/>
      <c r="IZR7" s="104"/>
      <c r="IZS7" s="104"/>
      <c r="IZT7" s="104"/>
      <c r="IZU7" s="104"/>
      <c r="IZV7" s="104"/>
      <c r="IZW7" s="104"/>
      <c r="IZX7" s="104"/>
      <c r="IZY7" s="104"/>
      <c r="IZZ7" s="104"/>
      <c r="JAA7" s="104"/>
      <c r="JAB7" s="104"/>
      <c r="JAC7" s="104"/>
      <c r="JAD7" s="104"/>
      <c r="JAE7" s="104"/>
      <c r="JAF7" s="104"/>
      <c r="JAG7" s="104"/>
      <c r="JAH7" s="104"/>
      <c r="JAI7" s="104"/>
      <c r="JAJ7" s="104"/>
      <c r="JAK7" s="104"/>
      <c r="JAL7" s="104"/>
      <c r="JAM7" s="104"/>
      <c r="JAN7" s="104"/>
      <c r="JAO7" s="104"/>
      <c r="JAP7" s="104"/>
      <c r="JAQ7" s="104"/>
      <c r="JAR7" s="104"/>
      <c r="JAS7" s="104"/>
      <c r="JAT7" s="104"/>
      <c r="JAU7" s="104"/>
      <c r="JAV7" s="104"/>
      <c r="JAW7" s="104"/>
      <c r="JAX7" s="104"/>
      <c r="JAY7" s="104"/>
      <c r="JAZ7" s="104"/>
      <c r="JBA7" s="104"/>
      <c r="JBB7" s="104"/>
      <c r="JBC7" s="104"/>
      <c r="JBD7" s="104"/>
      <c r="JBE7" s="104"/>
      <c r="JBF7" s="104"/>
      <c r="JBG7" s="104"/>
      <c r="JBH7" s="104"/>
      <c r="JBI7" s="104"/>
      <c r="JBJ7" s="104"/>
      <c r="JBK7" s="104"/>
      <c r="JBL7" s="104"/>
      <c r="JBM7" s="104"/>
      <c r="JBN7" s="104"/>
      <c r="JBO7" s="104"/>
      <c r="JBP7" s="104"/>
      <c r="JBQ7" s="104"/>
      <c r="JBR7" s="104"/>
      <c r="JBS7" s="104"/>
      <c r="JBT7" s="104"/>
      <c r="JBU7" s="104"/>
      <c r="JBV7" s="104"/>
      <c r="JBW7" s="104"/>
      <c r="JBX7" s="104"/>
      <c r="JBY7" s="104"/>
      <c r="JBZ7" s="104"/>
      <c r="JCA7" s="104"/>
      <c r="JCB7" s="104"/>
      <c r="JCC7" s="104"/>
      <c r="JCD7" s="104"/>
      <c r="JCE7" s="104"/>
      <c r="JCF7" s="104"/>
      <c r="JCG7" s="104"/>
      <c r="JCH7" s="104"/>
      <c r="JCI7" s="104"/>
      <c r="JCJ7" s="104"/>
      <c r="JCK7" s="104"/>
      <c r="JCL7" s="104"/>
      <c r="JCM7" s="104"/>
      <c r="JCN7" s="104"/>
      <c r="JCO7" s="104"/>
      <c r="JCP7" s="104"/>
      <c r="JCQ7" s="104"/>
      <c r="JCR7" s="104"/>
      <c r="JCS7" s="104"/>
      <c r="JCT7" s="104"/>
      <c r="JCU7" s="104"/>
      <c r="JCV7" s="104"/>
      <c r="JCW7" s="104"/>
      <c r="JCX7" s="104"/>
      <c r="JCY7" s="104"/>
      <c r="JCZ7" s="104"/>
      <c r="JDA7" s="104"/>
      <c r="JDB7" s="104"/>
      <c r="JDC7" s="104"/>
      <c r="JDD7" s="104"/>
      <c r="JDE7" s="104"/>
      <c r="JDF7" s="104"/>
      <c r="JDG7" s="104"/>
      <c r="JDH7" s="104"/>
      <c r="JDI7" s="104"/>
      <c r="JDJ7" s="104"/>
      <c r="JDK7" s="104"/>
      <c r="JDL7" s="104"/>
      <c r="JDM7" s="104"/>
      <c r="JDN7" s="104"/>
      <c r="JDO7" s="104"/>
      <c r="JDP7" s="104"/>
      <c r="JDQ7" s="104"/>
      <c r="JDR7" s="104"/>
      <c r="JDS7" s="104"/>
      <c r="JDT7" s="104"/>
      <c r="JDU7" s="104"/>
      <c r="JDV7" s="104"/>
      <c r="JDW7" s="104"/>
      <c r="JDX7" s="104"/>
      <c r="JDY7" s="104"/>
      <c r="JDZ7" s="104"/>
      <c r="JEA7" s="104"/>
      <c r="JEB7" s="104"/>
      <c r="JEC7" s="104"/>
      <c r="JED7" s="104"/>
      <c r="JEE7" s="104"/>
      <c r="JEF7" s="104"/>
      <c r="JEG7" s="104"/>
      <c r="JEH7" s="104"/>
      <c r="JEI7" s="104"/>
      <c r="JEJ7" s="104"/>
      <c r="JEK7" s="104"/>
      <c r="JEL7" s="104"/>
      <c r="JEM7" s="104"/>
      <c r="JEN7" s="104"/>
      <c r="JEO7" s="104"/>
      <c r="JEP7" s="104"/>
      <c r="JEQ7" s="104"/>
      <c r="JER7" s="104"/>
      <c r="JES7" s="104"/>
      <c r="JET7" s="104"/>
      <c r="JEU7" s="104"/>
      <c r="JEV7" s="104"/>
      <c r="JEW7" s="104"/>
      <c r="JEX7" s="104"/>
      <c r="JEY7" s="104"/>
      <c r="JEZ7" s="104"/>
      <c r="JFA7" s="104"/>
      <c r="JFB7" s="104"/>
      <c r="JFC7" s="104"/>
      <c r="JFD7" s="104"/>
      <c r="JFE7" s="104"/>
      <c r="JFF7" s="104"/>
      <c r="JFG7" s="104"/>
      <c r="JFH7" s="104"/>
      <c r="JFI7" s="104"/>
      <c r="JFJ7" s="104"/>
      <c r="JFK7" s="104"/>
      <c r="JFL7" s="104"/>
      <c r="JFM7" s="104"/>
      <c r="JFN7" s="104"/>
      <c r="JFO7" s="104"/>
      <c r="JFP7" s="104"/>
      <c r="JFQ7" s="104"/>
      <c r="JFR7" s="104"/>
      <c r="JFS7" s="104"/>
      <c r="JFT7" s="104"/>
      <c r="JFU7" s="104"/>
      <c r="JFV7" s="104"/>
      <c r="JFW7" s="104"/>
      <c r="JFX7" s="104"/>
      <c r="JFY7" s="104"/>
      <c r="JFZ7" s="104"/>
      <c r="JGA7" s="104"/>
      <c r="JGB7" s="104"/>
      <c r="JGC7" s="104"/>
      <c r="JGD7" s="104"/>
      <c r="JGE7" s="104"/>
      <c r="JGF7" s="104"/>
      <c r="JGG7" s="104"/>
      <c r="JGH7" s="104"/>
      <c r="JGI7" s="104"/>
      <c r="JGJ7" s="104"/>
      <c r="JGK7" s="104"/>
      <c r="JGL7" s="104"/>
      <c r="JGM7" s="104"/>
      <c r="JGN7" s="104"/>
      <c r="JGO7" s="104"/>
      <c r="JGP7" s="104"/>
      <c r="JGQ7" s="104"/>
      <c r="JGR7" s="104"/>
      <c r="JGS7" s="104"/>
      <c r="JGT7" s="104"/>
      <c r="JGU7" s="104"/>
      <c r="JGV7" s="104"/>
      <c r="JGW7" s="104"/>
      <c r="JGX7" s="104"/>
      <c r="JGY7" s="104"/>
      <c r="JGZ7" s="104"/>
      <c r="JHA7" s="104"/>
      <c r="JHB7" s="104"/>
      <c r="JHC7" s="104"/>
      <c r="JHD7" s="104"/>
      <c r="JHE7" s="104"/>
      <c r="JHF7" s="104"/>
      <c r="JHG7" s="104"/>
      <c r="JHH7" s="104"/>
      <c r="JHI7" s="104"/>
      <c r="JHJ7" s="104"/>
      <c r="JHK7" s="104"/>
      <c r="JHL7" s="104"/>
      <c r="JHM7" s="104"/>
      <c r="JHN7" s="104"/>
      <c r="JHO7" s="104"/>
      <c r="JHP7" s="104"/>
      <c r="JHQ7" s="104"/>
      <c r="JHR7" s="104"/>
      <c r="JHS7" s="104"/>
      <c r="JHT7" s="104"/>
      <c r="JHU7" s="104"/>
      <c r="JHV7" s="104"/>
      <c r="JHW7" s="104"/>
      <c r="JHX7" s="104"/>
      <c r="JHY7" s="104"/>
      <c r="JHZ7" s="104"/>
      <c r="JIA7" s="104"/>
      <c r="JIB7" s="104"/>
      <c r="JIC7" s="104"/>
      <c r="JID7" s="104"/>
      <c r="JIE7" s="104"/>
      <c r="JIF7" s="104"/>
      <c r="JIG7" s="104"/>
      <c r="JIH7" s="104"/>
      <c r="JII7" s="104"/>
      <c r="JIJ7" s="104"/>
      <c r="JIK7" s="104"/>
      <c r="JIL7" s="104"/>
      <c r="JIM7" s="104"/>
      <c r="JIN7" s="104"/>
      <c r="JIO7" s="104"/>
      <c r="JIP7" s="104"/>
      <c r="JIQ7" s="104"/>
      <c r="JIR7" s="104"/>
      <c r="JIS7" s="104"/>
      <c r="JIT7" s="104"/>
      <c r="JIU7" s="104"/>
      <c r="JIV7" s="104"/>
      <c r="JIW7" s="104"/>
      <c r="JIX7" s="104"/>
      <c r="JIY7" s="104"/>
      <c r="JIZ7" s="104"/>
      <c r="JJA7" s="104"/>
      <c r="JJB7" s="104"/>
      <c r="JJC7" s="104"/>
      <c r="JJD7" s="104"/>
      <c r="JJE7" s="104"/>
      <c r="JJF7" s="104"/>
      <c r="JJG7" s="104"/>
      <c r="JJH7" s="104"/>
      <c r="JJI7" s="104"/>
      <c r="JJJ7" s="104"/>
      <c r="JJK7" s="104"/>
      <c r="JJL7" s="104"/>
      <c r="JJM7" s="104"/>
      <c r="JJN7" s="104"/>
      <c r="JJO7" s="104"/>
      <c r="JJP7" s="104"/>
      <c r="JJQ7" s="104"/>
      <c r="JJR7" s="104"/>
      <c r="JJS7" s="104"/>
      <c r="JJT7" s="104"/>
      <c r="JJU7" s="104"/>
      <c r="JJV7" s="104"/>
      <c r="JJW7" s="104"/>
      <c r="JJX7" s="104"/>
      <c r="JJY7" s="104"/>
      <c r="JJZ7" s="104"/>
      <c r="JKA7" s="104"/>
      <c r="JKB7" s="104"/>
      <c r="JKC7" s="104"/>
      <c r="JKD7" s="104"/>
      <c r="JKE7" s="104"/>
      <c r="JKF7" s="104"/>
      <c r="JKG7" s="104"/>
      <c r="JKH7" s="104"/>
      <c r="JKI7" s="104"/>
      <c r="JKJ7" s="104"/>
      <c r="JKK7" s="104"/>
      <c r="JKL7" s="104"/>
      <c r="JKM7" s="104"/>
      <c r="JKN7" s="104"/>
      <c r="JKO7" s="104"/>
      <c r="JKP7" s="104"/>
      <c r="JKQ7" s="104"/>
      <c r="JKR7" s="104"/>
      <c r="JKS7" s="104"/>
      <c r="JKT7" s="104"/>
      <c r="JKU7" s="104"/>
      <c r="JKV7" s="104"/>
      <c r="JKW7" s="104"/>
      <c r="JKX7" s="104"/>
      <c r="JKY7" s="104"/>
      <c r="JKZ7" s="104"/>
      <c r="JLA7" s="104"/>
      <c r="JLB7" s="104"/>
      <c r="JLC7" s="104"/>
      <c r="JLD7" s="104"/>
      <c r="JLE7" s="104"/>
      <c r="JLF7" s="104"/>
      <c r="JLG7" s="104"/>
      <c r="JLH7" s="104"/>
      <c r="JLI7" s="104"/>
      <c r="JLJ7" s="104"/>
      <c r="JLK7" s="104"/>
      <c r="JLL7" s="104"/>
      <c r="JLM7" s="104"/>
      <c r="JLN7" s="104"/>
      <c r="JLO7" s="104"/>
      <c r="JLP7" s="104"/>
      <c r="JLQ7" s="104"/>
      <c r="JLR7" s="104"/>
      <c r="JLS7" s="104"/>
      <c r="JLT7" s="104"/>
      <c r="JLU7" s="104"/>
      <c r="JLV7" s="104"/>
      <c r="JLW7" s="104"/>
      <c r="JLX7" s="104"/>
      <c r="JLY7" s="104"/>
      <c r="JLZ7" s="104"/>
      <c r="JMA7" s="104"/>
      <c r="JMB7" s="104"/>
      <c r="JMC7" s="104"/>
      <c r="JMD7" s="104"/>
      <c r="JME7" s="104"/>
      <c r="JMF7" s="104"/>
      <c r="JMG7" s="104"/>
      <c r="JMH7" s="104"/>
      <c r="JMI7" s="104"/>
      <c r="JMJ7" s="104"/>
      <c r="JMK7" s="104"/>
      <c r="JML7" s="104"/>
      <c r="JMM7" s="104"/>
      <c r="JMN7" s="104"/>
      <c r="JMO7" s="104"/>
      <c r="JMP7" s="104"/>
      <c r="JMQ7" s="104"/>
      <c r="JMR7" s="104"/>
      <c r="JMS7" s="104"/>
      <c r="JMT7" s="104"/>
      <c r="JMU7" s="104"/>
      <c r="JMV7" s="104"/>
      <c r="JMW7" s="104"/>
      <c r="JMX7" s="104"/>
      <c r="JMY7" s="104"/>
      <c r="JMZ7" s="104"/>
      <c r="JNA7" s="104"/>
      <c r="JNB7" s="104"/>
      <c r="JNC7" s="104"/>
      <c r="JND7" s="104"/>
      <c r="JNE7" s="104"/>
      <c r="JNF7" s="104"/>
      <c r="JNG7" s="104"/>
      <c r="JNH7" s="104"/>
      <c r="JNI7" s="104"/>
      <c r="JNJ7" s="104"/>
      <c r="JNK7" s="104"/>
      <c r="JNL7" s="104"/>
      <c r="JNM7" s="104"/>
      <c r="JNN7" s="104"/>
      <c r="JNO7" s="104"/>
      <c r="JNP7" s="104"/>
      <c r="JNQ7" s="104"/>
      <c r="JNR7" s="104"/>
      <c r="JNS7" s="104"/>
      <c r="JNT7" s="104"/>
      <c r="JNU7" s="104"/>
      <c r="JNV7" s="104"/>
      <c r="JNW7" s="104"/>
      <c r="JNX7" s="104"/>
      <c r="JNY7" s="104"/>
      <c r="JNZ7" s="104"/>
      <c r="JOA7" s="104"/>
      <c r="JOB7" s="104"/>
      <c r="JOC7" s="104"/>
      <c r="JOD7" s="104"/>
      <c r="JOE7" s="104"/>
      <c r="JOF7" s="104"/>
      <c r="JOG7" s="104"/>
      <c r="JOH7" s="104"/>
      <c r="JOI7" s="104"/>
      <c r="JOJ7" s="104"/>
      <c r="JOK7" s="104"/>
      <c r="JOL7" s="104"/>
      <c r="JOM7" s="104"/>
      <c r="JON7" s="104"/>
      <c r="JOO7" s="104"/>
      <c r="JOP7" s="104"/>
      <c r="JOQ7" s="104"/>
      <c r="JOR7" s="104"/>
      <c r="JOS7" s="104"/>
      <c r="JOT7" s="104"/>
      <c r="JOU7" s="104"/>
      <c r="JOV7" s="104"/>
      <c r="JOW7" s="104"/>
      <c r="JOX7" s="104"/>
      <c r="JOY7" s="104"/>
      <c r="JOZ7" s="104"/>
      <c r="JPA7" s="104"/>
      <c r="JPB7" s="104"/>
      <c r="JPC7" s="104"/>
      <c r="JPD7" s="104"/>
      <c r="JPE7" s="104"/>
      <c r="JPF7" s="104"/>
      <c r="JPG7" s="104"/>
      <c r="JPH7" s="104"/>
      <c r="JPI7" s="104"/>
      <c r="JPJ7" s="104"/>
      <c r="JPK7" s="104"/>
      <c r="JPL7" s="104"/>
      <c r="JPM7" s="104"/>
      <c r="JPN7" s="104"/>
      <c r="JPO7" s="104"/>
      <c r="JPP7" s="104"/>
      <c r="JPQ7" s="104"/>
      <c r="JPR7" s="104"/>
      <c r="JPS7" s="104"/>
      <c r="JPT7" s="104"/>
      <c r="JPU7" s="104"/>
      <c r="JPV7" s="104"/>
      <c r="JPW7" s="104"/>
      <c r="JPX7" s="104"/>
      <c r="JPY7" s="104"/>
      <c r="JPZ7" s="104"/>
      <c r="JQA7" s="104"/>
      <c r="JQB7" s="104"/>
      <c r="JQC7" s="104"/>
      <c r="JQD7" s="104"/>
      <c r="JQE7" s="104"/>
      <c r="JQF7" s="104"/>
      <c r="JQG7" s="104"/>
      <c r="JQH7" s="104"/>
      <c r="JQI7" s="104"/>
      <c r="JQJ7" s="104"/>
      <c r="JQK7" s="104"/>
      <c r="JQL7" s="104"/>
      <c r="JQM7" s="104"/>
      <c r="JQN7" s="104"/>
      <c r="JQO7" s="104"/>
      <c r="JQP7" s="104"/>
      <c r="JQQ7" s="104"/>
      <c r="JQR7" s="104"/>
      <c r="JQS7" s="104"/>
      <c r="JQT7" s="104"/>
      <c r="JQU7" s="104"/>
      <c r="JQV7" s="104"/>
      <c r="JQW7" s="104"/>
      <c r="JQX7" s="104"/>
      <c r="JQY7" s="104"/>
      <c r="JQZ7" s="104"/>
      <c r="JRA7" s="104"/>
      <c r="JRB7" s="104"/>
      <c r="JRC7" s="104"/>
      <c r="JRD7" s="104"/>
      <c r="JRE7" s="104"/>
      <c r="JRF7" s="104"/>
      <c r="JRG7" s="104"/>
      <c r="JRH7" s="104"/>
      <c r="JRI7" s="104"/>
      <c r="JRJ7" s="104"/>
      <c r="JRK7" s="104"/>
      <c r="JRL7" s="104"/>
      <c r="JRM7" s="104"/>
      <c r="JRN7" s="104"/>
      <c r="JRO7" s="104"/>
      <c r="JRP7" s="104"/>
      <c r="JRQ7" s="104"/>
      <c r="JRR7" s="104"/>
      <c r="JRS7" s="104"/>
      <c r="JRT7" s="104"/>
      <c r="JRU7" s="104"/>
      <c r="JRV7" s="104"/>
      <c r="JRW7" s="104"/>
      <c r="JRX7" s="104"/>
      <c r="JRY7" s="104"/>
      <c r="JRZ7" s="104"/>
      <c r="JSA7" s="104"/>
      <c r="JSB7" s="104"/>
      <c r="JSC7" s="104"/>
      <c r="JSD7" s="104"/>
      <c r="JSE7" s="104"/>
      <c r="JSF7" s="104"/>
      <c r="JSG7" s="104"/>
      <c r="JSH7" s="104"/>
      <c r="JSI7" s="104"/>
      <c r="JSJ7" s="104"/>
      <c r="JSK7" s="104"/>
      <c r="JSL7" s="104"/>
      <c r="JSM7" s="104"/>
      <c r="JSN7" s="104"/>
      <c r="JSO7" s="104"/>
      <c r="JSP7" s="104"/>
      <c r="JSQ7" s="104"/>
      <c r="JSR7" s="104"/>
      <c r="JSS7" s="104"/>
      <c r="JST7" s="104"/>
      <c r="JSU7" s="104"/>
      <c r="JSV7" s="104"/>
      <c r="JSW7" s="104"/>
      <c r="JSX7" s="104"/>
      <c r="JSY7" s="104"/>
      <c r="JSZ7" s="104"/>
      <c r="JTA7" s="104"/>
      <c r="JTB7" s="104"/>
      <c r="JTC7" s="104"/>
      <c r="JTD7" s="104"/>
      <c r="JTE7" s="104"/>
      <c r="JTF7" s="104"/>
      <c r="JTG7" s="104"/>
      <c r="JTH7" s="104"/>
      <c r="JTI7" s="104"/>
      <c r="JTJ7" s="104"/>
      <c r="JTK7" s="104"/>
      <c r="JTL7" s="104"/>
      <c r="JTM7" s="104"/>
      <c r="JTN7" s="104"/>
      <c r="JTO7" s="104"/>
      <c r="JTP7" s="104"/>
      <c r="JTQ7" s="104"/>
      <c r="JTR7" s="104"/>
      <c r="JTS7" s="104"/>
      <c r="JTT7" s="104"/>
      <c r="JTU7" s="104"/>
      <c r="JTV7" s="104"/>
      <c r="JTW7" s="104"/>
      <c r="JTX7" s="104"/>
      <c r="JTY7" s="104"/>
      <c r="JTZ7" s="104"/>
      <c r="JUA7" s="104"/>
      <c r="JUB7" s="104"/>
      <c r="JUC7" s="104"/>
      <c r="JUD7" s="104"/>
      <c r="JUE7" s="104"/>
      <c r="JUF7" s="104"/>
      <c r="JUG7" s="104"/>
      <c r="JUH7" s="104"/>
      <c r="JUI7" s="104"/>
      <c r="JUJ7" s="104"/>
      <c r="JUK7" s="104"/>
      <c r="JUL7" s="104"/>
      <c r="JUM7" s="104"/>
      <c r="JUN7" s="104"/>
      <c r="JUO7" s="104"/>
      <c r="JUP7" s="104"/>
      <c r="JUQ7" s="104"/>
      <c r="JUR7" s="104"/>
      <c r="JUS7" s="104"/>
      <c r="JUT7" s="104"/>
      <c r="JUU7" s="104"/>
      <c r="JUV7" s="104"/>
      <c r="JUW7" s="104"/>
      <c r="JUX7" s="104"/>
      <c r="JUY7" s="104"/>
      <c r="JUZ7" s="104"/>
      <c r="JVA7" s="104"/>
      <c r="JVB7" s="104"/>
      <c r="JVC7" s="104"/>
      <c r="JVD7" s="104"/>
      <c r="JVE7" s="104"/>
      <c r="JVF7" s="104"/>
      <c r="JVG7" s="104"/>
      <c r="JVH7" s="104"/>
      <c r="JVI7" s="104"/>
      <c r="JVJ7" s="104"/>
      <c r="JVK7" s="104"/>
      <c r="JVL7" s="104"/>
      <c r="JVM7" s="104"/>
      <c r="JVN7" s="104"/>
      <c r="JVO7" s="104"/>
      <c r="JVP7" s="104"/>
      <c r="JVQ7" s="104"/>
      <c r="JVR7" s="104"/>
      <c r="JVS7" s="104"/>
      <c r="JVT7" s="104"/>
      <c r="JVU7" s="104"/>
      <c r="JVV7" s="104"/>
      <c r="JVW7" s="104"/>
      <c r="JVX7" s="104"/>
      <c r="JVY7" s="104"/>
      <c r="JVZ7" s="104"/>
      <c r="JWA7" s="104"/>
      <c r="JWB7" s="104"/>
      <c r="JWC7" s="104"/>
      <c r="JWD7" s="104"/>
      <c r="JWE7" s="104"/>
      <c r="JWF7" s="104"/>
      <c r="JWG7" s="104"/>
      <c r="JWH7" s="104"/>
      <c r="JWI7" s="104"/>
      <c r="JWJ7" s="104"/>
      <c r="JWK7" s="104"/>
      <c r="JWL7" s="104"/>
      <c r="JWM7" s="104"/>
      <c r="JWN7" s="104"/>
      <c r="JWO7" s="104"/>
      <c r="JWP7" s="104"/>
      <c r="JWQ7" s="104"/>
      <c r="JWR7" s="104"/>
      <c r="JWS7" s="104"/>
      <c r="JWT7" s="104"/>
      <c r="JWU7" s="104"/>
      <c r="JWV7" s="104"/>
      <c r="JWW7" s="104"/>
      <c r="JWX7" s="104"/>
      <c r="JWY7" s="104"/>
      <c r="JWZ7" s="104"/>
      <c r="JXA7" s="104"/>
      <c r="JXB7" s="104"/>
      <c r="JXC7" s="104"/>
      <c r="JXD7" s="104"/>
      <c r="JXE7" s="104"/>
      <c r="JXF7" s="104"/>
      <c r="JXG7" s="104"/>
      <c r="JXH7" s="104"/>
      <c r="JXI7" s="104"/>
      <c r="JXJ7" s="104"/>
      <c r="JXK7" s="104"/>
      <c r="JXL7" s="104"/>
      <c r="JXM7" s="104"/>
      <c r="JXN7" s="104"/>
      <c r="JXO7" s="104"/>
      <c r="JXP7" s="104"/>
      <c r="JXQ7" s="104"/>
      <c r="JXR7" s="104"/>
      <c r="JXS7" s="104"/>
      <c r="JXT7" s="104"/>
      <c r="JXU7" s="104"/>
      <c r="JXV7" s="104"/>
      <c r="JXW7" s="104"/>
      <c r="JXX7" s="104"/>
      <c r="JXY7" s="104"/>
      <c r="JXZ7" s="104"/>
      <c r="JYA7" s="104"/>
      <c r="JYB7" s="104"/>
      <c r="JYC7" s="104"/>
      <c r="JYD7" s="104"/>
      <c r="JYE7" s="104"/>
      <c r="JYF7" s="104"/>
      <c r="JYG7" s="104"/>
      <c r="JYH7" s="104"/>
      <c r="JYI7" s="104"/>
      <c r="JYJ7" s="104"/>
      <c r="JYK7" s="104"/>
      <c r="JYL7" s="104"/>
      <c r="JYM7" s="104"/>
      <c r="JYN7" s="104"/>
      <c r="JYO7" s="104"/>
      <c r="JYP7" s="104"/>
      <c r="JYQ7" s="104"/>
      <c r="JYR7" s="104"/>
      <c r="JYS7" s="104"/>
      <c r="JYT7" s="104"/>
      <c r="JYU7" s="104"/>
      <c r="JYV7" s="104"/>
      <c r="JYW7" s="104"/>
      <c r="JYX7" s="104"/>
      <c r="JYY7" s="104"/>
      <c r="JYZ7" s="104"/>
      <c r="JZA7" s="104"/>
      <c r="JZB7" s="104"/>
      <c r="JZC7" s="104"/>
      <c r="JZD7" s="104"/>
      <c r="JZE7" s="104"/>
      <c r="JZF7" s="104"/>
      <c r="JZG7" s="104"/>
      <c r="JZH7" s="104"/>
      <c r="JZI7" s="104"/>
      <c r="JZJ7" s="104"/>
      <c r="JZK7" s="104"/>
      <c r="JZL7" s="104"/>
      <c r="JZM7" s="104"/>
      <c r="JZN7" s="104"/>
      <c r="JZO7" s="104"/>
      <c r="JZP7" s="104"/>
      <c r="JZQ7" s="104"/>
      <c r="JZR7" s="104"/>
      <c r="JZS7" s="104"/>
      <c r="JZT7" s="104"/>
      <c r="JZU7" s="104"/>
      <c r="JZV7" s="104"/>
      <c r="JZW7" s="104"/>
      <c r="JZX7" s="104"/>
      <c r="JZY7" s="104"/>
      <c r="JZZ7" s="104"/>
      <c r="KAA7" s="104"/>
      <c r="KAB7" s="104"/>
      <c r="KAC7" s="104"/>
      <c r="KAD7" s="104"/>
      <c r="KAE7" s="104"/>
      <c r="KAF7" s="104"/>
      <c r="KAG7" s="104"/>
      <c r="KAH7" s="104"/>
      <c r="KAI7" s="104"/>
      <c r="KAJ7" s="104"/>
      <c r="KAK7" s="104"/>
      <c r="KAL7" s="104"/>
      <c r="KAM7" s="104"/>
      <c r="KAN7" s="104"/>
      <c r="KAO7" s="104"/>
      <c r="KAP7" s="104"/>
      <c r="KAQ7" s="104"/>
      <c r="KAR7" s="104"/>
      <c r="KAS7" s="104"/>
      <c r="KAT7" s="104"/>
      <c r="KAU7" s="104"/>
      <c r="KAV7" s="104"/>
      <c r="KAW7" s="104"/>
      <c r="KAX7" s="104"/>
      <c r="KAY7" s="104"/>
      <c r="KAZ7" s="104"/>
      <c r="KBA7" s="104"/>
      <c r="KBB7" s="104"/>
      <c r="KBC7" s="104"/>
      <c r="KBD7" s="104"/>
      <c r="KBE7" s="104"/>
      <c r="KBF7" s="104"/>
      <c r="KBG7" s="104"/>
      <c r="KBH7" s="104"/>
      <c r="KBI7" s="104"/>
      <c r="KBJ7" s="104"/>
      <c r="KBK7" s="104"/>
      <c r="KBL7" s="104"/>
      <c r="KBM7" s="104"/>
      <c r="KBN7" s="104"/>
      <c r="KBO7" s="104"/>
      <c r="KBP7" s="104"/>
      <c r="KBQ7" s="104"/>
      <c r="KBR7" s="104"/>
      <c r="KBS7" s="104"/>
      <c r="KBT7" s="104"/>
      <c r="KBU7" s="104"/>
      <c r="KBV7" s="104"/>
      <c r="KBW7" s="104"/>
      <c r="KBX7" s="104"/>
      <c r="KBY7" s="104"/>
      <c r="KBZ7" s="104"/>
      <c r="KCA7" s="104"/>
      <c r="KCB7" s="104"/>
      <c r="KCC7" s="104"/>
      <c r="KCD7" s="104"/>
      <c r="KCE7" s="104"/>
      <c r="KCF7" s="104"/>
      <c r="KCG7" s="104"/>
      <c r="KCH7" s="104"/>
      <c r="KCI7" s="104"/>
      <c r="KCJ7" s="104"/>
      <c r="KCK7" s="104"/>
      <c r="KCL7" s="104"/>
      <c r="KCM7" s="104"/>
      <c r="KCN7" s="104"/>
      <c r="KCO7" s="104"/>
      <c r="KCP7" s="104"/>
      <c r="KCQ7" s="104"/>
      <c r="KCR7" s="104"/>
      <c r="KCS7" s="104"/>
      <c r="KCT7" s="104"/>
      <c r="KCU7" s="104"/>
      <c r="KCV7" s="104"/>
      <c r="KCW7" s="104"/>
      <c r="KCX7" s="104"/>
      <c r="KCY7" s="104"/>
      <c r="KCZ7" s="104"/>
      <c r="KDA7" s="104"/>
      <c r="KDB7" s="104"/>
      <c r="KDC7" s="104"/>
      <c r="KDD7" s="104"/>
      <c r="KDE7" s="104"/>
      <c r="KDF7" s="104"/>
      <c r="KDG7" s="104"/>
      <c r="KDH7" s="104"/>
      <c r="KDI7" s="104"/>
      <c r="KDJ7" s="104"/>
      <c r="KDK7" s="104"/>
      <c r="KDL7" s="104"/>
      <c r="KDM7" s="104"/>
      <c r="KDN7" s="104"/>
      <c r="KDO7" s="104"/>
      <c r="KDP7" s="104"/>
      <c r="KDQ7" s="104"/>
      <c r="KDR7" s="104"/>
      <c r="KDS7" s="104"/>
      <c r="KDT7" s="104"/>
      <c r="KDU7" s="104"/>
      <c r="KDV7" s="104"/>
      <c r="KDW7" s="104"/>
      <c r="KDX7" s="104"/>
      <c r="KDY7" s="104"/>
      <c r="KDZ7" s="104"/>
      <c r="KEA7" s="104"/>
      <c r="KEB7" s="104"/>
      <c r="KEC7" s="104"/>
      <c r="KED7" s="104"/>
      <c r="KEE7" s="104"/>
      <c r="KEF7" s="104"/>
      <c r="KEG7" s="104"/>
      <c r="KEH7" s="104"/>
      <c r="KEI7" s="104"/>
      <c r="KEJ7" s="104"/>
      <c r="KEK7" s="104"/>
      <c r="KEL7" s="104"/>
      <c r="KEM7" s="104"/>
      <c r="KEN7" s="104"/>
      <c r="KEO7" s="104"/>
      <c r="KEP7" s="104"/>
      <c r="KEQ7" s="104"/>
      <c r="KER7" s="104"/>
      <c r="KES7" s="104"/>
      <c r="KET7" s="104"/>
      <c r="KEU7" s="104"/>
      <c r="KEV7" s="104"/>
      <c r="KEW7" s="104"/>
      <c r="KEX7" s="104"/>
      <c r="KEY7" s="104"/>
      <c r="KEZ7" s="104"/>
      <c r="KFA7" s="104"/>
      <c r="KFB7" s="104"/>
      <c r="KFC7" s="104"/>
      <c r="KFD7" s="104"/>
      <c r="KFE7" s="104"/>
      <c r="KFF7" s="104"/>
      <c r="KFG7" s="104"/>
      <c r="KFH7" s="104"/>
      <c r="KFI7" s="104"/>
      <c r="KFJ7" s="104"/>
      <c r="KFK7" s="104"/>
      <c r="KFL7" s="104"/>
      <c r="KFM7" s="104"/>
      <c r="KFN7" s="104"/>
      <c r="KFO7" s="104"/>
      <c r="KFP7" s="104"/>
      <c r="KFQ7" s="104"/>
      <c r="KFR7" s="104"/>
      <c r="KFS7" s="104"/>
      <c r="KFT7" s="104"/>
      <c r="KFU7" s="104"/>
      <c r="KFV7" s="104"/>
      <c r="KFW7" s="104"/>
      <c r="KFX7" s="104"/>
      <c r="KFY7" s="104"/>
      <c r="KFZ7" s="104"/>
      <c r="KGA7" s="104"/>
      <c r="KGB7" s="104"/>
      <c r="KGC7" s="104"/>
      <c r="KGD7" s="104"/>
      <c r="KGE7" s="104"/>
      <c r="KGF7" s="104"/>
      <c r="KGG7" s="104"/>
      <c r="KGH7" s="104"/>
      <c r="KGI7" s="104"/>
      <c r="KGJ7" s="104"/>
      <c r="KGK7" s="104"/>
      <c r="KGL7" s="104"/>
      <c r="KGM7" s="104"/>
      <c r="KGN7" s="104"/>
      <c r="KGO7" s="104"/>
      <c r="KGP7" s="104"/>
      <c r="KGQ7" s="104"/>
      <c r="KGR7" s="104"/>
      <c r="KGS7" s="104"/>
      <c r="KGT7" s="104"/>
      <c r="KGU7" s="104"/>
      <c r="KGV7" s="104"/>
      <c r="KGW7" s="104"/>
      <c r="KGX7" s="104"/>
      <c r="KGY7" s="104"/>
      <c r="KGZ7" s="104"/>
      <c r="KHA7" s="104"/>
      <c r="KHB7" s="104"/>
      <c r="KHC7" s="104"/>
      <c r="KHD7" s="104"/>
      <c r="KHE7" s="104"/>
      <c r="KHF7" s="104"/>
      <c r="KHG7" s="104"/>
      <c r="KHH7" s="104"/>
      <c r="KHI7" s="104"/>
      <c r="KHJ7" s="104"/>
      <c r="KHK7" s="104"/>
      <c r="KHL7" s="104"/>
      <c r="KHM7" s="104"/>
      <c r="KHN7" s="104"/>
      <c r="KHO7" s="104"/>
      <c r="KHP7" s="104"/>
      <c r="KHQ7" s="104"/>
      <c r="KHR7" s="104"/>
      <c r="KHS7" s="104"/>
      <c r="KHT7" s="104"/>
      <c r="KHU7" s="104"/>
      <c r="KHV7" s="104"/>
      <c r="KHW7" s="104"/>
      <c r="KHX7" s="104"/>
      <c r="KHY7" s="104"/>
      <c r="KHZ7" s="104"/>
      <c r="KIA7" s="104"/>
      <c r="KIB7" s="104"/>
      <c r="KIC7" s="104"/>
      <c r="KID7" s="104"/>
      <c r="KIE7" s="104"/>
      <c r="KIF7" s="104"/>
      <c r="KIG7" s="104"/>
      <c r="KIH7" s="104"/>
      <c r="KII7" s="104"/>
      <c r="KIJ7" s="104"/>
      <c r="KIK7" s="104"/>
      <c r="KIL7" s="104"/>
      <c r="KIM7" s="104"/>
      <c r="KIN7" s="104"/>
      <c r="KIO7" s="104"/>
      <c r="KIP7" s="104"/>
      <c r="KIQ7" s="104"/>
      <c r="KIR7" s="104"/>
      <c r="KIS7" s="104"/>
      <c r="KIT7" s="104"/>
      <c r="KIU7" s="104"/>
      <c r="KIV7" s="104"/>
      <c r="KIW7" s="104"/>
      <c r="KIX7" s="104"/>
      <c r="KIY7" s="104"/>
      <c r="KIZ7" s="104"/>
      <c r="KJA7" s="104"/>
      <c r="KJB7" s="104"/>
      <c r="KJC7" s="104"/>
      <c r="KJD7" s="104"/>
      <c r="KJE7" s="104"/>
      <c r="KJF7" s="104"/>
      <c r="KJG7" s="104"/>
      <c r="KJH7" s="104"/>
      <c r="KJI7" s="104"/>
      <c r="KJJ7" s="104"/>
      <c r="KJK7" s="104"/>
      <c r="KJL7" s="104"/>
      <c r="KJM7" s="104"/>
      <c r="KJN7" s="104"/>
      <c r="KJO7" s="104"/>
      <c r="KJP7" s="104"/>
      <c r="KJQ7" s="104"/>
      <c r="KJR7" s="104"/>
      <c r="KJS7" s="104"/>
      <c r="KJT7" s="104"/>
      <c r="KJU7" s="104"/>
      <c r="KJV7" s="104"/>
      <c r="KJW7" s="104"/>
      <c r="KJX7" s="104"/>
      <c r="KJY7" s="104"/>
      <c r="KJZ7" s="104"/>
      <c r="KKA7" s="104"/>
      <c r="KKB7" s="104"/>
      <c r="KKC7" s="104"/>
      <c r="KKD7" s="104"/>
      <c r="KKE7" s="104"/>
      <c r="KKF7" s="104"/>
      <c r="KKG7" s="104"/>
      <c r="KKH7" s="104"/>
      <c r="KKI7" s="104"/>
      <c r="KKJ7" s="104"/>
      <c r="KKK7" s="104"/>
      <c r="KKL7" s="104"/>
      <c r="KKM7" s="104"/>
      <c r="KKN7" s="104"/>
      <c r="KKO7" s="104"/>
      <c r="KKP7" s="104"/>
      <c r="KKQ7" s="104"/>
      <c r="KKR7" s="104"/>
      <c r="KKS7" s="104"/>
      <c r="KKT7" s="104"/>
      <c r="KKU7" s="104"/>
      <c r="KKV7" s="104"/>
      <c r="KKW7" s="104"/>
      <c r="KKX7" s="104"/>
      <c r="KKY7" s="104"/>
      <c r="KKZ7" s="104"/>
      <c r="KLA7" s="104"/>
      <c r="KLB7" s="104"/>
      <c r="KLC7" s="104"/>
      <c r="KLD7" s="104"/>
      <c r="KLE7" s="104"/>
      <c r="KLF7" s="104"/>
      <c r="KLG7" s="104"/>
      <c r="KLH7" s="104"/>
      <c r="KLI7" s="104"/>
      <c r="KLJ7" s="104"/>
      <c r="KLK7" s="104"/>
      <c r="KLL7" s="104"/>
      <c r="KLM7" s="104"/>
      <c r="KLN7" s="104"/>
      <c r="KLO7" s="104"/>
      <c r="KLP7" s="104"/>
      <c r="KLQ7" s="104"/>
      <c r="KLR7" s="104"/>
      <c r="KLS7" s="104"/>
      <c r="KLT7" s="104"/>
      <c r="KLU7" s="104"/>
      <c r="KLV7" s="104"/>
      <c r="KLW7" s="104"/>
      <c r="KLX7" s="104"/>
      <c r="KLY7" s="104"/>
      <c r="KLZ7" s="104"/>
      <c r="KMA7" s="104"/>
      <c r="KMB7" s="104"/>
      <c r="KMC7" s="104"/>
      <c r="KMD7" s="104"/>
      <c r="KME7" s="104"/>
      <c r="KMF7" s="104"/>
      <c r="KMG7" s="104"/>
      <c r="KMH7" s="104"/>
      <c r="KMI7" s="104"/>
      <c r="KMJ7" s="104"/>
      <c r="KMK7" s="104"/>
      <c r="KML7" s="104"/>
      <c r="KMM7" s="104"/>
      <c r="KMN7" s="104"/>
      <c r="KMO7" s="104"/>
      <c r="KMP7" s="104"/>
      <c r="KMQ7" s="104"/>
      <c r="KMR7" s="104"/>
      <c r="KMS7" s="104"/>
      <c r="KMT7" s="104"/>
      <c r="KMU7" s="104"/>
      <c r="KMV7" s="104"/>
      <c r="KMW7" s="104"/>
      <c r="KMX7" s="104"/>
      <c r="KMY7" s="104"/>
      <c r="KMZ7" s="104"/>
      <c r="KNA7" s="104"/>
      <c r="KNB7" s="104"/>
      <c r="KNC7" s="104"/>
      <c r="KND7" s="104"/>
      <c r="KNE7" s="104"/>
      <c r="KNF7" s="104"/>
      <c r="KNG7" s="104"/>
      <c r="KNH7" s="104"/>
      <c r="KNI7" s="104"/>
      <c r="KNJ7" s="104"/>
      <c r="KNK7" s="104"/>
      <c r="KNL7" s="104"/>
      <c r="KNM7" s="104"/>
      <c r="KNN7" s="104"/>
      <c r="KNO7" s="104"/>
      <c r="KNP7" s="104"/>
      <c r="KNQ7" s="104"/>
      <c r="KNR7" s="104"/>
      <c r="KNS7" s="104"/>
      <c r="KNT7" s="104"/>
      <c r="KNU7" s="104"/>
      <c r="KNV7" s="104"/>
      <c r="KNW7" s="104"/>
      <c r="KNX7" s="104"/>
      <c r="KNY7" s="104"/>
      <c r="KNZ7" s="104"/>
      <c r="KOA7" s="104"/>
      <c r="KOB7" s="104"/>
      <c r="KOC7" s="104"/>
      <c r="KOD7" s="104"/>
      <c r="KOE7" s="104"/>
      <c r="KOF7" s="104"/>
      <c r="KOG7" s="104"/>
      <c r="KOH7" s="104"/>
      <c r="KOI7" s="104"/>
      <c r="KOJ7" s="104"/>
      <c r="KOK7" s="104"/>
      <c r="KOL7" s="104"/>
      <c r="KOM7" s="104"/>
      <c r="KON7" s="104"/>
      <c r="KOO7" s="104"/>
      <c r="KOP7" s="104"/>
      <c r="KOQ7" s="104"/>
      <c r="KOR7" s="104"/>
      <c r="KOS7" s="104"/>
      <c r="KOT7" s="104"/>
      <c r="KOU7" s="104"/>
      <c r="KOV7" s="104"/>
      <c r="KOW7" s="104"/>
      <c r="KOX7" s="104"/>
      <c r="KOY7" s="104"/>
      <c r="KOZ7" s="104"/>
      <c r="KPA7" s="104"/>
      <c r="KPB7" s="104"/>
      <c r="KPC7" s="104"/>
      <c r="KPD7" s="104"/>
      <c r="KPE7" s="104"/>
      <c r="KPF7" s="104"/>
      <c r="KPG7" s="104"/>
      <c r="KPH7" s="104"/>
      <c r="KPI7" s="104"/>
      <c r="KPJ7" s="104"/>
      <c r="KPK7" s="104"/>
      <c r="KPL7" s="104"/>
      <c r="KPM7" s="104"/>
      <c r="KPN7" s="104"/>
      <c r="KPO7" s="104"/>
      <c r="KPP7" s="104"/>
      <c r="KPQ7" s="104"/>
      <c r="KPR7" s="104"/>
      <c r="KPS7" s="104"/>
      <c r="KPT7" s="104"/>
      <c r="KPU7" s="104"/>
      <c r="KPV7" s="104"/>
      <c r="KPW7" s="104"/>
      <c r="KPX7" s="104"/>
      <c r="KPY7" s="104"/>
      <c r="KPZ7" s="104"/>
      <c r="KQA7" s="104"/>
      <c r="KQB7" s="104"/>
      <c r="KQC7" s="104"/>
      <c r="KQD7" s="104"/>
      <c r="KQE7" s="104"/>
      <c r="KQF7" s="104"/>
      <c r="KQG7" s="104"/>
      <c r="KQH7" s="104"/>
      <c r="KQI7" s="104"/>
      <c r="KQJ7" s="104"/>
      <c r="KQK7" s="104"/>
      <c r="KQL7" s="104"/>
      <c r="KQM7" s="104"/>
      <c r="KQN7" s="104"/>
      <c r="KQO7" s="104"/>
      <c r="KQP7" s="104"/>
      <c r="KQQ7" s="104"/>
      <c r="KQR7" s="104"/>
      <c r="KQS7" s="104"/>
      <c r="KQT7" s="104"/>
      <c r="KQU7" s="104"/>
      <c r="KQV7" s="104"/>
      <c r="KQW7" s="104"/>
      <c r="KQX7" s="104"/>
      <c r="KQY7" s="104"/>
      <c r="KQZ7" s="104"/>
      <c r="KRA7" s="104"/>
      <c r="KRB7" s="104"/>
      <c r="KRC7" s="104"/>
      <c r="KRD7" s="104"/>
      <c r="KRE7" s="104"/>
      <c r="KRF7" s="104"/>
      <c r="KRG7" s="104"/>
      <c r="KRH7" s="104"/>
      <c r="KRI7" s="104"/>
      <c r="KRJ7" s="104"/>
      <c r="KRK7" s="104"/>
      <c r="KRL7" s="104"/>
      <c r="KRM7" s="104"/>
      <c r="KRN7" s="104"/>
      <c r="KRO7" s="104"/>
      <c r="KRP7" s="104"/>
      <c r="KRQ7" s="104"/>
      <c r="KRR7" s="104"/>
      <c r="KRS7" s="104"/>
      <c r="KRT7" s="104"/>
      <c r="KRU7" s="104"/>
      <c r="KRV7" s="104"/>
      <c r="KRW7" s="104"/>
      <c r="KRX7" s="104"/>
      <c r="KRY7" s="104"/>
      <c r="KRZ7" s="104"/>
      <c r="KSA7" s="104"/>
      <c r="KSB7" s="104"/>
      <c r="KSC7" s="104"/>
      <c r="KSD7" s="104"/>
      <c r="KSE7" s="104"/>
      <c r="KSF7" s="104"/>
      <c r="KSG7" s="104"/>
      <c r="KSH7" s="104"/>
      <c r="KSI7" s="104"/>
      <c r="KSJ7" s="104"/>
      <c r="KSK7" s="104"/>
      <c r="KSL7" s="104"/>
      <c r="KSM7" s="104"/>
      <c r="KSN7" s="104"/>
      <c r="KSO7" s="104"/>
      <c r="KSP7" s="104"/>
      <c r="KSQ7" s="104"/>
      <c r="KSR7" s="104"/>
      <c r="KSS7" s="104"/>
      <c r="KST7" s="104"/>
      <c r="KSU7" s="104"/>
      <c r="KSV7" s="104"/>
      <c r="KSW7" s="104"/>
      <c r="KSX7" s="104"/>
      <c r="KSY7" s="104"/>
      <c r="KSZ7" s="104"/>
      <c r="KTA7" s="104"/>
      <c r="KTB7" s="104"/>
      <c r="KTC7" s="104"/>
      <c r="KTD7" s="104"/>
      <c r="KTE7" s="104"/>
      <c r="KTF7" s="104"/>
      <c r="KTG7" s="104"/>
      <c r="KTH7" s="104"/>
      <c r="KTI7" s="104"/>
      <c r="KTJ7" s="104"/>
      <c r="KTK7" s="104"/>
      <c r="KTL7" s="104"/>
      <c r="KTM7" s="104"/>
      <c r="KTN7" s="104"/>
      <c r="KTO7" s="104"/>
      <c r="KTP7" s="104"/>
      <c r="KTQ7" s="104"/>
      <c r="KTR7" s="104"/>
      <c r="KTS7" s="104"/>
      <c r="KTT7" s="104"/>
      <c r="KTU7" s="104"/>
      <c r="KTV7" s="104"/>
      <c r="KTW7" s="104"/>
      <c r="KTX7" s="104"/>
      <c r="KTY7" s="104"/>
      <c r="KTZ7" s="104"/>
      <c r="KUA7" s="104"/>
      <c r="KUB7" s="104"/>
      <c r="KUC7" s="104"/>
      <c r="KUD7" s="104"/>
      <c r="KUE7" s="104"/>
      <c r="KUF7" s="104"/>
      <c r="KUG7" s="104"/>
      <c r="KUH7" s="104"/>
      <c r="KUI7" s="104"/>
      <c r="KUJ7" s="104"/>
      <c r="KUK7" s="104"/>
      <c r="KUL7" s="104"/>
      <c r="KUM7" s="104"/>
      <c r="KUN7" s="104"/>
      <c r="KUO7" s="104"/>
      <c r="KUP7" s="104"/>
      <c r="KUQ7" s="104"/>
      <c r="KUR7" s="104"/>
      <c r="KUS7" s="104"/>
      <c r="KUT7" s="104"/>
      <c r="KUU7" s="104"/>
      <c r="KUV7" s="104"/>
      <c r="KUW7" s="104"/>
      <c r="KUX7" s="104"/>
      <c r="KUY7" s="104"/>
      <c r="KUZ7" s="104"/>
      <c r="KVA7" s="104"/>
      <c r="KVB7" s="104"/>
      <c r="KVC7" s="104"/>
      <c r="KVD7" s="104"/>
      <c r="KVE7" s="104"/>
      <c r="KVF7" s="104"/>
      <c r="KVG7" s="104"/>
      <c r="KVH7" s="104"/>
      <c r="KVI7" s="104"/>
      <c r="KVJ7" s="104"/>
      <c r="KVK7" s="104"/>
      <c r="KVL7" s="104"/>
      <c r="KVM7" s="104"/>
      <c r="KVN7" s="104"/>
      <c r="KVO7" s="104"/>
      <c r="KVP7" s="104"/>
      <c r="KVQ7" s="104"/>
      <c r="KVR7" s="104"/>
      <c r="KVS7" s="104"/>
      <c r="KVT7" s="104"/>
      <c r="KVU7" s="104"/>
      <c r="KVV7" s="104"/>
      <c r="KVW7" s="104"/>
      <c r="KVX7" s="104"/>
      <c r="KVY7" s="104"/>
      <c r="KVZ7" s="104"/>
      <c r="KWA7" s="104"/>
      <c r="KWB7" s="104"/>
      <c r="KWC7" s="104"/>
      <c r="KWD7" s="104"/>
      <c r="KWE7" s="104"/>
      <c r="KWF7" s="104"/>
      <c r="KWG7" s="104"/>
      <c r="KWH7" s="104"/>
      <c r="KWI7" s="104"/>
      <c r="KWJ7" s="104"/>
      <c r="KWK7" s="104"/>
      <c r="KWL7" s="104"/>
      <c r="KWM7" s="104"/>
      <c r="KWN7" s="104"/>
      <c r="KWO7" s="104"/>
      <c r="KWP7" s="104"/>
      <c r="KWQ7" s="104"/>
      <c r="KWR7" s="104"/>
      <c r="KWS7" s="104"/>
      <c r="KWT7" s="104"/>
      <c r="KWU7" s="104"/>
      <c r="KWV7" s="104"/>
      <c r="KWW7" s="104"/>
      <c r="KWX7" s="104"/>
      <c r="KWY7" s="104"/>
      <c r="KWZ7" s="104"/>
      <c r="KXA7" s="104"/>
      <c r="KXB7" s="104"/>
      <c r="KXC7" s="104"/>
      <c r="KXD7" s="104"/>
      <c r="KXE7" s="104"/>
      <c r="KXF7" s="104"/>
      <c r="KXG7" s="104"/>
      <c r="KXH7" s="104"/>
      <c r="KXI7" s="104"/>
      <c r="KXJ7" s="104"/>
      <c r="KXK7" s="104"/>
      <c r="KXL7" s="104"/>
      <c r="KXM7" s="104"/>
      <c r="KXN7" s="104"/>
      <c r="KXO7" s="104"/>
      <c r="KXP7" s="104"/>
      <c r="KXQ7" s="104"/>
      <c r="KXR7" s="104"/>
      <c r="KXS7" s="104"/>
      <c r="KXT7" s="104"/>
      <c r="KXU7" s="104"/>
      <c r="KXV7" s="104"/>
      <c r="KXW7" s="104"/>
      <c r="KXX7" s="104"/>
      <c r="KXY7" s="104"/>
      <c r="KXZ7" s="104"/>
      <c r="KYA7" s="104"/>
      <c r="KYB7" s="104"/>
      <c r="KYC7" s="104"/>
      <c r="KYD7" s="104"/>
      <c r="KYE7" s="104"/>
      <c r="KYF7" s="104"/>
      <c r="KYG7" s="104"/>
      <c r="KYH7" s="104"/>
      <c r="KYI7" s="104"/>
      <c r="KYJ7" s="104"/>
      <c r="KYK7" s="104"/>
      <c r="KYL7" s="104"/>
      <c r="KYM7" s="104"/>
      <c r="KYN7" s="104"/>
      <c r="KYO7" s="104"/>
      <c r="KYP7" s="104"/>
      <c r="KYQ7" s="104"/>
      <c r="KYR7" s="104"/>
      <c r="KYS7" s="104"/>
      <c r="KYT7" s="104"/>
      <c r="KYU7" s="104"/>
      <c r="KYV7" s="104"/>
      <c r="KYW7" s="104"/>
      <c r="KYX7" s="104"/>
      <c r="KYY7" s="104"/>
      <c r="KYZ7" s="104"/>
      <c r="KZA7" s="104"/>
      <c r="KZB7" s="104"/>
      <c r="KZC7" s="104"/>
      <c r="KZD7" s="104"/>
      <c r="KZE7" s="104"/>
      <c r="KZF7" s="104"/>
      <c r="KZG7" s="104"/>
      <c r="KZH7" s="104"/>
      <c r="KZI7" s="104"/>
      <c r="KZJ7" s="104"/>
      <c r="KZK7" s="104"/>
      <c r="KZL7" s="104"/>
      <c r="KZM7" s="104"/>
      <c r="KZN7" s="104"/>
      <c r="KZO7" s="104"/>
      <c r="KZP7" s="104"/>
      <c r="KZQ7" s="104"/>
      <c r="KZR7" s="104"/>
      <c r="KZS7" s="104"/>
      <c r="KZT7" s="104"/>
      <c r="KZU7" s="104"/>
      <c r="KZV7" s="104"/>
      <c r="KZW7" s="104"/>
      <c r="KZX7" s="104"/>
      <c r="KZY7" s="104"/>
      <c r="KZZ7" s="104"/>
      <c r="LAA7" s="104"/>
      <c r="LAB7" s="104"/>
      <c r="LAC7" s="104"/>
      <c r="LAD7" s="104"/>
      <c r="LAE7" s="104"/>
      <c r="LAF7" s="104"/>
      <c r="LAG7" s="104"/>
      <c r="LAH7" s="104"/>
      <c r="LAI7" s="104"/>
      <c r="LAJ7" s="104"/>
      <c r="LAK7" s="104"/>
      <c r="LAL7" s="104"/>
      <c r="LAM7" s="104"/>
      <c r="LAN7" s="104"/>
      <c r="LAO7" s="104"/>
      <c r="LAP7" s="104"/>
      <c r="LAQ7" s="104"/>
      <c r="LAR7" s="104"/>
      <c r="LAS7" s="104"/>
      <c r="LAT7" s="104"/>
      <c r="LAU7" s="104"/>
      <c r="LAV7" s="104"/>
      <c r="LAW7" s="104"/>
      <c r="LAX7" s="104"/>
      <c r="LAY7" s="104"/>
      <c r="LAZ7" s="104"/>
      <c r="LBA7" s="104"/>
      <c r="LBB7" s="104"/>
      <c r="LBC7" s="104"/>
      <c r="LBD7" s="104"/>
      <c r="LBE7" s="104"/>
      <c r="LBF7" s="104"/>
      <c r="LBG7" s="104"/>
      <c r="LBH7" s="104"/>
      <c r="LBI7" s="104"/>
      <c r="LBJ7" s="104"/>
      <c r="LBK7" s="104"/>
      <c r="LBL7" s="104"/>
      <c r="LBM7" s="104"/>
      <c r="LBN7" s="104"/>
      <c r="LBO7" s="104"/>
      <c r="LBP7" s="104"/>
      <c r="LBQ7" s="104"/>
      <c r="LBR7" s="104"/>
      <c r="LBS7" s="104"/>
      <c r="LBT7" s="104"/>
      <c r="LBU7" s="104"/>
      <c r="LBV7" s="104"/>
      <c r="LBW7" s="104"/>
      <c r="LBX7" s="104"/>
      <c r="LBY7" s="104"/>
      <c r="LBZ7" s="104"/>
      <c r="LCA7" s="104"/>
      <c r="LCB7" s="104"/>
      <c r="LCC7" s="104"/>
      <c r="LCD7" s="104"/>
      <c r="LCE7" s="104"/>
      <c r="LCF7" s="104"/>
      <c r="LCG7" s="104"/>
      <c r="LCH7" s="104"/>
      <c r="LCI7" s="104"/>
      <c r="LCJ7" s="104"/>
      <c r="LCK7" s="104"/>
      <c r="LCL7" s="104"/>
      <c r="LCM7" s="104"/>
      <c r="LCN7" s="104"/>
      <c r="LCO7" s="104"/>
      <c r="LCP7" s="104"/>
      <c r="LCQ7" s="104"/>
      <c r="LCR7" s="104"/>
      <c r="LCS7" s="104"/>
      <c r="LCT7" s="104"/>
      <c r="LCU7" s="104"/>
      <c r="LCV7" s="104"/>
      <c r="LCW7" s="104"/>
      <c r="LCX7" s="104"/>
      <c r="LCY7" s="104"/>
      <c r="LCZ7" s="104"/>
      <c r="LDA7" s="104"/>
      <c r="LDB7" s="104"/>
      <c r="LDC7" s="104"/>
      <c r="LDD7" s="104"/>
      <c r="LDE7" s="104"/>
      <c r="LDF7" s="104"/>
      <c r="LDG7" s="104"/>
      <c r="LDH7" s="104"/>
      <c r="LDI7" s="104"/>
      <c r="LDJ7" s="104"/>
      <c r="LDK7" s="104"/>
      <c r="LDL7" s="104"/>
      <c r="LDM7" s="104"/>
      <c r="LDN7" s="104"/>
      <c r="LDO7" s="104"/>
      <c r="LDP7" s="104"/>
      <c r="LDQ7" s="104"/>
      <c r="LDR7" s="104"/>
      <c r="LDS7" s="104"/>
      <c r="LDT7" s="104"/>
      <c r="LDU7" s="104"/>
      <c r="LDV7" s="104"/>
      <c r="LDW7" s="104"/>
      <c r="LDX7" s="104"/>
      <c r="LDY7" s="104"/>
      <c r="LDZ7" s="104"/>
      <c r="LEA7" s="104"/>
      <c r="LEB7" s="104"/>
      <c r="LEC7" s="104"/>
      <c r="LED7" s="104"/>
      <c r="LEE7" s="104"/>
      <c r="LEF7" s="104"/>
      <c r="LEG7" s="104"/>
      <c r="LEH7" s="104"/>
      <c r="LEI7" s="104"/>
      <c r="LEJ7" s="104"/>
      <c r="LEK7" s="104"/>
      <c r="LEL7" s="104"/>
      <c r="LEM7" s="104"/>
      <c r="LEN7" s="104"/>
      <c r="LEO7" s="104"/>
      <c r="LEP7" s="104"/>
      <c r="LEQ7" s="104"/>
      <c r="LER7" s="104"/>
      <c r="LES7" s="104"/>
      <c r="LET7" s="104"/>
      <c r="LEU7" s="104"/>
      <c r="LEV7" s="104"/>
      <c r="LEW7" s="104"/>
      <c r="LEX7" s="104"/>
      <c r="LEY7" s="104"/>
      <c r="LEZ7" s="104"/>
      <c r="LFA7" s="104"/>
      <c r="LFB7" s="104"/>
      <c r="LFC7" s="104"/>
      <c r="LFD7" s="104"/>
      <c r="LFE7" s="104"/>
      <c r="LFF7" s="104"/>
      <c r="LFG7" s="104"/>
      <c r="LFH7" s="104"/>
      <c r="LFI7" s="104"/>
      <c r="LFJ7" s="104"/>
      <c r="LFK7" s="104"/>
      <c r="LFL7" s="104"/>
      <c r="LFM7" s="104"/>
      <c r="LFN7" s="104"/>
      <c r="LFO7" s="104"/>
      <c r="LFP7" s="104"/>
      <c r="LFQ7" s="104"/>
      <c r="LFR7" s="104"/>
      <c r="LFS7" s="104"/>
      <c r="LFT7" s="104"/>
      <c r="LFU7" s="104"/>
      <c r="LFV7" s="104"/>
      <c r="LFW7" s="104"/>
      <c r="LFX7" s="104"/>
      <c r="LFY7" s="104"/>
      <c r="LFZ7" s="104"/>
      <c r="LGA7" s="104"/>
      <c r="LGB7" s="104"/>
      <c r="LGC7" s="104"/>
      <c r="LGD7" s="104"/>
      <c r="LGE7" s="104"/>
      <c r="LGF7" s="104"/>
      <c r="LGG7" s="104"/>
      <c r="LGH7" s="104"/>
      <c r="LGI7" s="104"/>
      <c r="LGJ7" s="104"/>
      <c r="LGK7" s="104"/>
      <c r="LGL7" s="104"/>
      <c r="LGM7" s="104"/>
      <c r="LGN7" s="104"/>
      <c r="LGO7" s="104"/>
      <c r="LGP7" s="104"/>
      <c r="LGQ7" s="104"/>
      <c r="LGR7" s="104"/>
      <c r="LGS7" s="104"/>
      <c r="LGT7" s="104"/>
      <c r="LGU7" s="104"/>
      <c r="LGV7" s="104"/>
      <c r="LGW7" s="104"/>
      <c r="LGX7" s="104"/>
      <c r="LGY7" s="104"/>
      <c r="LGZ7" s="104"/>
      <c r="LHA7" s="104"/>
      <c r="LHB7" s="104"/>
      <c r="LHC7" s="104"/>
      <c r="LHD7" s="104"/>
      <c r="LHE7" s="104"/>
      <c r="LHF7" s="104"/>
      <c r="LHG7" s="104"/>
      <c r="LHH7" s="104"/>
      <c r="LHI7" s="104"/>
      <c r="LHJ7" s="104"/>
      <c r="LHK7" s="104"/>
      <c r="LHL7" s="104"/>
      <c r="LHM7" s="104"/>
      <c r="LHN7" s="104"/>
      <c r="LHO7" s="104"/>
      <c r="LHP7" s="104"/>
      <c r="LHQ7" s="104"/>
      <c r="LHR7" s="104"/>
      <c r="LHS7" s="104"/>
      <c r="LHT7" s="104"/>
      <c r="LHU7" s="104"/>
      <c r="LHV7" s="104"/>
      <c r="LHW7" s="104"/>
      <c r="LHX7" s="104"/>
      <c r="LHY7" s="104"/>
      <c r="LHZ7" s="104"/>
      <c r="LIA7" s="104"/>
      <c r="LIB7" s="104"/>
      <c r="LIC7" s="104"/>
      <c r="LID7" s="104"/>
      <c r="LIE7" s="104"/>
      <c r="LIF7" s="104"/>
      <c r="LIG7" s="104"/>
      <c r="LIH7" s="104"/>
      <c r="LII7" s="104"/>
      <c r="LIJ7" s="104"/>
      <c r="LIK7" s="104"/>
      <c r="LIL7" s="104"/>
      <c r="LIM7" s="104"/>
      <c r="LIN7" s="104"/>
      <c r="LIO7" s="104"/>
      <c r="LIP7" s="104"/>
      <c r="LIQ7" s="104"/>
      <c r="LIR7" s="104"/>
      <c r="LIS7" s="104"/>
      <c r="LIT7" s="104"/>
      <c r="LIU7" s="104"/>
      <c r="LIV7" s="104"/>
      <c r="LIW7" s="104"/>
      <c r="LIX7" s="104"/>
      <c r="LIY7" s="104"/>
      <c r="LIZ7" s="104"/>
      <c r="LJA7" s="104"/>
      <c r="LJB7" s="104"/>
      <c r="LJC7" s="104"/>
      <c r="LJD7" s="104"/>
      <c r="LJE7" s="104"/>
      <c r="LJF7" s="104"/>
      <c r="LJG7" s="104"/>
      <c r="LJH7" s="104"/>
      <c r="LJI7" s="104"/>
      <c r="LJJ7" s="104"/>
      <c r="LJK7" s="104"/>
      <c r="LJL7" s="104"/>
      <c r="LJM7" s="104"/>
      <c r="LJN7" s="104"/>
      <c r="LJO7" s="104"/>
      <c r="LJP7" s="104"/>
      <c r="LJQ7" s="104"/>
      <c r="LJR7" s="104"/>
      <c r="LJS7" s="104"/>
      <c r="LJT7" s="104"/>
      <c r="LJU7" s="104"/>
      <c r="LJV7" s="104"/>
      <c r="LJW7" s="104"/>
      <c r="LJX7" s="104"/>
      <c r="LJY7" s="104"/>
      <c r="LJZ7" s="104"/>
      <c r="LKA7" s="104"/>
      <c r="LKB7" s="104"/>
      <c r="LKC7" s="104"/>
      <c r="LKD7" s="104"/>
      <c r="LKE7" s="104"/>
      <c r="LKF7" s="104"/>
      <c r="LKG7" s="104"/>
      <c r="LKH7" s="104"/>
      <c r="LKI7" s="104"/>
      <c r="LKJ7" s="104"/>
      <c r="LKK7" s="104"/>
      <c r="LKL7" s="104"/>
      <c r="LKM7" s="104"/>
      <c r="LKN7" s="104"/>
      <c r="LKO7" s="104"/>
      <c r="LKP7" s="104"/>
      <c r="LKQ7" s="104"/>
      <c r="LKR7" s="104"/>
      <c r="LKS7" s="104"/>
      <c r="LKT7" s="104"/>
      <c r="LKU7" s="104"/>
      <c r="LKV7" s="104"/>
      <c r="LKW7" s="104"/>
      <c r="LKX7" s="104"/>
      <c r="LKY7" s="104"/>
      <c r="LKZ7" s="104"/>
      <c r="LLA7" s="104"/>
      <c r="LLB7" s="104"/>
      <c r="LLC7" s="104"/>
      <c r="LLD7" s="104"/>
      <c r="LLE7" s="104"/>
      <c r="LLF7" s="104"/>
      <c r="LLG7" s="104"/>
      <c r="LLH7" s="104"/>
      <c r="LLI7" s="104"/>
      <c r="LLJ7" s="104"/>
      <c r="LLK7" s="104"/>
      <c r="LLL7" s="104"/>
      <c r="LLM7" s="104"/>
      <c r="LLN7" s="104"/>
      <c r="LLO7" s="104"/>
      <c r="LLP7" s="104"/>
      <c r="LLQ7" s="104"/>
      <c r="LLR7" s="104"/>
      <c r="LLS7" s="104"/>
      <c r="LLT7" s="104"/>
      <c r="LLU7" s="104"/>
      <c r="LLV7" s="104"/>
      <c r="LLW7" s="104"/>
      <c r="LLX7" s="104"/>
      <c r="LLY7" s="104"/>
      <c r="LLZ7" s="104"/>
      <c r="LMA7" s="104"/>
      <c r="LMB7" s="104"/>
      <c r="LMC7" s="104"/>
      <c r="LMD7" s="104"/>
      <c r="LME7" s="104"/>
      <c r="LMF7" s="104"/>
      <c r="LMG7" s="104"/>
      <c r="LMH7" s="104"/>
      <c r="LMI7" s="104"/>
      <c r="LMJ7" s="104"/>
      <c r="LMK7" s="104"/>
      <c r="LML7" s="104"/>
      <c r="LMM7" s="104"/>
      <c r="LMN7" s="104"/>
      <c r="LMO7" s="104"/>
      <c r="LMP7" s="104"/>
      <c r="LMQ7" s="104"/>
      <c r="LMR7" s="104"/>
      <c r="LMS7" s="104"/>
      <c r="LMT7" s="104"/>
      <c r="LMU7" s="104"/>
      <c r="LMV7" s="104"/>
      <c r="LMW7" s="104"/>
      <c r="LMX7" s="104"/>
      <c r="LMY7" s="104"/>
      <c r="LMZ7" s="104"/>
      <c r="LNA7" s="104"/>
      <c r="LNB7" s="104"/>
      <c r="LNC7" s="104"/>
      <c r="LND7" s="104"/>
      <c r="LNE7" s="104"/>
      <c r="LNF7" s="104"/>
      <c r="LNG7" s="104"/>
      <c r="LNH7" s="104"/>
      <c r="LNI7" s="104"/>
      <c r="LNJ7" s="104"/>
      <c r="LNK7" s="104"/>
      <c r="LNL7" s="104"/>
      <c r="LNM7" s="104"/>
      <c r="LNN7" s="104"/>
      <c r="LNO7" s="104"/>
      <c r="LNP7" s="104"/>
      <c r="LNQ7" s="104"/>
      <c r="LNR7" s="104"/>
      <c r="LNS7" s="104"/>
      <c r="LNT7" s="104"/>
      <c r="LNU7" s="104"/>
      <c r="LNV7" s="104"/>
      <c r="LNW7" s="104"/>
      <c r="LNX7" s="104"/>
      <c r="LNY7" s="104"/>
      <c r="LNZ7" s="104"/>
      <c r="LOA7" s="104"/>
      <c r="LOB7" s="104"/>
      <c r="LOC7" s="104"/>
      <c r="LOD7" s="104"/>
      <c r="LOE7" s="104"/>
      <c r="LOF7" s="104"/>
      <c r="LOG7" s="104"/>
      <c r="LOH7" s="104"/>
      <c r="LOI7" s="104"/>
      <c r="LOJ7" s="104"/>
      <c r="LOK7" s="104"/>
      <c r="LOL7" s="104"/>
      <c r="LOM7" s="104"/>
      <c r="LON7" s="104"/>
      <c r="LOO7" s="104"/>
      <c r="LOP7" s="104"/>
      <c r="LOQ7" s="104"/>
      <c r="LOR7" s="104"/>
      <c r="LOS7" s="104"/>
      <c r="LOT7" s="104"/>
      <c r="LOU7" s="104"/>
      <c r="LOV7" s="104"/>
      <c r="LOW7" s="104"/>
      <c r="LOX7" s="104"/>
      <c r="LOY7" s="104"/>
      <c r="LOZ7" s="104"/>
      <c r="LPA7" s="104"/>
      <c r="LPB7" s="104"/>
      <c r="LPC7" s="104"/>
      <c r="LPD7" s="104"/>
      <c r="LPE7" s="104"/>
      <c r="LPF7" s="104"/>
      <c r="LPG7" s="104"/>
      <c r="LPH7" s="104"/>
      <c r="LPI7" s="104"/>
      <c r="LPJ7" s="104"/>
      <c r="LPK7" s="104"/>
      <c r="LPL7" s="104"/>
      <c r="LPM7" s="104"/>
      <c r="LPN7" s="104"/>
      <c r="LPO7" s="104"/>
      <c r="LPP7" s="104"/>
      <c r="LPQ7" s="104"/>
      <c r="LPR7" s="104"/>
      <c r="LPS7" s="104"/>
      <c r="LPT7" s="104"/>
      <c r="LPU7" s="104"/>
      <c r="LPV7" s="104"/>
      <c r="LPW7" s="104"/>
      <c r="LPX7" s="104"/>
      <c r="LPY7" s="104"/>
      <c r="LPZ7" s="104"/>
      <c r="LQA7" s="104"/>
      <c r="LQB7" s="104"/>
      <c r="LQC7" s="104"/>
      <c r="LQD7" s="104"/>
      <c r="LQE7" s="104"/>
      <c r="LQF7" s="104"/>
      <c r="LQG7" s="104"/>
      <c r="LQH7" s="104"/>
      <c r="LQI7" s="104"/>
      <c r="LQJ7" s="104"/>
      <c r="LQK7" s="104"/>
      <c r="LQL7" s="104"/>
      <c r="LQM7" s="104"/>
      <c r="LQN7" s="104"/>
      <c r="LQO7" s="104"/>
      <c r="LQP7" s="104"/>
      <c r="LQQ7" s="104"/>
      <c r="LQR7" s="104"/>
      <c r="LQS7" s="104"/>
      <c r="LQT7" s="104"/>
      <c r="LQU7" s="104"/>
      <c r="LQV7" s="104"/>
      <c r="LQW7" s="104"/>
      <c r="LQX7" s="104"/>
      <c r="LQY7" s="104"/>
      <c r="LQZ7" s="104"/>
      <c r="LRA7" s="104"/>
      <c r="LRB7" s="104"/>
      <c r="LRC7" s="104"/>
      <c r="LRD7" s="104"/>
      <c r="LRE7" s="104"/>
      <c r="LRF7" s="104"/>
      <c r="LRG7" s="104"/>
      <c r="LRH7" s="104"/>
      <c r="LRI7" s="104"/>
      <c r="LRJ7" s="104"/>
      <c r="LRK7" s="104"/>
      <c r="LRL7" s="104"/>
      <c r="LRM7" s="104"/>
      <c r="LRN7" s="104"/>
      <c r="LRO7" s="104"/>
      <c r="LRP7" s="104"/>
      <c r="LRQ7" s="104"/>
      <c r="LRR7" s="104"/>
      <c r="LRS7" s="104"/>
      <c r="LRT7" s="104"/>
      <c r="LRU7" s="104"/>
      <c r="LRV7" s="104"/>
      <c r="LRW7" s="104"/>
      <c r="LRX7" s="104"/>
      <c r="LRY7" s="104"/>
      <c r="LRZ7" s="104"/>
      <c r="LSA7" s="104"/>
      <c r="LSB7" s="104"/>
      <c r="LSC7" s="104"/>
      <c r="LSD7" s="104"/>
      <c r="LSE7" s="104"/>
      <c r="LSF7" s="104"/>
      <c r="LSG7" s="104"/>
      <c r="LSH7" s="104"/>
      <c r="LSI7" s="104"/>
      <c r="LSJ7" s="104"/>
      <c r="LSK7" s="104"/>
      <c r="LSL7" s="104"/>
      <c r="LSM7" s="104"/>
      <c r="LSN7" s="104"/>
      <c r="LSO7" s="104"/>
      <c r="LSP7" s="104"/>
      <c r="LSQ7" s="104"/>
      <c r="LSR7" s="104"/>
      <c r="LSS7" s="104"/>
      <c r="LST7" s="104"/>
      <c r="LSU7" s="104"/>
      <c r="LSV7" s="104"/>
      <c r="LSW7" s="104"/>
      <c r="LSX7" s="104"/>
      <c r="LSY7" s="104"/>
      <c r="LSZ7" s="104"/>
      <c r="LTA7" s="104"/>
      <c r="LTB7" s="104"/>
      <c r="LTC7" s="104"/>
      <c r="LTD7" s="104"/>
      <c r="LTE7" s="104"/>
      <c r="LTF7" s="104"/>
      <c r="LTG7" s="104"/>
      <c r="LTH7" s="104"/>
      <c r="LTI7" s="104"/>
      <c r="LTJ7" s="104"/>
      <c r="LTK7" s="104"/>
      <c r="LTL7" s="104"/>
      <c r="LTM7" s="104"/>
      <c r="LTN7" s="104"/>
      <c r="LTO7" s="104"/>
      <c r="LTP7" s="104"/>
      <c r="LTQ7" s="104"/>
      <c r="LTR7" s="104"/>
      <c r="LTS7" s="104"/>
      <c r="LTT7" s="104"/>
      <c r="LTU7" s="104"/>
      <c r="LTV7" s="104"/>
      <c r="LTW7" s="104"/>
      <c r="LTX7" s="104"/>
      <c r="LTY7" s="104"/>
      <c r="LTZ7" s="104"/>
      <c r="LUA7" s="104"/>
      <c r="LUB7" s="104"/>
      <c r="LUC7" s="104"/>
      <c r="LUD7" s="104"/>
      <c r="LUE7" s="104"/>
      <c r="LUF7" s="104"/>
      <c r="LUG7" s="104"/>
      <c r="LUH7" s="104"/>
      <c r="LUI7" s="104"/>
      <c r="LUJ7" s="104"/>
      <c r="LUK7" s="104"/>
      <c r="LUL7" s="104"/>
      <c r="LUM7" s="104"/>
      <c r="LUN7" s="104"/>
      <c r="LUO7" s="104"/>
      <c r="LUP7" s="104"/>
      <c r="LUQ7" s="104"/>
      <c r="LUR7" s="104"/>
      <c r="LUS7" s="104"/>
      <c r="LUT7" s="104"/>
      <c r="LUU7" s="104"/>
      <c r="LUV7" s="104"/>
      <c r="LUW7" s="104"/>
      <c r="LUX7" s="104"/>
      <c r="LUY7" s="104"/>
      <c r="LUZ7" s="104"/>
      <c r="LVA7" s="104"/>
      <c r="LVB7" s="104"/>
      <c r="LVC7" s="104"/>
      <c r="LVD7" s="104"/>
      <c r="LVE7" s="104"/>
      <c r="LVF7" s="104"/>
      <c r="LVG7" s="104"/>
      <c r="LVH7" s="104"/>
      <c r="LVI7" s="104"/>
      <c r="LVJ7" s="104"/>
      <c r="LVK7" s="104"/>
      <c r="LVL7" s="104"/>
      <c r="LVM7" s="104"/>
      <c r="LVN7" s="104"/>
      <c r="LVO7" s="104"/>
      <c r="LVP7" s="104"/>
      <c r="LVQ7" s="104"/>
      <c r="LVR7" s="104"/>
      <c r="LVS7" s="104"/>
      <c r="LVT7" s="104"/>
      <c r="LVU7" s="104"/>
      <c r="LVV7" s="104"/>
      <c r="LVW7" s="104"/>
      <c r="LVX7" s="104"/>
      <c r="LVY7" s="104"/>
      <c r="LVZ7" s="104"/>
      <c r="LWA7" s="104"/>
      <c r="LWB7" s="104"/>
      <c r="LWC7" s="104"/>
      <c r="LWD7" s="104"/>
      <c r="LWE7" s="104"/>
      <c r="LWF7" s="104"/>
      <c r="LWG7" s="104"/>
      <c r="LWH7" s="104"/>
      <c r="LWI7" s="104"/>
      <c r="LWJ7" s="104"/>
      <c r="LWK7" s="104"/>
      <c r="LWL7" s="104"/>
      <c r="LWM7" s="104"/>
      <c r="LWN7" s="104"/>
      <c r="LWO7" s="104"/>
      <c r="LWP7" s="104"/>
      <c r="LWQ7" s="104"/>
      <c r="LWR7" s="104"/>
      <c r="LWS7" s="104"/>
      <c r="LWT7" s="104"/>
      <c r="LWU7" s="104"/>
      <c r="LWV7" s="104"/>
      <c r="LWW7" s="104"/>
      <c r="LWX7" s="104"/>
      <c r="LWY7" s="104"/>
      <c r="LWZ7" s="104"/>
      <c r="LXA7" s="104"/>
      <c r="LXB7" s="104"/>
      <c r="LXC7" s="104"/>
      <c r="LXD7" s="104"/>
      <c r="LXE7" s="104"/>
      <c r="LXF7" s="104"/>
      <c r="LXG7" s="104"/>
      <c r="LXH7" s="104"/>
      <c r="LXI7" s="104"/>
      <c r="LXJ7" s="104"/>
      <c r="LXK7" s="104"/>
      <c r="LXL7" s="104"/>
      <c r="LXM7" s="104"/>
      <c r="LXN7" s="104"/>
      <c r="LXO7" s="104"/>
      <c r="LXP7" s="104"/>
      <c r="LXQ7" s="104"/>
      <c r="LXR7" s="104"/>
      <c r="LXS7" s="104"/>
      <c r="LXT7" s="104"/>
      <c r="LXU7" s="104"/>
      <c r="LXV7" s="104"/>
      <c r="LXW7" s="104"/>
      <c r="LXX7" s="104"/>
      <c r="LXY7" s="104"/>
      <c r="LXZ7" s="104"/>
      <c r="LYA7" s="104"/>
      <c r="LYB7" s="104"/>
      <c r="LYC7" s="104"/>
      <c r="LYD7" s="104"/>
      <c r="LYE7" s="104"/>
      <c r="LYF7" s="104"/>
      <c r="LYG7" s="104"/>
      <c r="LYH7" s="104"/>
      <c r="LYI7" s="104"/>
      <c r="LYJ7" s="104"/>
      <c r="LYK7" s="104"/>
      <c r="LYL7" s="104"/>
      <c r="LYM7" s="104"/>
      <c r="LYN7" s="104"/>
      <c r="LYO7" s="104"/>
      <c r="LYP7" s="104"/>
      <c r="LYQ7" s="104"/>
      <c r="LYR7" s="104"/>
      <c r="LYS7" s="104"/>
      <c r="LYT7" s="104"/>
      <c r="LYU7" s="104"/>
      <c r="LYV7" s="104"/>
      <c r="LYW7" s="104"/>
      <c r="LYX7" s="104"/>
      <c r="LYY7" s="104"/>
      <c r="LYZ7" s="104"/>
      <c r="LZA7" s="104"/>
      <c r="LZB7" s="104"/>
      <c r="LZC7" s="104"/>
      <c r="LZD7" s="104"/>
      <c r="LZE7" s="104"/>
      <c r="LZF7" s="104"/>
      <c r="LZG7" s="104"/>
      <c r="LZH7" s="104"/>
      <c r="LZI7" s="104"/>
      <c r="LZJ7" s="104"/>
      <c r="LZK7" s="104"/>
      <c r="LZL7" s="104"/>
      <c r="LZM7" s="104"/>
      <c r="LZN7" s="104"/>
      <c r="LZO7" s="104"/>
      <c r="LZP7" s="104"/>
      <c r="LZQ7" s="104"/>
      <c r="LZR7" s="104"/>
      <c r="LZS7" s="104"/>
      <c r="LZT7" s="104"/>
      <c r="LZU7" s="104"/>
      <c r="LZV7" s="104"/>
      <c r="LZW7" s="104"/>
      <c r="LZX7" s="104"/>
      <c r="LZY7" s="104"/>
      <c r="LZZ7" s="104"/>
      <c r="MAA7" s="104"/>
      <c r="MAB7" s="104"/>
      <c r="MAC7" s="104"/>
      <c r="MAD7" s="104"/>
      <c r="MAE7" s="104"/>
      <c r="MAF7" s="104"/>
      <c r="MAG7" s="104"/>
      <c r="MAH7" s="104"/>
      <c r="MAI7" s="104"/>
      <c r="MAJ7" s="104"/>
      <c r="MAK7" s="104"/>
      <c r="MAL7" s="104"/>
      <c r="MAM7" s="104"/>
      <c r="MAN7" s="104"/>
      <c r="MAO7" s="104"/>
      <c r="MAP7" s="104"/>
      <c r="MAQ7" s="104"/>
      <c r="MAR7" s="104"/>
      <c r="MAS7" s="104"/>
      <c r="MAT7" s="104"/>
      <c r="MAU7" s="104"/>
      <c r="MAV7" s="104"/>
      <c r="MAW7" s="104"/>
      <c r="MAX7" s="104"/>
      <c r="MAY7" s="104"/>
      <c r="MAZ7" s="104"/>
      <c r="MBA7" s="104"/>
      <c r="MBB7" s="104"/>
      <c r="MBC7" s="104"/>
      <c r="MBD7" s="104"/>
      <c r="MBE7" s="104"/>
      <c r="MBF7" s="104"/>
      <c r="MBG7" s="104"/>
      <c r="MBH7" s="104"/>
      <c r="MBI7" s="104"/>
      <c r="MBJ7" s="104"/>
      <c r="MBK7" s="104"/>
      <c r="MBL7" s="104"/>
      <c r="MBM7" s="104"/>
      <c r="MBN7" s="104"/>
      <c r="MBO7" s="104"/>
      <c r="MBP7" s="104"/>
      <c r="MBQ7" s="104"/>
      <c r="MBR7" s="104"/>
      <c r="MBS7" s="104"/>
      <c r="MBT7" s="104"/>
      <c r="MBU7" s="104"/>
      <c r="MBV7" s="104"/>
      <c r="MBW7" s="104"/>
      <c r="MBX7" s="104"/>
      <c r="MBY7" s="104"/>
      <c r="MBZ7" s="104"/>
      <c r="MCA7" s="104"/>
      <c r="MCB7" s="104"/>
      <c r="MCC7" s="104"/>
      <c r="MCD7" s="104"/>
      <c r="MCE7" s="104"/>
      <c r="MCF7" s="104"/>
      <c r="MCG7" s="104"/>
      <c r="MCH7" s="104"/>
      <c r="MCI7" s="104"/>
      <c r="MCJ7" s="104"/>
      <c r="MCK7" s="104"/>
      <c r="MCL7" s="104"/>
      <c r="MCM7" s="104"/>
      <c r="MCN7" s="104"/>
      <c r="MCO7" s="104"/>
      <c r="MCP7" s="104"/>
      <c r="MCQ7" s="104"/>
      <c r="MCR7" s="104"/>
      <c r="MCS7" s="104"/>
      <c r="MCT7" s="104"/>
      <c r="MCU7" s="104"/>
      <c r="MCV7" s="104"/>
      <c r="MCW7" s="104"/>
      <c r="MCX7" s="104"/>
      <c r="MCY7" s="104"/>
      <c r="MCZ7" s="104"/>
      <c r="MDA7" s="104"/>
      <c r="MDB7" s="104"/>
      <c r="MDC7" s="104"/>
      <c r="MDD7" s="104"/>
      <c r="MDE7" s="104"/>
      <c r="MDF7" s="104"/>
      <c r="MDG7" s="104"/>
      <c r="MDH7" s="104"/>
      <c r="MDI7" s="104"/>
      <c r="MDJ7" s="104"/>
      <c r="MDK7" s="104"/>
      <c r="MDL7" s="104"/>
      <c r="MDM7" s="104"/>
      <c r="MDN7" s="104"/>
      <c r="MDO7" s="104"/>
      <c r="MDP7" s="104"/>
      <c r="MDQ7" s="104"/>
      <c r="MDR7" s="104"/>
      <c r="MDS7" s="104"/>
      <c r="MDT7" s="104"/>
      <c r="MDU7" s="104"/>
      <c r="MDV7" s="104"/>
      <c r="MDW7" s="104"/>
      <c r="MDX7" s="104"/>
      <c r="MDY7" s="104"/>
      <c r="MDZ7" s="104"/>
      <c r="MEA7" s="104"/>
      <c r="MEB7" s="104"/>
      <c r="MEC7" s="104"/>
      <c r="MED7" s="104"/>
      <c r="MEE7" s="104"/>
      <c r="MEF7" s="104"/>
      <c r="MEG7" s="104"/>
      <c r="MEH7" s="104"/>
      <c r="MEI7" s="104"/>
      <c r="MEJ7" s="104"/>
      <c r="MEK7" s="104"/>
      <c r="MEL7" s="104"/>
      <c r="MEM7" s="104"/>
      <c r="MEN7" s="104"/>
      <c r="MEO7" s="104"/>
      <c r="MEP7" s="104"/>
      <c r="MEQ7" s="104"/>
      <c r="MER7" s="104"/>
      <c r="MES7" s="104"/>
      <c r="MET7" s="104"/>
      <c r="MEU7" s="104"/>
      <c r="MEV7" s="104"/>
      <c r="MEW7" s="104"/>
      <c r="MEX7" s="104"/>
      <c r="MEY7" s="104"/>
      <c r="MEZ7" s="104"/>
      <c r="MFA7" s="104"/>
      <c r="MFB7" s="104"/>
      <c r="MFC7" s="104"/>
      <c r="MFD7" s="104"/>
      <c r="MFE7" s="104"/>
      <c r="MFF7" s="104"/>
      <c r="MFG7" s="104"/>
      <c r="MFH7" s="104"/>
      <c r="MFI7" s="104"/>
      <c r="MFJ7" s="104"/>
      <c r="MFK7" s="104"/>
      <c r="MFL7" s="104"/>
      <c r="MFM7" s="104"/>
      <c r="MFN7" s="104"/>
      <c r="MFO7" s="104"/>
      <c r="MFP7" s="104"/>
      <c r="MFQ7" s="104"/>
      <c r="MFR7" s="104"/>
      <c r="MFS7" s="104"/>
      <c r="MFT7" s="104"/>
      <c r="MFU7" s="104"/>
      <c r="MFV7" s="104"/>
      <c r="MFW7" s="104"/>
      <c r="MFX7" s="104"/>
      <c r="MFY7" s="104"/>
      <c r="MFZ7" s="104"/>
      <c r="MGA7" s="104"/>
      <c r="MGB7" s="104"/>
      <c r="MGC7" s="104"/>
      <c r="MGD7" s="104"/>
      <c r="MGE7" s="104"/>
      <c r="MGF7" s="104"/>
      <c r="MGG7" s="104"/>
      <c r="MGH7" s="104"/>
      <c r="MGI7" s="104"/>
      <c r="MGJ7" s="104"/>
      <c r="MGK7" s="104"/>
      <c r="MGL7" s="104"/>
      <c r="MGM7" s="104"/>
      <c r="MGN7" s="104"/>
      <c r="MGO7" s="104"/>
      <c r="MGP7" s="104"/>
      <c r="MGQ7" s="104"/>
      <c r="MGR7" s="104"/>
      <c r="MGS7" s="104"/>
      <c r="MGT7" s="104"/>
      <c r="MGU7" s="104"/>
      <c r="MGV7" s="104"/>
      <c r="MGW7" s="104"/>
      <c r="MGX7" s="104"/>
      <c r="MGY7" s="104"/>
      <c r="MGZ7" s="104"/>
      <c r="MHA7" s="104"/>
      <c r="MHB7" s="104"/>
      <c r="MHC7" s="104"/>
      <c r="MHD7" s="104"/>
      <c r="MHE7" s="104"/>
      <c r="MHF7" s="104"/>
      <c r="MHG7" s="104"/>
      <c r="MHH7" s="104"/>
      <c r="MHI7" s="104"/>
      <c r="MHJ7" s="104"/>
      <c r="MHK7" s="104"/>
      <c r="MHL7" s="104"/>
      <c r="MHM7" s="104"/>
      <c r="MHN7" s="104"/>
      <c r="MHO7" s="104"/>
      <c r="MHP7" s="104"/>
      <c r="MHQ7" s="104"/>
      <c r="MHR7" s="104"/>
      <c r="MHS7" s="104"/>
      <c r="MHT7" s="104"/>
      <c r="MHU7" s="104"/>
      <c r="MHV7" s="104"/>
      <c r="MHW7" s="104"/>
      <c r="MHX7" s="104"/>
      <c r="MHY7" s="104"/>
      <c r="MHZ7" s="104"/>
      <c r="MIA7" s="104"/>
      <c r="MIB7" s="104"/>
      <c r="MIC7" s="104"/>
      <c r="MID7" s="104"/>
      <c r="MIE7" s="104"/>
      <c r="MIF7" s="104"/>
      <c r="MIG7" s="104"/>
      <c r="MIH7" s="104"/>
      <c r="MII7" s="104"/>
      <c r="MIJ7" s="104"/>
      <c r="MIK7" s="104"/>
      <c r="MIL7" s="104"/>
      <c r="MIM7" s="104"/>
      <c r="MIN7" s="104"/>
      <c r="MIO7" s="104"/>
      <c r="MIP7" s="104"/>
      <c r="MIQ7" s="104"/>
      <c r="MIR7" s="104"/>
      <c r="MIS7" s="104"/>
      <c r="MIT7" s="104"/>
      <c r="MIU7" s="104"/>
      <c r="MIV7" s="104"/>
      <c r="MIW7" s="104"/>
      <c r="MIX7" s="104"/>
      <c r="MIY7" s="104"/>
      <c r="MIZ7" s="104"/>
      <c r="MJA7" s="104"/>
      <c r="MJB7" s="104"/>
      <c r="MJC7" s="104"/>
      <c r="MJD7" s="104"/>
      <c r="MJE7" s="104"/>
      <c r="MJF7" s="104"/>
      <c r="MJG7" s="104"/>
      <c r="MJH7" s="104"/>
      <c r="MJI7" s="104"/>
      <c r="MJJ7" s="104"/>
      <c r="MJK7" s="104"/>
      <c r="MJL7" s="104"/>
      <c r="MJM7" s="104"/>
      <c r="MJN7" s="104"/>
      <c r="MJO7" s="104"/>
      <c r="MJP7" s="104"/>
      <c r="MJQ7" s="104"/>
      <c r="MJR7" s="104"/>
      <c r="MJS7" s="104"/>
      <c r="MJT7" s="104"/>
      <c r="MJU7" s="104"/>
      <c r="MJV7" s="104"/>
      <c r="MJW7" s="104"/>
      <c r="MJX7" s="104"/>
      <c r="MJY7" s="104"/>
      <c r="MJZ7" s="104"/>
      <c r="MKA7" s="104"/>
      <c r="MKB7" s="104"/>
      <c r="MKC7" s="104"/>
      <c r="MKD7" s="104"/>
      <c r="MKE7" s="104"/>
      <c r="MKF7" s="104"/>
      <c r="MKG7" s="104"/>
      <c r="MKH7" s="104"/>
      <c r="MKI7" s="104"/>
      <c r="MKJ7" s="104"/>
      <c r="MKK7" s="104"/>
      <c r="MKL7" s="104"/>
      <c r="MKM7" s="104"/>
      <c r="MKN7" s="104"/>
      <c r="MKO7" s="104"/>
      <c r="MKP7" s="104"/>
      <c r="MKQ7" s="104"/>
      <c r="MKR7" s="104"/>
      <c r="MKS7" s="104"/>
      <c r="MKT7" s="104"/>
      <c r="MKU7" s="104"/>
      <c r="MKV7" s="104"/>
      <c r="MKW7" s="104"/>
      <c r="MKX7" s="104"/>
      <c r="MKY7" s="104"/>
      <c r="MKZ7" s="104"/>
      <c r="MLA7" s="104"/>
      <c r="MLB7" s="104"/>
      <c r="MLC7" s="104"/>
      <c r="MLD7" s="104"/>
      <c r="MLE7" s="104"/>
      <c r="MLF7" s="104"/>
      <c r="MLG7" s="104"/>
      <c r="MLH7" s="104"/>
      <c r="MLI7" s="104"/>
      <c r="MLJ7" s="104"/>
      <c r="MLK7" s="104"/>
      <c r="MLL7" s="104"/>
      <c r="MLM7" s="104"/>
      <c r="MLN7" s="104"/>
      <c r="MLO7" s="104"/>
      <c r="MLP7" s="104"/>
      <c r="MLQ7" s="104"/>
      <c r="MLR7" s="104"/>
      <c r="MLS7" s="104"/>
      <c r="MLT7" s="104"/>
      <c r="MLU7" s="104"/>
      <c r="MLV7" s="104"/>
      <c r="MLW7" s="104"/>
      <c r="MLX7" s="104"/>
      <c r="MLY7" s="104"/>
      <c r="MLZ7" s="104"/>
      <c r="MMA7" s="104"/>
      <c r="MMB7" s="104"/>
      <c r="MMC7" s="104"/>
      <c r="MMD7" s="104"/>
      <c r="MME7" s="104"/>
      <c r="MMF7" s="104"/>
      <c r="MMG7" s="104"/>
      <c r="MMH7" s="104"/>
      <c r="MMI7" s="104"/>
      <c r="MMJ7" s="104"/>
      <c r="MMK7" s="104"/>
      <c r="MML7" s="104"/>
      <c r="MMM7" s="104"/>
      <c r="MMN7" s="104"/>
      <c r="MMO7" s="104"/>
      <c r="MMP7" s="104"/>
      <c r="MMQ7" s="104"/>
      <c r="MMR7" s="104"/>
      <c r="MMS7" s="104"/>
      <c r="MMT7" s="104"/>
      <c r="MMU7" s="104"/>
      <c r="MMV7" s="104"/>
      <c r="MMW7" s="104"/>
      <c r="MMX7" s="104"/>
      <c r="MMY7" s="104"/>
      <c r="MMZ7" s="104"/>
      <c r="MNA7" s="104"/>
      <c r="MNB7" s="104"/>
      <c r="MNC7" s="104"/>
      <c r="MND7" s="104"/>
      <c r="MNE7" s="104"/>
      <c r="MNF7" s="104"/>
      <c r="MNG7" s="104"/>
      <c r="MNH7" s="104"/>
      <c r="MNI7" s="104"/>
      <c r="MNJ7" s="104"/>
      <c r="MNK7" s="104"/>
      <c r="MNL7" s="104"/>
      <c r="MNM7" s="104"/>
      <c r="MNN7" s="104"/>
      <c r="MNO7" s="104"/>
      <c r="MNP7" s="104"/>
      <c r="MNQ7" s="104"/>
      <c r="MNR7" s="104"/>
      <c r="MNS7" s="104"/>
      <c r="MNT7" s="104"/>
      <c r="MNU7" s="104"/>
      <c r="MNV7" s="104"/>
      <c r="MNW7" s="104"/>
      <c r="MNX7" s="104"/>
      <c r="MNY7" s="104"/>
      <c r="MNZ7" s="104"/>
      <c r="MOA7" s="104"/>
      <c r="MOB7" s="104"/>
      <c r="MOC7" s="104"/>
      <c r="MOD7" s="104"/>
      <c r="MOE7" s="104"/>
      <c r="MOF7" s="104"/>
      <c r="MOG7" s="104"/>
      <c r="MOH7" s="104"/>
      <c r="MOI7" s="104"/>
      <c r="MOJ7" s="104"/>
      <c r="MOK7" s="104"/>
      <c r="MOL7" s="104"/>
      <c r="MOM7" s="104"/>
      <c r="MON7" s="104"/>
      <c r="MOO7" s="104"/>
      <c r="MOP7" s="104"/>
      <c r="MOQ7" s="104"/>
      <c r="MOR7" s="104"/>
      <c r="MOS7" s="104"/>
      <c r="MOT7" s="104"/>
      <c r="MOU7" s="104"/>
      <c r="MOV7" s="104"/>
      <c r="MOW7" s="104"/>
      <c r="MOX7" s="104"/>
      <c r="MOY7" s="104"/>
      <c r="MOZ7" s="104"/>
      <c r="MPA7" s="104"/>
      <c r="MPB7" s="104"/>
      <c r="MPC7" s="104"/>
      <c r="MPD7" s="104"/>
      <c r="MPE7" s="104"/>
      <c r="MPF7" s="104"/>
      <c r="MPG7" s="104"/>
      <c r="MPH7" s="104"/>
      <c r="MPI7" s="104"/>
      <c r="MPJ7" s="104"/>
      <c r="MPK7" s="104"/>
      <c r="MPL7" s="104"/>
      <c r="MPM7" s="104"/>
      <c r="MPN7" s="104"/>
      <c r="MPO7" s="104"/>
      <c r="MPP7" s="104"/>
      <c r="MPQ7" s="104"/>
      <c r="MPR7" s="104"/>
      <c r="MPS7" s="104"/>
      <c r="MPT7" s="104"/>
      <c r="MPU7" s="104"/>
      <c r="MPV7" s="104"/>
      <c r="MPW7" s="104"/>
      <c r="MPX7" s="104"/>
      <c r="MPY7" s="104"/>
      <c r="MPZ7" s="104"/>
      <c r="MQA7" s="104"/>
      <c r="MQB7" s="104"/>
      <c r="MQC7" s="104"/>
      <c r="MQD7" s="104"/>
      <c r="MQE7" s="104"/>
      <c r="MQF7" s="104"/>
      <c r="MQG7" s="104"/>
      <c r="MQH7" s="104"/>
      <c r="MQI7" s="104"/>
      <c r="MQJ7" s="104"/>
      <c r="MQK7" s="104"/>
      <c r="MQL7" s="104"/>
      <c r="MQM7" s="104"/>
      <c r="MQN7" s="104"/>
      <c r="MQO7" s="104"/>
      <c r="MQP7" s="104"/>
      <c r="MQQ7" s="104"/>
      <c r="MQR7" s="104"/>
      <c r="MQS7" s="104"/>
      <c r="MQT7" s="104"/>
      <c r="MQU7" s="104"/>
      <c r="MQV7" s="104"/>
      <c r="MQW7" s="104"/>
      <c r="MQX7" s="104"/>
      <c r="MQY7" s="104"/>
      <c r="MQZ7" s="104"/>
      <c r="MRA7" s="104"/>
      <c r="MRB7" s="104"/>
      <c r="MRC7" s="104"/>
      <c r="MRD7" s="104"/>
      <c r="MRE7" s="104"/>
      <c r="MRF7" s="104"/>
      <c r="MRG7" s="104"/>
      <c r="MRH7" s="104"/>
      <c r="MRI7" s="104"/>
      <c r="MRJ7" s="104"/>
      <c r="MRK7" s="104"/>
      <c r="MRL7" s="104"/>
      <c r="MRM7" s="104"/>
      <c r="MRN7" s="104"/>
      <c r="MRO7" s="104"/>
      <c r="MRP7" s="104"/>
      <c r="MRQ7" s="104"/>
      <c r="MRR7" s="104"/>
      <c r="MRS7" s="104"/>
      <c r="MRT7" s="104"/>
      <c r="MRU7" s="104"/>
      <c r="MRV7" s="104"/>
      <c r="MRW7" s="104"/>
      <c r="MRX7" s="104"/>
      <c r="MRY7" s="104"/>
      <c r="MRZ7" s="104"/>
      <c r="MSA7" s="104"/>
      <c r="MSB7" s="104"/>
      <c r="MSC7" s="104"/>
      <c r="MSD7" s="104"/>
      <c r="MSE7" s="104"/>
      <c r="MSF7" s="104"/>
      <c r="MSG7" s="104"/>
      <c r="MSH7" s="104"/>
      <c r="MSI7" s="104"/>
      <c r="MSJ7" s="104"/>
      <c r="MSK7" s="104"/>
      <c r="MSL7" s="104"/>
      <c r="MSM7" s="104"/>
      <c r="MSN7" s="104"/>
      <c r="MSO7" s="104"/>
      <c r="MSP7" s="104"/>
      <c r="MSQ7" s="104"/>
      <c r="MSR7" s="104"/>
      <c r="MSS7" s="104"/>
      <c r="MST7" s="104"/>
      <c r="MSU7" s="104"/>
      <c r="MSV7" s="104"/>
      <c r="MSW7" s="104"/>
      <c r="MSX7" s="104"/>
      <c r="MSY7" s="104"/>
      <c r="MSZ7" s="104"/>
      <c r="MTA7" s="104"/>
      <c r="MTB7" s="104"/>
      <c r="MTC7" s="104"/>
      <c r="MTD7" s="104"/>
      <c r="MTE7" s="104"/>
      <c r="MTF7" s="104"/>
      <c r="MTG7" s="104"/>
      <c r="MTH7" s="104"/>
      <c r="MTI7" s="104"/>
      <c r="MTJ7" s="104"/>
      <c r="MTK7" s="104"/>
      <c r="MTL7" s="104"/>
      <c r="MTM7" s="104"/>
      <c r="MTN7" s="104"/>
      <c r="MTO7" s="104"/>
      <c r="MTP7" s="104"/>
      <c r="MTQ7" s="104"/>
      <c r="MTR7" s="104"/>
      <c r="MTS7" s="104"/>
      <c r="MTT7" s="104"/>
      <c r="MTU7" s="104"/>
      <c r="MTV7" s="104"/>
      <c r="MTW7" s="104"/>
      <c r="MTX7" s="104"/>
      <c r="MTY7" s="104"/>
      <c r="MTZ7" s="104"/>
      <c r="MUA7" s="104"/>
      <c r="MUB7" s="104"/>
      <c r="MUC7" s="104"/>
      <c r="MUD7" s="104"/>
      <c r="MUE7" s="104"/>
      <c r="MUF7" s="104"/>
      <c r="MUG7" s="104"/>
      <c r="MUH7" s="104"/>
      <c r="MUI7" s="104"/>
      <c r="MUJ7" s="104"/>
      <c r="MUK7" s="104"/>
      <c r="MUL7" s="104"/>
      <c r="MUM7" s="104"/>
      <c r="MUN7" s="104"/>
      <c r="MUO7" s="104"/>
      <c r="MUP7" s="104"/>
      <c r="MUQ7" s="104"/>
      <c r="MUR7" s="104"/>
      <c r="MUS7" s="104"/>
      <c r="MUT7" s="104"/>
      <c r="MUU7" s="104"/>
      <c r="MUV7" s="104"/>
      <c r="MUW7" s="104"/>
      <c r="MUX7" s="104"/>
      <c r="MUY7" s="104"/>
      <c r="MUZ7" s="104"/>
      <c r="MVA7" s="104"/>
      <c r="MVB7" s="104"/>
      <c r="MVC7" s="104"/>
      <c r="MVD7" s="104"/>
      <c r="MVE7" s="104"/>
      <c r="MVF7" s="104"/>
      <c r="MVG7" s="104"/>
      <c r="MVH7" s="104"/>
      <c r="MVI7" s="104"/>
      <c r="MVJ7" s="104"/>
      <c r="MVK7" s="104"/>
      <c r="MVL7" s="104"/>
      <c r="MVM7" s="104"/>
      <c r="MVN7" s="104"/>
      <c r="MVO7" s="104"/>
      <c r="MVP7" s="104"/>
      <c r="MVQ7" s="104"/>
      <c r="MVR7" s="104"/>
      <c r="MVS7" s="104"/>
      <c r="MVT7" s="104"/>
      <c r="MVU7" s="104"/>
      <c r="MVV7" s="104"/>
      <c r="MVW7" s="104"/>
      <c r="MVX7" s="104"/>
      <c r="MVY7" s="104"/>
      <c r="MVZ7" s="104"/>
      <c r="MWA7" s="104"/>
      <c r="MWB7" s="104"/>
      <c r="MWC7" s="104"/>
      <c r="MWD7" s="104"/>
      <c r="MWE7" s="104"/>
      <c r="MWF7" s="104"/>
      <c r="MWG7" s="104"/>
      <c r="MWH7" s="104"/>
      <c r="MWI7" s="104"/>
      <c r="MWJ7" s="104"/>
      <c r="MWK7" s="104"/>
      <c r="MWL7" s="104"/>
      <c r="MWM7" s="104"/>
      <c r="MWN7" s="104"/>
      <c r="MWO7" s="104"/>
      <c r="MWP7" s="104"/>
      <c r="MWQ7" s="104"/>
      <c r="MWR7" s="104"/>
      <c r="MWS7" s="104"/>
      <c r="MWT7" s="104"/>
      <c r="MWU7" s="104"/>
      <c r="MWV7" s="104"/>
      <c r="MWW7" s="104"/>
      <c r="MWX7" s="104"/>
      <c r="MWY7" s="104"/>
      <c r="MWZ7" s="104"/>
      <c r="MXA7" s="104"/>
      <c r="MXB7" s="104"/>
      <c r="MXC7" s="104"/>
      <c r="MXD7" s="104"/>
      <c r="MXE7" s="104"/>
      <c r="MXF7" s="104"/>
      <c r="MXG7" s="104"/>
      <c r="MXH7" s="104"/>
      <c r="MXI7" s="104"/>
      <c r="MXJ7" s="104"/>
      <c r="MXK7" s="104"/>
      <c r="MXL7" s="104"/>
      <c r="MXM7" s="104"/>
      <c r="MXN7" s="104"/>
      <c r="MXO7" s="104"/>
      <c r="MXP7" s="104"/>
      <c r="MXQ7" s="104"/>
      <c r="MXR7" s="104"/>
      <c r="MXS7" s="104"/>
      <c r="MXT7" s="104"/>
      <c r="MXU7" s="104"/>
      <c r="MXV7" s="104"/>
      <c r="MXW7" s="104"/>
      <c r="MXX7" s="104"/>
      <c r="MXY7" s="104"/>
      <c r="MXZ7" s="104"/>
      <c r="MYA7" s="104"/>
      <c r="MYB7" s="104"/>
      <c r="MYC7" s="104"/>
      <c r="MYD7" s="104"/>
      <c r="MYE7" s="104"/>
      <c r="MYF7" s="104"/>
      <c r="MYG7" s="104"/>
      <c r="MYH7" s="104"/>
      <c r="MYI7" s="104"/>
      <c r="MYJ7" s="104"/>
      <c r="MYK7" s="104"/>
      <c r="MYL7" s="104"/>
      <c r="MYM7" s="104"/>
      <c r="MYN7" s="104"/>
      <c r="MYO7" s="104"/>
      <c r="MYP7" s="104"/>
      <c r="MYQ7" s="104"/>
      <c r="MYR7" s="104"/>
      <c r="MYS7" s="104"/>
      <c r="MYT7" s="104"/>
      <c r="MYU7" s="104"/>
      <c r="MYV7" s="104"/>
      <c r="MYW7" s="104"/>
      <c r="MYX7" s="104"/>
      <c r="MYY7" s="104"/>
      <c r="MYZ7" s="104"/>
      <c r="MZA7" s="104"/>
      <c r="MZB7" s="104"/>
      <c r="MZC7" s="104"/>
      <c r="MZD7" s="104"/>
      <c r="MZE7" s="104"/>
      <c r="MZF7" s="104"/>
      <c r="MZG7" s="104"/>
      <c r="MZH7" s="104"/>
      <c r="MZI7" s="104"/>
      <c r="MZJ7" s="104"/>
      <c r="MZK7" s="104"/>
      <c r="MZL7" s="104"/>
      <c r="MZM7" s="104"/>
      <c r="MZN7" s="104"/>
      <c r="MZO7" s="104"/>
      <c r="MZP7" s="104"/>
      <c r="MZQ7" s="104"/>
      <c r="MZR7" s="104"/>
      <c r="MZS7" s="104"/>
      <c r="MZT7" s="104"/>
      <c r="MZU7" s="104"/>
      <c r="MZV7" s="104"/>
      <c r="MZW7" s="104"/>
      <c r="MZX7" s="104"/>
      <c r="MZY7" s="104"/>
      <c r="MZZ7" s="104"/>
      <c r="NAA7" s="104"/>
      <c r="NAB7" s="104"/>
      <c r="NAC7" s="104"/>
      <c r="NAD7" s="104"/>
      <c r="NAE7" s="104"/>
      <c r="NAF7" s="104"/>
      <c r="NAG7" s="104"/>
      <c r="NAH7" s="104"/>
      <c r="NAI7" s="104"/>
      <c r="NAJ7" s="104"/>
      <c r="NAK7" s="104"/>
      <c r="NAL7" s="104"/>
      <c r="NAM7" s="104"/>
      <c r="NAN7" s="104"/>
      <c r="NAO7" s="104"/>
      <c r="NAP7" s="104"/>
      <c r="NAQ7" s="104"/>
      <c r="NAR7" s="104"/>
      <c r="NAS7" s="104"/>
      <c r="NAT7" s="104"/>
      <c r="NAU7" s="104"/>
      <c r="NAV7" s="104"/>
      <c r="NAW7" s="104"/>
      <c r="NAX7" s="104"/>
      <c r="NAY7" s="104"/>
      <c r="NAZ7" s="104"/>
      <c r="NBA7" s="104"/>
      <c r="NBB7" s="104"/>
      <c r="NBC7" s="104"/>
      <c r="NBD7" s="104"/>
      <c r="NBE7" s="104"/>
      <c r="NBF7" s="104"/>
      <c r="NBG7" s="104"/>
      <c r="NBH7" s="104"/>
      <c r="NBI7" s="104"/>
      <c r="NBJ7" s="104"/>
      <c r="NBK7" s="104"/>
      <c r="NBL7" s="104"/>
      <c r="NBM7" s="104"/>
      <c r="NBN7" s="104"/>
      <c r="NBO7" s="104"/>
      <c r="NBP7" s="104"/>
      <c r="NBQ7" s="104"/>
      <c r="NBR7" s="104"/>
      <c r="NBS7" s="104"/>
      <c r="NBT7" s="104"/>
      <c r="NBU7" s="104"/>
      <c r="NBV7" s="104"/>
      <c r="NBW7" s="104"/>
      <c r="NBX7" s="104"/>
      <c r="NBY7" s="104"/>
      <c r="NBZ7" s="104"/>
      <c r="NCA7" s="104"/>
      <c r="NCB7" s="104"/>
      <c r="NCC7" s="104"/>
      <c r="NCD7" s="104"/>
      <c r="NCE7" s="104"/>
      <c r="NCF7" s="104"/>
      <c r="NCG7" s="104"/>
      <c r="NCH7" s="104"/>
      <c r="NCI7" s="104"/>
      <c r="NCJ7" s="104"/>
      <c r="NCK7" s="104"/>
      <c r="NCL7" s="104"/>
      <c r="NCM7" s="104"/>
      <c r="NCN7" s="104"/>
      <c r="NCO7" s="104"/>
      <c r="NCP7" s="104"/>
      <c r="NCQ7" s="104"/>
      <c r="NCR7" s="104"/>
      <c r="NCS7" s="104"/>
      <c r="NCT7" s="104"/>
      <c r="NCU7" s="104"/>
      <c r="NCV7" s="104"/>
      <c r="NCW7" s="104"/>
      <c r="NCX7" s="104"/>
      <c r="NCY7" s="104"/>
      <c r="NCZ7" s="104"/>
      <c r="NDA7" s="104"/>
      <c r="NDB7" s="104"/>
      <c r="NDC7" s="104"/>
      <c r="NDD7" s="104"/>
      <c r="NDE7" s="104"/>
      <c r="NDF7" s="104"/>
      <c r="NDG7" s="104"/>
      <c r="NDH7" s="104"/>
      <c r="NDI7" s="104"/>
      <c r="NDJ7" s="104"/>
      <c r="NDK7" s="104"/>
      <c r="NDL7" s="104"/>
      <c r="NDM7" s="104"/>
      <c r="NDN7" s="104"/>
      <c r="NDO7" s="104"/>
      <c r="NDP7" s="104"/>
      <c r="NDQ7" s="104"/>
      <c r="NDR7" s="104"/>
      <c r="NDS7" s="104"/>
      <c r="NDT7" s="104"/>
      <c r="NDU7" s="104"/>
      <c r="NDV7" s="104"/>
      <c r="NDW7" s="104"/>
      <c r="NDX7" s="104"/>
      <c r="NDY7" s="104"/>
      <c r="NDZ7" s="104"/>
      <c r="NEA7" s="104"/>
      <c r="NEB7" s="104"/>
      <c r="NEC7" s="104"/>
      <c r="NED7" s="104"/>
      <c r="NEE7" s="104"/>
      <c r="NEF7" s="104"/>
      <c r="NEG7" s="104"/>
      <c r="NEH7" s="104"/>
      <c r="NEI7" s="104"/>
      <c r="NEJ7" s="104"/>
      <c r="NEK7" s="104"/>
      <c r="NEL7" s="104"/>
      <c r="NEM7" s="104"/>
      <c r="NEN7" s="104"/>
      <c r="NEO7" s="104"/>
      <c r="NEP7" s="104"/>
      <c r="NEQ7" s="104"/>
      <c r="NER7" s="104"/>
      <c r="NES7" s="104"/>
      <c r="NET7" s="104"/>
      <c r="NEU7" s="104"/>
      <c r="NEV7" s="104"/>
      <c r="NEW7" s="104"/>
      <c r="NEX7" s="104"/>
      <c r="NEY7" s="104"/>
      <c r="NEZ7" s="104"/>
      <c r="NFA7" s="104"/>
      <c r="NFB7" s="104"/>
      <c r="NFC7" s="104"/>
      <c r="NFD7" s="104"/>
      <c r="NFE7" s="104"/>
      <c r="NFF7" s="104"/>
      <c r="NFG7" s="104"/>
      <c r="NFH7" s="104"/>
      <c r="NFI7" s="104"/>
      <c r="NFJ7" s="104"/>
      <c r="NFK7" s="104"/>
      <c r="NFL7" s="104"/>
      <c r="NFM7" s="104"/>
      <c r="NFN7" s="104"/>
      <c r="NFO7" s="104"/>
      <c r="NFP7" s="104"/>
      <c r="NFQ7" s="104"/>
      <c r="NFR7" s="104"/>
      <c r="NFS7" s="104"/>
      <c r="NFT7" s="104"/>
      <c r="NFU7" s="104"/>
      <c r="NFV7" s="104"/>
      <c r="NFW7" s="104"/>
      <c r="NFX7" s="104"/>
      <c r="NFY7" s="104"/>
      <c r="NFZ7" s="104"/>
      <c r="NGA7" s="104"/>
      <c r="NGB7" s="104"/>
      <c r="NGC7" s="104"/>
      <c r="NGD7" s="104"/>
      <c r="NGE7" s="104"/>
      <c r="NGF7" s="104"/>
      <c r="NGG7" s="104"/>
      <c r="NGH7" s="104"/>
      <c r="NGI7" s="104"/>
      <c r="NGJ7" s="104"/>
      <c r="NGK7" s="104"/>
      <c r="NGL7" s="104"/>
      <c r="NGM7" s="104"/>
      <c r="NGN7" s="104"/>
      <c r="NGO7" s="104"/>
      <c r="NGP7" s="104"/>
      <c r="NGQ7" s="104"/>
      <c r="NGR7" s="104"/>
      <c r="NGS7" s="104"/>
      <c r="NGT7" s="104"/>
      <c r="NGU7" s="104"/>
      <c r="NGV7" s="104"/>
      <c r="NGW7" s="104"/>
      <c r="NGX7" s="104"/>
      <c r="NGY7" s="104"/>
      <c r="NGZ7" s="104"/>
      <c r="NHA7" s="104"/>
      <c r="NHB7" s="104"/>
      <c r="NHC7" s="104"/>
      <c r="NHD7" s="104"/>
      <c r="NHE7" s="104"/>
      <c r="NHF7" s="104"/>
      <c r="NHG7" s="104"/>
      <c r="NHH7" s="104"/>
      <c r="NHI7" s="104"/>
      <c r="NHJ7" s="104"/>
      <c r="NHK7" s="104"/>
      <c r="NHL7" s="104"/>
      <c r="NHM7" s="104"/>
      <c r="NHN7" s="104"/>
      <c r="NHO7" s="104"/>
      <c r="NHP7" s="104"/>
      <c r="NHQ7" s="104"/>
      <c r="NHR7" s="104"/>
      <c r="NHS7" s="104"/>
      <c r="NHT7" s="104"/>
      <c r="NHU7" s="104"/>
      <c r="NHV7" s="104"/>
      <c r="NHW7" s="104"/>
      <c r="NHX7" s="104"/>
      <c r="NHY7" s="104"/>
      <c r="NHZ7" s="104"/>
      <c r="NIA7" s="104"/>
      <c r="NIB7" s="104"/>
      <c r="NIC7" s="104"/>
      <c r="NID7" s="104"/>
      <c r="NIE7" s="104"/>
      <c r="NIF7" s="104"/>
      <c r="NIG7" s="104"/>
      <c r="NIH7" s="104"/>
      <c r="NII7" s="104"/>
      <c r="NIJ7" s="104"/>
      <c r="NIK7" s="104"/>
      <c r="NIL7" s="104"/>
      <c r="NIM7" s="104"/>
      <c r="NIN7" s="104"/>
      <c r="NIO7" s="104"/>
      <c r="NIP7" s="104"/>
      <c r="NIQ7" s="104"/>
      <c r="NIR7" s="104"/>
      <c r="NIS7" s="104"/>
      <c r="NIT7" s="104"/>
      <c r="NIU7" s="104"/>
      <c r="NIV7" s="104"/>
      <c r="NIW7" s="104"/>
      <c r="NIX7" s="104"/>
      <c r="NIY7" s="104"/>
      <c r="NIZ7" s="104"/>
      <c r="NJA7" s="104"/>
      <c r="NJB7" s="104"/>
      <c r="NJC7" s="104"/>
      <c r="NJD7" s="104"/>
      <c r="NJE7" s="104"/>
      <c r="NJF7" s="104"/>
      <c r="NJG7" s="104"/>
      <c r="NJH7" s="104"/>
      <c r="NJI7" s="104"/>
      <c r="NJJ7" s="104"/>
      <c r="NJK7" s="104"/>
      <c r="NJL7" s="104"/>
      <c r="NJM7" s="104"/>
      <c r="NJN7" s="104"/>
      <c r="NJO7" s="104"/>
      <c r="NJP7" s="104"/>
      <c r="NJQ7" s="104"/>
      <c r="NJR7" s="104"/>
      <c r="NJS7" s="104"/>
      <c r="NJT7" s="104"/>
      <c r="NJU7" s="104"/>
      <c r="NJV7" s="104"/>
      <c r="NJW7" s="104"/>
      <c r="NJX7" s="104"/>
      <c r="NJY7" s="104"/>
      <c r="NJZ7" s="104"/>
      <c r="NKA7" s="104"/>
      <c r="NKB7" s="104"/>
      <c r="NKC7" s="104"/>
      <c r="NKD7" s="104"/>
      <c r="NKE7" s="104"/>
      <c r="NKF7" s="104"/>
      <c r="NKG7" s="104"/>
      <c r="NKH7" s="104"/>
      <c r="NKI7" s="104"/>
      <c r="NKJ7" s="104"/>
      <c r="NKK7" s="104"/>
      <c r="NKL7" s="104"/>
      <c r="NKM7" s="104"/>
      <c r="NKN7" s="104"/>
      <c r="NKO7" s="104"/>
      <c r="NKP7" s="104"/>
      <c r="NKQ7" s="104"/>
      <c r="NKR7" s="104"/>
      <c r="NKS7" s="104"/>
      <c r="NKT7" s="104"/>
      <c r="NKU7" s="104"/>
      <c r="NKV7" s="104"/>
      <c r="NKW7" s="104"/>
      <c r="NKX7" s="104"/>
      <c r="NKY7" s="104"/>
      <c r="NKZ7" s="104"/>
      <c r="NLA7" s="104"/>
      <c r="NLB7" s="104"/>
      <c r="NLC7" s="104"/>
      <c r="NLD7" s="104"/>
      <c r="NLE7" s="104"/>
      <c r="NLF7" s="104"/>
      <c r="NLG7" s="104"/>
      <c r="NLH7" s="104"/>
      <c r="NLI7" s="104"/>
      <c r="NLJ7" s="104"/>
      <c r="NLK7" s="104"/>
      <c r="NLL7" s="104"/>
      <c r="NLM7" s="104"/>
      <c r="NLN7" s="104"/>
      <c r="NLO7" s="104"/>
      <c r="NLP7" s="104"/>
      <c r="NLQ7" s="104"/>
      <c r="NLR7" s="104"/>
      <c r="NLS7" s="104"/>
      <c r="NLT7" s="104"/>
      <c r="NLU7" s="104"/>
      <c r="NLV7" s="104"/>
      <c r="NLW7" s="104"/>
      <c r="NLX7" s="104"/>
      <c r="NLY7" s="104"/>
      <c r="NLZ7" s="104"/>
      <c r="NMA7" s="104"/>
      <c r="NMB7" s="104"/>
      <c r="NMC7" s="104"/>
      <c r="NMD7" s="104"/>
      <c r="NME7" s="104"/>
      <c r="NMF7" s="104"/>
      <c r="NMG7" s="104"/>
      <c r="NMH7" s="104"/>
      <c r="NMI7" s="104"/>
      <c r="NMJ7" s="104"/>
      <c r="NMK7" s="104"/>
      <c r="NML7" s="104"/>
      <c r="NMM7" s="104"/>
      <c r="NMN7" s="104"/>
      <c r="NMO7" s="104"/>
      <c r="NMP7" s="104"/>
      <c r="NMQ7" s="104"/>
      <c r="NMR7" s="104"/>
      <c r="NMS7" s="104"/>
      <c r="NMT7" s="104"/>
      <c r="NMU7" s="104"/>
      <c r="NMV7" s="104"/>
      <c r="NMW7" s="104"/>
      <c r="NMX7" s="104"/>
      <c r="NMY7" s="104"/>
      <c r="NMZ7" s="104"/>
      <c r="NNA7" s="104"/>
      <c r="NNB7" s="104"/>
      <c r="NNC7" s="104"/>
      <c r="NND7" s="104"/>
      <c r="NNE7" s="104"/>
      <c r="NNF7" s="104"/>
      <c r="NNG7" s="104"/>
      <c r="NNH7" s="104"/>
      <c r="NNI7" s="104"/>
      <c r="NNJ7" s="104"/>
      <c r="NNK7" s="104"/>
      <c r="NNL7" s="104"/>
      <c r="NNM7" s="104"/>
      <c r="NNN7" s="104"/>
      <c r="NNO7" s="104"/>
      <c r="NNP7" s="104"/>
      <c r="NNQ7" s="104"/>
      <c r="NNR7" s="104"/>
      <c r="NNS7" s="104"/>
      <c r="NNT7" s="104"/>
      <c r="NNU7" s="104"/>
      <c r="NNV7" s="104"/>
      <c r="NNW7" s="104"/>
      <c r="NNX7" s="104"/>
      <c r="NNY7" s="104"/>
      <c r="NNZ7" s="104"/>
      <c r="NOA7" s="104"/>
      <c r="NOB7" s="104"/>
      <c r="NOC7" s="104"/>
      <c r="NOD7" s="104"/>
      <c r="NOE7" s="104"/>
      <c r="NOF7" s="104"/>
      <c r="NOG7" s="104"/>
      <c r="NOH7" s="104"/>
      <c r="NOI7" s="104"/>
      <c r="NOJ7" s="104"/>
      <c r="NOK7" s="104"/>
      <c r="NOL7" s="104"/>
      <c r="NOM7" s="104"/>
      <c r="NON7" s="104"/>
      <c r="NOO7" s="104"/>
      <c r="NOP7" s="104"/>
      <c r="NOQ7" s="104"/>
      <c r="NOR7" s="104"/>
      <c r="NOS7" s="104"/>
      <c r="NOT7" s="104"/>
      <c r="NOU7" s="104"/>
      <c r="NOV7" s="104"/>
      <c r="NOW7" s="104"/>
      <c r="NOX7" s="104"/>
      <c r="NOY7" s="104"/>
      <c r="NOZ7" s="104"/>
      <c r="NPA7" s="104"/>
      <c r="NPB7" s="104"/>
      <c r="NPC7" s="104"/>
      <c r="NPD7" s="104"/>
      <c r="NPE7" s="104"/>
      <c r="NPF7" s="104"/>
      <c r="NPG7" s="104"/>
      <c r="NPH7" s="104"/>
      <c r="NPI7" s="104"/>
      <c r="NPJ7" s="104"/>
      <c r="NPK7" s="104"/>
      <c r="NPL7" s="104"/>
      <c r="NPM7" s="104"/>
      <c r="NPN7" s="104"/>
      <c r="NPO7" s="104"/>
      <c r="NPP7" s="104"/>
      <c r="NPQ7" s="104"/>
      <c r="NPR7" s="104"/>
      <c r="NPS7" s="104"/>
      <c r="NPT7" s="104"/>
      <c r="NPU7" s="104"/>
      <c r="NPV7" s="104"/>
      <c r="NPW7" s="104"/>
      <c r="NPX7" s="104"/>
      <c r="NPY7" s="104"/>
      <c r="NPZ7" s="104"/>
      <c r="NQA7" s="104"/>
      <c r="NQB7" s="104"/>
      <c r="NQC7" s="104"/>
      <c r="NQD7" s="104"/>
      <c r="NQE7" s="104"/>
      <c r="NQF7" s="104"/>
      <c r="NQG7" s="104"/>
      <c r="NQH7" s="104"/>
      <c r="NQI7" s="104"/>
      <c r="NQJ7" s="104"/>
      <c r="NQK7" s="104"/>
      <c r="NQL7" s="104"/>
      <c r="NQM7" s="104"/>
      <c r="NQN7" s="104"/>
      <c r="NQO7" s="104"/>
      <c r="NQP7" s="104"/>
      <c r="NQQ7" s="104"/>
      <c r="NQR7" s="104"/>
      <c r="NQS7" s="104"/>
      <c r="NQT7" s="104"/>
      <c r="NQU7" s="104"/>
      <c r="NQV7" s="104"/>
      <c r="NQW7" s="104"/>
      <c r="NQX7" s="104"/>
      <c r="NQY7" s="104"/>
      <c r="NQZ7" s="104"/>
      <c r="NRA7" s="104"/>
      <c r="NRB7" s="104"/>
      <c r="NRC7" s="104"/>
      <c r="NRD7" s="104"/>
      <c r="NRE7" s="104"/>
      <c r="NRF7" s="104"/>
      <c r="NRG7" s="104"/>
      <c r="NRH7" s="104"/>
      <c r="NRI7" s="104"/>
      <c r="NRJ7" s="104"/>
      <c r="NRK7" s="104"/>
      <c r="NRL7" s="104"/>
      <c r="NRM7" s="104"/>
      <c r="NRN7" s="104"/>
      <c r="NRO7" s="104"/>
      <c r="NRP7" s="104"/>
      <c r="NRQ7" s="104"/>
      <c r="NRR7" s="104"/>
      <c r="NRS7" s="104"/>
      <c r="NRT7" s="104"/>
      <c r="NRU7" s="104"/>
      <c r="NRV7" s="104"/>
      <c r="NRW7" s="104"/>
      <c r="NRX7" s="104"/>
      <c r="NRY7" s="104"/>
      <c r="NRZ7" s="104"/>
      <c r="NSA7" s="104"/>
      <c r="NSB7" s="104"/>
      <c r="NSC7" s="104"/>
      <c r="NSD7" s="104"/>
      <c r="NSE7" s="104"/>
      <c r="NSF7" s="104"/>
      <c r="NSG7" s="104"/>
      <c r="NSH7" s="104"/>
      <c r="NSI7" s="104"/>
      <c r="NSJ7" s="104"/>
      <c r="NSK7" s="104"/>
      <c r="NSL7" s="104"/>
      <c r="NSM7" s="104"/>
      <c r="NSN7" s="104"/>
      <c r="NSO7" s="104"/>
      <c r="NSP7" s="104"/>
      <c r="NSQ7" s="104"/>
      <c r="NSR7" s="104"/>
      <c r="NSS7" s="104"/>
      <c r="NST7" s="104"/>
      <c r="NSU7" s="104"/>
      <c r="NSV7" s="104"/>
      <c r="NSW7" s="104"/>
      <c r="NSX7" s="104"/>
      <c r="NSY7" s="104"/>
      <c r="NSZ7" s="104"/>
      <c r="NTA7" s="104"/>
      <c r="NTB7" s="104"/>
      <c r="NTC7" s="104"/>
      <c r="NTD7" s="104"/>
      <c r="NTE7" s="104"/>
      <c r="NTF7" s="104"/>
      <c r="NTG7" s="104"/>
      <c r="NTH7" s="104"/>
      <c r="NTI7" s="104"/>
      <c r="NTJ7" s="104"/>
      <c r="NTK7" s="104"/>
      <c r="NTL7" s="104"/>
      <c r="NTM7" s="104"/>
      <c r="NTN7" s="104"/>
      <c r="NTO7" s="104"/>
      <c r="NTP7" s="104"/>
      <c r="NTQ7" s="104"/>
      <c r="NTR7" s="104"/>
      <c r="NTS7" s="104"/>
      <c r="NTT7" s="104"/>
      <c r="NTU7" s="104"/>
      <c r="NTV7" s="104"/>
      <c r="NTW7" s="104"/>
      <c r="NTX7" s="104"/>
      <c r="NTY7" s="104"/>
      <c r="NTZ7" s="104"/>
      <c r="NUA7" s="104"/>
      <c r="NUB7" s="104"/>
      <c r="NUC7" s="104"/>
      <c r="NUD7" s="104"/>
      <c r="NUE7" s="104"/>
      <c r="NUF7" s="104"/>
      <c r="NUG7" s="104"/>
      <c r="NUH7" s="104"/>
      <c r="NUI7" s="104"/>
      <c r="NUJ7" s="104"/>
      <c r="NUK7" s="104"/>
      <c r="NUL7" s="104"/>
      <c r="NUM7" s="104"/>
      <c r="NUN7" s="104"/>
      <c r="NUO7" s="104"/>
      <c r="NUP7" s="104"/>
      <c r="NUQ7" s="104"/>
      <c r="NUR7" s="104"/>
      <c r="NUS7" s="104"/>
      <c r="NUT7" s="104"/>
      <c r="NUU7" s="104"/>
      <c r="NUV7" s="104"/>
      <c r="NUW7" s="104"/>
      <c r="NUX7" s="104"/>
      <c r="NUY7" s="104"/>
      <c r="NUZ7" s="104"/>
      <c r="NVA7" s="104"/>
      <c r="NVB7" s="104"/>
      <c r="NVC7" s="104"/>
      <c r="NVD7" s="104"/>
      <c r="NVE7" s="104"/>
      <c r="NVF7" s="104"/>
      <c r="NVG7" s="104"/>
      <c r="NVH7" s="104"/>
      <c r="NVI7" s="104"/>
      <c r="NVJ7" s="104"/>
      <c r="NVK7" s="104"/>
      <c r="NVL7" s="104"/>
      <c r="NVM7" s="104"/>
      <c r="NVN7" s="104"/>
      <c r="NVO7" s="104"/>
      <c r="NVP7" s="104"/>
      <c r="NVQ7" s="104"/>
      <c r="NVR7" s="104"/>
      <c r="NVS7" s="104"/>
      <c r="NVT7" s="104"/>
      <c r="NVU7" s="104"/>
      <c r="NVV7" s="104"/>
      <c r="NVW7" s="104"/>
      <c r="NVX7" s="104"/>
      <c r="NVY7" s="104"/>
      <c r="NVZ7" s="104"/>
      <c r="NWA7" s="104"/>
      <c r="NWB7" s="104"/>
      <c r="NWC7" s="104"/>
      <c r="NWD7" s="104"/>
      <c r="NWE7" s="104"/>
      <c r="NWF7" s="104"/>
      <c r="NWG7" s="104"/>
      <c r="NWH7" s="104"/>
      <c r="NWI7" s="104"/>
      <c r="NWJ7" s="104"/>
      <c r="NWK7" s="104"/>
      <c r="NWL7" s="104"/>
      <c r="NWM7" s="104"/>
      <c r="NWN7" s="104"/>
      <c r="NWO7" s="104"/>
      <c r="NWP7" s="104"/>
      <c r="NWQ7" s="104"/>
      <c r="NWR7" s="104"/>
      <c r="NWS7" s="104"/>
      <c r="NWT7" s="104"/>
      <c r="NWU7" s="104"/>
      <c r="NWV7" s="104"/>
      <c r="NWW7" s="104"/>
      <c r="NWX7" s="104"/>
      <c r="NWY7" s="104"/>
      <c r="NWZ7" s="104"/>
      <c r="NXA7" s="104"/>
      <c r="NXB7" s="104"/>
      <c r="NXC7" s="104"/>
      <c r="NXD7" s="104"/>
      <c r="NXE7" s="104"/>
      <c r="NXF7" s="104"/>
      <c r="NXG7" s="104"/>
      <c r="NXH7" s="104"/>
      <c r="NXI7" s="104"/>
      <c r="NXJ7" s="104"/>
      <c r="NXK7" s="104"/>
      <c r="NXL7" s="104"/>
      <c r="NXM7" s="104"/>
      <c r="NXN7" s="104"/>
      <c r="NXO7" s="104"/>
      <c r="NXP7" s="104"/>
      <c r="NXQ7" s="104"/>
      <c r="NXR7" s="104"/>
      <c r="NXS7" s="104"/>
      <c r="NXT7" s="104"/>
      <c r="NXU7" s="104"/>
      <c r="NXV7" s="104"/>
      <c r="NXW7" s="104"/>
      <c r="NXX7" s="104"/>
      <c r="NXY7" s="104"/>
      <c r="NXZ7" s="104"/>
      <c r="NYA7" s="104"/>
      <c r="NYB7" s="104"/>
      <c r="NYC7" s="104"/>
      <c r="NYD7" s="104"/>
      <c r="NYE7" s="104"/>
      <c r="NYF7" s="104"/>
      <c r="NYG7" s="104"/>
      <c r="NYH7" s="104"/>
      <c r="NYI7" s="104"/>
      <c r="NYJ7" s="104"/>
      <c r="NYK7" s="104"/>
      <c r="NYL7" s="104"/>
      <c r="NYM7" s="104"/>
      <c r="NYN7" s="104"/>
      <c r="NYO7" s="104"/>
      <c r="NYP7" s="104"/>
      <c r="NYQ7" s="104"/>
      <c r="NYR7" s="104"/>
      <c r="NYS7" s="104"/>
      <c r="NYT7" s="104"/>
      <c r="NYU7" s="104"/>
      <c r="NYV7" s="104"/>
      <c r="NYW7" s="104"/>
      <c r="NYX7" s="104"/>
      <c r="NYY7" s="104"/>
      <c r="NYZ7" s="104"/>
      <c r="NZA7" s="104"/>
      <c r="NZB7" s="104"/>
      <c r="NZC7" s="104"/>
      <c r="NZD7" s="104"/>
      <c r="NZE7" s="104"/>
      <c r="NZF7" s="104"/>
      <c r="NZG7" s="104"/>
      <c r="NZH7" s="104"/>
      <c r="NZI7" s="104"/>
      <c r="NZJ7" s="104"/>
      <c r="NZK7" s="104"/>
      <c r="NZL7" s="104"/>
      <c r="NZM7" s="104"/>
      <c r="NZN7" s="104"/>
      <c r="NZO7" s="104"/>
      <c r="NZP7" s="104"/>
      <c r="NZQ7" s="104"/>
      <c r="NZR7" s="104"/>
      <c r="NZS7" s="104"/>
      <c r="NZT7" s="104"/>
      <c r="NZU7" s="104"/>
      <c r="NZV7" s="104"/>
      <c r="NZW7" s="104"/>
      <c r="NZX7" s="104"/>
      <c r="NZY7" s="104"/>
      <c r="NZZ7" s="104"/>
      <c r="OAA7" s="104"/>
      <c r="OAB7" s="104"/>
      <c r="OAC7" s="104"/>
      <c r="OAD7" s="104"/>
      <c r="OAE7" s="104"/>
      <c r="OAF7" s="104"/>
      <c r="OAG7" s="104"/>
      <c r="OAH7" s="104"/>
      <c r="OAI7" s="104"/>
      <c r="OAJ7" s="104"/>
      <c r="OAK7" s="104"/>
      <c r="OAL7" s="104"/>
      <c r="OAM7" s="104"/>
      <c r="OAN7" s="104"/>
      <c r="OAO7" s="104"/>
      <c r="OAP7" s="104"/>
      <c r="OAQ7" s="104"/>
      <c r="OAR7" s="104"/>
      <c r="OAS7" s="104"/>
      <c r="OAT7" s="104"/>
      <c r="OAU7" s="104"/>
      <c r="OAV7" s="104"/>
      <c r="OAW7" s="104"/>
      <c r="OAX7" s="104"/>
      <c r="OAY7" s="104"/>
      <c r="OAZ7" s="104"/>
      <c r="OBA7" s="104"/>
      <c r="OBB7" s="104"/>
      <c r="OBC7" s="104"/>
      <c r="OBD7" s="104"/>
      <c r="OBE7" s="104"/>
      <c r="OBF7" s="104"/>
      <c r="OBG7" s="104"/>
      <c r="OBH7" s="104"/>
      <c r="OBI7" s="104"/>
      <c r="OBJ7" s="104"/>
      <c r="OBK7" s="104"/>
      <c r="OBL7" s="104"/>
      <c r="OBM7" s="104"/>
      <c r="OBN7" s="104"/>
      <c r="OBO7" s="104"/>
      <c r="OBP7" s="104"/>
      <c r="OBQ7" s="104"/>
      <c r="OBR7" s="104"/>
      <c r="OBS7" s="104"/>
      <c r="OBT7" s="104"/>
      <c r="OBU7" s="104"/>
      <c r="OBV7" s="104"/>
      <c r="OBW7" s="104"/>
      <c r="OBX7" s="104"/>
      <c r="OBY7" s="104"/>
      <c r="OBZ7" s="104"/>
      <c r="OCA7" s="104"/>
      <c r="OCB7" s="104"/>
      <c r="OCC7" s="104"/>
      <c r="OCD7" s="104"/>
      <c r="OCE7" s="104"/>
      <c r="OCF7" s="104"/>
      <c r="OCG7" s="104"/>
      <c r="OCH7" s="104"/>
      <c r="OCI7" s="104"/>
      <c r="OCJ7" s="104"/>
      <c r="OCK7" s="104"/>
      <c r="OCL7" s="104"/>
      <c r="OCM7" s="104"/>
      <c r="OCN7" s="104"/>
      <c r="OCO7" s="104"/>
      <c r="OCP7" s="104"/>
      <c r="OCQ7" s="104"/>
      <c r="OCR7" s="104"/>
      <c r="OCS7" s="104"/>
      <c r="OCT7" s="104"/>
      <c r="OCU7" s="104"/>
      <c r="OCV7" s="104"/>
      <c r="OCW7" s="104"/>
      <c r="OCX7" s="104"/>
      <c r="OCY7" s="104"/>
      <c r="OCZ7" s="104"/>
      <c r="ODA7" s="104"/>
      <c r="ODB7" s="104"/>
      <c r="ODC7" s="104"/>
      <c r="ODD7" s="104"/>
      <c r="ODE7" s="104"/>
      <c r="ODF7" s="104"/>
      <c r="ODG7" s="104"/>
      <c r="ODH7" s="104"/>
      <c r="ODI7" s="104"/>
      <c r="ODJ7" s="104"/>
      <c r="ODK7" s="104"/>
      <c r="ODL7" s="104"/>
      <c r="ODM7" s="104"/>
      <c r="ODN7" s="104"/>
      <c r="ODO7" s="104"/>
      <c r="ODP7" s="104"/>
      <c r="ODQ7" s="104"/>
      <c r="ODR7" s="104"/>
      <c r="ODS7" s="104"/>
      <c r="ODT7" s="104"/>
      <c r="ODU7" s="104"/>
      <c r="ODV7" s="104"/>
      <c r="ODW7" s="104"/>
      <c r="ODX7" s="104"/>
      <c r="ODY7" s="104"/>
      <c r="ODZ7" s="104"/>
      <c r="OEA7" s="104"/>
      <c r="OEB7" s="104"/>
      <c r="OEC7" s="104"/>
      <c r="OED7" s="104"/>
      <c r="OEE7" s="104"/>
      <c r="OEF7" s="104"/>
      <c r="OEG7" s="104"/>
      <c r="OEH7" s="104"/>
      <c r="OEI7" s="104"/>
      <c r="OEJ7" s="104"/>
      <c r="OEK7" s="104"/>
      <c r="OEL7" s="104"/>
      <c r="OEM7" s="104"/>
      <c r="OEN7" s="104"/>
      <c r="OEO7" s="104"/>
      <c r="OEP7" s="104"/>
      <c r="OEQ7" s="104"/>
      <c r="OER7" s="104"/>
      <c r="OES7" s="104"/>
      <c r="OET7" s="104"/>
      <c r="OEU7" s="104"/>
      <c r="OEV7" s="104"/>
      <c r="OEW7" s="104"/>
      <c r="OEX7" s="104"/>
      <c r="OEY7" s="104"/>
      <c r="OEZ7" s="104"/>
      <c r="OFA7" s="104"/>
      <c r="OFB7" s="104"/>
      <c r="OFC7" s="104"/>
      <c r="OFD7" s="104"/>
      <c r="OFE7" s="104"/>
      <c r="OFF7" s="104"/>
      <c r="OFG7" s="104"/>
      <c r="OFH7" s="104"/>
      <c r="OFI7" s="104"/>
      <c r="OFJ7" s="104"/>
      <c r="OFK7" s="104"/>
      <c r="OFL7" s="104"/>
      <c r="OFM7" s="104"/>
      <c r="OFN7" s="104"/>
      <c r="OFO7" s="104"/>
      <c r="OFP7" s="104"/>
      <c r="OFQ7" s="104"/>
      <c r="OFR7" s="104"/>
      <c r="OFS7" s="104"/>
      <c r="OFT7" s="104"/>
      <c r="OFU7" s="104"/>
      <c r="OFV7" s="104"/>
      <c r="OFW7" s="104"/>
      <c r="OFX7" s="104"/>
      <c r="OFY7" s="104"/>
      <c r="OFZ7" s="104"/>
      <c r="OGA7" s="104"/>
      <c r="OGB7" s="104"/>
      <c r="OGC7" s="104"/>
      <c r="OGD7" s="104"/>
      <c r="OGE7" s="104"/>
      <c r="OGF7" s="104"/>
      <c r="OGG7" s="104"/>
      <c r="OGH7" s="104"/>
      <c r="OGI7" s="104"/>
      <c r="OGJ7" s="104"/>
      <c r="OGK7" s="104"/>
      <c r="OGL7" s="104"/>
      <c r="OGM7" s="104"/>
      <c r="OGN7" s="104"/>
      <c r="OGO7" s="104"/>
      <c r="OGP7" s="104"/>
      <c r="OGQ7" s="104"/>
      <c r="OGR7" s="104"/>
      <c r="OGS7" s="104"/>
      <c r="OGT7" s="104"/>
      <c r="OGU7" s="104"/>
      <c r="OGV7" s="104"/>
      <c r="OGW7" s="104"/>
      <c r="OGX7" s="104"/>
      <c r="OGY7" s="104"/>
      <c r="OGZ7" s="104"/>
      <c r="OHA7" s="104"/>
      <c r="OHB7" s="104"/>
      <c r="OHC7" s="104"/>
      <c r="OHD7" s="104"/>
      <c r="OHE7" s="104"/>
      <c r="OHF7" s="104"/>
      <c r="OHG7" s="104"/>
      <c r="OHH7" s="104"/>
      <c r="OHI7" s="104"/>
      <c r="OHJ7" s="104"/>
      <c r="OHK7" s="104"/>
      <c r="OHL7" s="104"/>
      <c r="OHM7" s="104"/>
      <c r="OHN7" s="104"/>
      <c r="OHO7" s="104"/>
      <c r="OHP7" s="104"/>
      <c r="OHQ7" s="104"/>
      <c r="OHR7" s="104"/>
      <c r="OHS7" s="104"/>
      <c r="OHT7" s="104"/>
      <c r="OHU7" s="104"/>
      <c r="OHV7" s="104"/>
      <c r="OHW7" s="104"/>
      <c r="OHX7" s="104"/>
      <c r="OHY7" s="104"/>
      <c r="OHZ7" s="104"/>
      <c r="OIA7" s="104"/>
      <c r="OIB7" s="104"/>
      <c r="OIC7" s="104"/>
      <c r="OID7" s="104"/>
      <c r="OIE7" s="104"/>
      <c r="OIF7" s="104"/>
      <c r="OIG7" s="104"/>
      <c r="OIH7" s="104"/>
      <c r="OII7" s="104"/>
      <c r="OIJ7" s="104"/>
      <c r="OIK7" s="104"/>
      <c r="OIL7" s="104"/>
      <c r="OIM7" s="104"/>
      <c r="OIN7" s="104"/>
      <c r="OIO7" s="104"/>
      <c r="OIP7" s="104"/>
      <c r="OIQ7" s="104"/>
      <c r="OIR7" s="104"/>
      <c r="OIS7" s="104"/>
      <c r="OIT7" s="104"/>
      <c r="OIU7" s="104"/>
      <c r="OIV7" s="104"/>
      <c r="OIW7" s="104"/>
      <c r="OIX7" s="104"/>
      <c r="OIY7" s="104"/>
      <c r="OIZ7" s="104"/>
      <c r="OJA7" s="104"/>
      <c r="OJB7" s="104"/>
      <c r="OJC7" s="104"/>
      <c r="OJD7" s="104"/>
      <c r="OJE7" s="104"/>
      <c r="OJF7" s="104"/>
      <c r="OJG7" s="104"/>
      <c r="OJH7" s="104"/>
      <c r="OJI7" s="104"/>
      <c r="OJJ7" s="104"/>
      <c r="OJK7" s="104"/>
      <c r="OJL7" s="104"/>
      <c r="OJM7" s="104"/>
      <c r="OJN7" s="104"/>
      <c r="OJO7" s="104"/>
      <c r="OJP7" s="104"/>
      <c r="OJQ7" s="104"/>
      <c r="OJR7" s="104"/>
      <c r="OJS7" s="104"/>
      <c r="OJT7" s="104"/>
      <c r="OJU7" s="104"/>
      <c r="OJV7" s="104"/>
      <c r="OJW7" s="104"/>
      <c r="OJX7" s="104"/>
      <c r="OJY7" s="104"/>
      <c r="OJZ7" s="104"/>
      <c r="OKA7" s="104"/>
      <c r="OKB7" s="104"/>
      <c r="OKC7" s="104"/>
      <c r="OKD7" s="104"/>
      <c r="OKE7" s="104"/>
      <c r="OKF7" s="104"/>
      <c r="OKG7" s="104"/>
      <c r="OKH7" s="104"/>
      <c r="OKI7" s="104"/>
      <c r="OKJ7" s="104"/>
      <c r="OKK7" s="104"/>
      <c r="OKL7" s="104"/>
      <c r="OKM7" s="104"/>
      <c r="OKN7" s="104"/>
      <c r="OKO7" s="104"/>
      <c r="OKP7" s="104"/>
      <c r="OKQ7" s="104"/>
      <c r="OKR7" s="104"/>
      <c r="OKS7" s="104"/>
      <c r="OKT7" s="104"/>
      <c r="OKU7" s="104"/>
      <c r="OKV7" s="104"/>
      <c r="OKW7" s="104"/>
      <c r="OKX7" s="104"/>
      <c r="OKY7" s="104"/>
      <c r="OKZ7" s="104"/>
      <c r="OLA7" s="104"/>
      <c r="OLB7" s="104"/>
      <c r="OLC7" s="104"/>
      <c r="OLD7" s="104"/>
      <c r="OLE7" s="104"/>
      <c r="OLF7" s="104"/>
      <c r="OLG7" s="104"/>
      <c r="OLH7" s="104"/>
      <c r="OLI7" s="104"/>
      <c r="OLJ7" s="104"/>
      <c r="OLK7" s="104"/>
      <c r="OLL7" s="104"/>
      <c r="OLM7" s="104"/>
      <c r="OLN7" s="104"/>
      <c r="OLO7" s="104"/>
      <c r="OLP7" s="104"/>
      <c r="OLQ7" s="104"/>
      <c r="OLR7" s="104"/>
      <c r="OLS7" s="104"/>
      <c r="OLT7" s="104"/>
      <c r="OLU7" s="104"/>
      <c r="OLV7" s="104"/>
      <c r="OLW7" s="104"/>
      <c r="OLX7" s="104"/>
      <c r="OLY7" s="104"/>
      <c r="OLZ7" s="104"/>
      <c r="OMA7" s="104"/>
      <c r="OMB7" s="104"/>
      <c r="OMC7" s="104"/>
      <c r="OMD7" s="104"/>
      <c r="OME7" s="104"/>
      <c r="OMF7" s="104"/>
      <c r="OMG7" s="104"/>
      <c r="OMH7" s="104"/>
      <c r="OMI7" s="104"/>
      <c r="OMJ7" s="104"/>
      <c r="OMK7" s="104"/>
      <c r="OML7" s="104"/>
      <c r="OMM7" s="104"/>
      <c r="OMN7" s="104"/>
      <c r="OMO7" s="104"/>
      <c r="OMP7" s="104"/>
      <c r="OMQ7" s="104"/>
      <c r="OMR7" s="104"/>
      <c r="OMS7" s="104"/>
      <c r="OMT7" s="104"/>
      <c r="OMU7" s="104"/>
      <c r="OMV7" s="104"/>
      <c r="OMW7" s="104"/>
      <c r="OMX7" s="104"/>
      <c r="OMY7" s="104"/>
      <c r="OMZ7" s="104"/>
      <c r="ONA7" s="104"/>
      <c r="ONB7" s="104"/>
      <c r="ONC7" s="104"/>
      <c r="OND7" s="104"/>
      <c r="ONE7" s="104"/>
      <c r="ONF7" s="104"/>
      <c r="ONG7" s="104"/>
      <c r="ONH7" s="104"/>
      <c r="ONI7" s="104"/>
      <c r="ONJ7" s="104"/>
      <c r="ONK7" s="104"/>
      <c r="ONL7" s="104"/>
      <c r="ONM7" s="104"/>
      <c r="ONN7" s="104"/>
      <c r="ONO7" s="104"/>
      <c r="ONP7" s="104"/>
      <c r="ONQ7" s="104"/>
      <c r="ONR7" s="104"/>
      <c r="ONS7" s="104"/>
      <c r="ONT7" s="104"/>
      <c r="ONU7" s="104"/>
      <c r="ONV7" s="104"/>
      <c r="ONW7" s="104"/>
      <c r="ONX7" s="104"/>
      <c r="ONY7" s="104"/>
      <c r="ONZ7" s="104"/>
      <c r="OOA7" s="104"/>
      <c r="OOB7" s="104"/>
      <c r="OOC7" s="104"/>
      <c r="OOD7" s="104"/>
      <c r="OOE7" s="104"/>
      <c r="OOF7" s="104"/>
      <c r="OOG7" s="104"/>
      <c r="OOH7" s="104"/>
      <c r="OOI7" s="104"/>
      <c r="OOJ7" s="104"/>
      <c r="OOK7" s="104"/>
      <c r="OOL7" s="104"/>
      <c r="OOM7" s="104"/>
      <c r="OON7" s="104"/>
      <c r="OOO7" s="104"/>
      <c r="OOP7" s="104"/>
      <c r="OOQ7" s="104"/>
      <c r="OOR7" s="104"/>
      <c r="OOS7" s="104"/>
      <c r="OOT7" s="104"/>
      <c r="OOU7" s="104"/>
      <c r="OOV7" s="104"/>
      <c r="OOW7" s="104"/>
      <c r="OOX7" s="104"/>
      <c r="OOY7" s="104"/>
      <c r="OOZ7" s="104"/>
      <c r="OPA7" s="104"/>
      <c r="OPB7" s="104"/>
      <c r="OPC7" s="104"/>
      <c r="OPD7" s="104"/>
      <c r="OPE7" s="104"/>
      <c r="OPF7" s="104"/>
      <c r="OPG7" s="104"/>
      <c r="OPH7" s="104"/>
      <c r="OPI7" s="104"/>
      <c r="OPJ7" s="104"/>
      <c r="OPK7" s="104"/>
      <c r="OPL7" s="104"/>
      <c r="OPM7" s="104"/>
      <c r="OPN7" s="104"/>
      <c r="OPO7" s="104"/>
      <c r="OPP7" s="104"/>
      <c r="OPQ7" s="104"/>
      <c r="OPR7" s="104"/>
      <c r="OPS7" s="104"/>
      <c r="OPT7" s="104"/>
      <c r="OPU7" s="104"/>
      <c r="OPV7" s="104"/>
      <c r="OPW7" s="104"/>
      <c r="OPX7" s="104"/>
      <c r="OPY7" s="104"/>
      <c r="OPZ7" s="104"/>
      <c r="OQA7" s="104"/>
      <c r="OQB7" s="104"/>
      <c r="OQC7" s="104"/>
      <c r="OQD7" s="104"/>
      <c r="OQE7" s="104"/>
      <c r="OQF7" s="104"/>
      <c r="OQG7" s="104"/>
      <c r="OQH7" s="104"/>
      <c r="OQI7" s="104"/>
      <c r="OQJ7" s="104"/>
      <c r="OQK7" s="104"/>
      <c r="OQL7" s="104"/>
      <c r="OQM7" s="104"/>
      <c r="OQN7" s="104"/>
      <c r="OQO7" s="104"/>
      <c r="OQP7" s="104"/>
      <c r="OQQ7" s="104"/>
      <c r="OQR7" s="104"/>
      <c r="OQS7" s="104"/>
      <c r="OQT7" s="104"/>
      <c r="OQU7" s="104"/>
      <c r="OQV7" s="104"/>
      <c r="OQW7" s="104"/>
      <c r="OQX7" s="104"/>
      <c r="OQY7" s="104"/>
      <c r="OQZ7" s="104"/>
      <c r="ORA7" s="104"/>
      <c r="ORB7" s="104"/>
      <c r="ORC7" s="104"/>
      <c r="ORD7" s="104"/>
      <c r="ORE7" s="104"/>
      <c r="ORF7" s="104"/>
      <c r="ORG7" s="104"/>
      <c r="ORH7" s="104"/>
      <c r="ORI7" s="104"/>
      <c r="ORJ7" s="104"/>
      <c r="ORK7" s="104"/>
      <c r="ORL7" s="104"/>
      <c r="ORM7" s="104"/>
      <c r="ORN7" s="104"/>
      <c r="ORO7" s="104"/>
      <c r="ORP7" s="104"/>
      <c r="ORQ7" s="104"/>
      <c r="ORR7" s="104"/>
      <c r="ORS7" s="104"/>
      <c r="ORT7" s="104"/>
      <c r="ORU7" s="104"/>
      <c r="ORV7" s="104"/>
      <c r="ORW7" s="104"/>
      <c r="ORX7" s="104"/>
      <c r="ORY7" s="104"/>
      <c r="ORZ7" s="104"/>
      <c r="OSA7" s="104"/>
      <c r="OSB7" s="104"/>
      <c r="OSC7" s="104"/>
      <c r="OSD7" s="104"/>
      <c r="OSE7" s="104"/>
      <c r="OSF7" s="104"/>
      <c r="OSG7" s="104"/>
      <c r="OSH7" s="104"/>
      <c r="OSI7" s="104"/>
      <c r="OSJ7" s="104"/>
      <c r="OSK7" s="104"/>
      <c r="OSL7" s="104"/>
      <c r="OSM7" s="104"/>
      <c r="OSN7" s="104"/>
      <c r="OSO7" s="104"/>
      <c r="OSP7" s="104"/>
      <c r="OSQ7" s="104"/>
      <c r="OSR7" s="104"/>
      <c r="OSS7" s="104"/>
      <c r="OST7" s="104"/>
      <c r="OSU7" s="104"/>
      <c r="OSV7" s="104"/>
      <c r="OSW7" s="104"/>
      <c r="OSX7" s="104"/>
      <c r="OSY7" s="104"/>
      <c r="OSZ7" s="104"/>
      <c r="OTA7" s="104"/>
      <c r="OTB7" s="104"/>
      <c r="OTC7" s="104"/>
      <c r="OTD7" s="104"/>
      <c r="OTE7" s="104"/>
      <c r="OTF7" s="104"/>
      <c r="OTG7" s="104"/>
      <c r="OTH7" s="104"/>
      <c r="OTI7" s="104"/>
      <c r="OTJ7" s="104"/>
      <c r="OTK7" s="104"/>
      <c r="OTL7" s="104"/>
      <c r="OTM7" s="104"/>
      <c r="OTN7" s="104"/>
      <c r="OTO7" s="104"/>
      <c r="OTP7" s="104"/>
      <c r="OTQ7" s="104"/>
      <c r="OTR7" s="104"/>
      <c r="OTS7" s="104"/>
      <c r="OTT7" s="104"/>
      <c r="OTU7" s="104"/>
      <c r="OTV7" s="104"/>
      <c r="OTW7" s="104"/>
      <c r="OTX7" s="104"/>
      <c r="OTY7" s="104"/>
      <c r="OTZ7" s="104"/>
      <c r="OUA7" s="104"/>
      <c r="OUB7" s="104"/>
      <c r="OUC7" s="104"/>
      <c r="OUD7" s="104"/>
      <c r="OUE7" s="104"/>
      <c r="OUF7" s="104"/>
      <c r="OUG7" s="104"/>
      <c r="OUH7" s="104"/>
      <c r="OUI7" s="104"/>
      <c r="OUJ7" s="104"/>
      <c r="OUK7" s="104"/>
      <c r="OUL7" s="104"/>
      <c r="OUM7" s="104"/>
      <c r="OUN7" s="104"/>
      <c r="OUO7" s="104"/>
      <c r="OUP7" s="104"/>
      <c r="OUQ7" s="104"/>
      <c r="OUR7" s="104"/>
      <c r="OUS7" s="104"/>
      <c r="OUT7" s="104"/>
      <c r="OUU7" s="104"/>
      <c r="OUV7" s="104"/>
      <c r="OUW7" s="104"/>
      <c r="OUX7" s="104"/>
      <c r="OUY7" s="104"/>
      <c r="OUZ7" s="104"/>
      <c r="OVA7" s="104"/>
      <c r="OVB7" s="104"/>
      <c r="OVC7" s="104"/>
      <c r="OVD7" s="104"/>
      <c r="OVE7" s="104"/>
      <c r="OVF7" s="104"/>
      <c r="OVG7" s="104"/>
      <c r="OVH7" s="104"/>
      <c r="OVI7" s="104"/>
      <c r="OVJ7" s="104"/>
      <c r="OVK7" s="104"/>
      <c r="OVL7" s="104"/>
      <c r="OVM7" s="104"/>
      <c r="OVN7" s="104"/>
      <c r="OVO7" s="104"/>
      <c r="OVP7" s="104"/>
      <c r="OVQ7" s="104"/>
      <c r="OVR7" s="104"/>
      <c r="OVS7" s="104"/>
      <c r="OVT7" s="104"/>
      <c r="OVU7" s="104"/>
      <c r="OVV7" s="104"/>
      <c r="OVW7" s="104"/>
      <c r="OVX7" s="104"/>
      <c r="OVY7" s="104"/>
      <c r="OVZ7" s="104"/>
      <c r="OWA7" s="104"/>
      <c r="OWB7" s="104"/>
      <c r="OWC7" s="104"/>
      <c r="OWD7" s="104"/>
      <c r="OWE7" s="104"/>
      <c r="OWF7" s="104"/>
      <c r="OWG7" s="104"/>
      <c r="OWH7" s="104"/>
      <c r="OWI7" s="104"/>
      <c r="OWJ7" s="104"/>
      <c r="OWK7" s="104"/>
      <c r="OWL7" s="104"/>
      <c r="OWM7" s="104"/>
      <c r="OWN7" s="104"/>
      <c r="OWO7" s="104"/>
      <c r="OWP7" s="104"/>
      <c r="OWQ7" s="104"/>
      <c r="OWR7" s="104"/>
      <c r="OWS7" s="104"/>
      <c r="OWT7" s="104"/>
      <c r="OWU7" s="104"/>
      <c r="OWV7" s="104"/>
      <c r="OWW7" s="104"/>
      <c r="OWX7" s="104"/>
      <c r="OWY7" s="104"/>
      <c r="OWZ7" s="104"/>
      <c r="OXA7" s="104"/>
      <c r="OXB7" s="104"/>
      <c r="OXC7" s="104"/>
      <c r="OXD7" s="104"/>
      <c r="OXE7" s="104"/>
      <c r="OXF7" s="104"/>
      <c r="OXG7" s="104"/>
      <c r="OXH7" s="104"/>
      <c r="OXI7" s="104"/>
      <c r="OXJ7" s="104"/>
      <c r="OXK7" s="104"/>
      <c r="OXL7" s="104"/>
      <c r="OXM7" s="104"/>
      <c r="OXN7" s="104"/>
      <c r="OXO7" s="104"/>
      <c r="OXP7" s="104"/>
      <c r="OXQ7" s="104"/>
      <c r="OXR7" s="104"/>
      <c r="OXS7" s="104"/>
      <c r="OXT7" s="104"/>
      <c r="OXU7" s="104"/>
      <c r="OXV7" s="104"/>
      <c r="OXW7" s="104"/>
      <c r="OXX7" s="104"/>
      <c r="OXY7" s="104"/>
      <c r="OXZ7" s="104"/>
      <c r="OYA7" s="104"/>
      <c r="OYB7" s="104"/>
      <c r="OYC7" s="104"/>
      <c r="OYD7" s="104"/>
      <c r="OYE7" s="104"/>
      <c r="OYF7" s="104"/>
      <c r="OYG7" s="104"/>
      <c r="OYH7" s="104"/>
      <c r="OYI7" s="104"/>
      <c r="OYJ7" s="104"/>
      <c r="OYK7" s="104"/>
      <c r="OYL7" s="104"/>
      <c r="OYM7" s="104"/>
      <c r="OYN7" s="104"/>
      <c r="OYO7" s="104"/>
      <c r="OYP7" s="104"/>
      <c r="OYQ7" s="104"/>
      <c r="OYR7" s="104"/>
      <c r="OYS7" s="104"/>
      <c r="OYT7" s="104"/>
      <c r="OYU7" s="104"/>
      <c r="OYV7" s="104"/>
      <c r="OYW7" s="104"/>
      <c r="OYX7" s="104"/>
      <c r="OYY7" s="104"/>
      <c r="OYZ7" s="104"/>
      <c r="OZA7" s="104"/>
      <c r="OZB7" s="104"/>
      <c r="OZC7" s="104"/>
      <c r="OZD7" s="104"/>
      <c r="OZE7" s="104"/>
      <c r="OZF7" s="104"/>
      <c r="OZG7" s="104"/>
      <c r="OZH7" s="104"/>
      <c r="OZI7" s="104"/>
      <c r="OZJ7" s="104"/>
      <c r="OZK7" s="104"/>
      <c r="OZL7" s="104"/>
      <c r="OZM7" s="104"/>
      <c r="OZN7" s="104"/>
      <c r="OZO7" s="104"/>
      <c r="OZP7" s="104"/>
      <c r="OZQ7" s="104"/>
      <c r="OZR7" s="104"/>
      <c r="OZS7" s="104"/>
      <c r="OZT7" s="104"/>
      <c r="OZU7" s="104"/>
      <c r="OZV7" s="104"/>
      <c r="OZW7" s="104"/>
      <c r="OZX7" s="104"/>
      <c r="OZY7" s="104"/>
      <c r="OZZ7" s="104"/>
      <c r="PAA7" s="104"/>
      <c r="PAB7" s="104"/>
      <c r="PAC7" s="104"/>
      <c r="PAD7" s="104"/>
      <c r="PAE7" s="104"/>
      <c r="PAF7" s="104"/>
      <c r="PAG7" s="104"/>
      <c r="PAH7" s="104"/>
      <c r="PAI7" s="104"/>
      <c r="PAJ7" s="104"/>
      <c r="PAK7" s="104"/>
      <c r="PAL7" s="104"/>
      <c r="PAM7" s="104"/>
      <c r="PAN7" s="104"/>
      <c r="PAO7" s="104"/>
      <c r="PAP7" s="104"/>
      <c r="PAQ7" s="104"/>
      <c r="PAR7" s="104"/>
      <c r="PAS7" s="104"/>
      <c r="PAT7" s="104"/>
      <c r="PAU7" s="104"/>
      <c r="PAV7" s="104"/>
      <c r="PAW7" s="104"/>
      <c r="PAX7" s="104"/>
      <c r="PAY7" s="104"/>
      <c r="PAZ7" s="104"/>
      <c r="PBA7" s="104"/>
      <c r="PBB7" s="104"/>
      <c r="PBC7" s="104"/>
      <c r="PBD7" s="104"/>
      <c r="PBE7" s="104"/>
      <c r="PBF7" s="104"/>
      <c r="PBG7" s="104"/>
      <c r="PBH7" s="104"/>
      <c r="PBI7" s="104"/>
      <c r="PBJ7" s="104"/>
      <c r="PBK7" s="104"/>
      <c r="PBL7" s="104"/>
      <c r="PBM7" s="104"/>
      <c r="PBN7" s="104"/>
      <c r="PBO7" s="104"/>
      <c r="PBP7" s="104"/>
      <c r="PBQ7" s="104"/>
      <c r="PBR7" s="104"/>
      <c r="PBS7" s="104"/>
      <c r="PBT7" s="104"/>
      <c r="PBU7" s="104"/>
      <c r="PBV7" s="104"/>
      <c r="PBW7" s="104"/>
      <c r="PBX7" s="104"/>
      <c r="PBY7" s="104"/>
      <c r="PBZ7" s="104"/>
      <c r="PCA7" s="104"/>
      <c r="PCB7" s="104"/>
      <c r="PCC7" s="104"/>
      <c r="PCD7" s="104"/>
      <c r="PCE7" s="104"/>
      <c r="PCF7" s="104"/>
      <c r="PCG7" s="104"/>
      <c r="PCH7" s="104"/>
      <c r="PCI7" s="104"/>
      <c r="PCJ7" s="104"/>
      <c r="PCK7" s="104"/>
      <c r="PCL7" s="104"/>
      <c r="PCM7" s="104"/>
      <c r="PCN7" s="104"/>
      <c r="PCO7" s="104"/>
      <c r="PCP7" s="104"/>
      <c r="PCQ7" s="104"/>
      <c r="PCR7" s="104"/>
      <c r="PCS7" s="104"/>
      <c r="PCT7" s="104"/>
      <c r="PCU7" s="104"/>
      <c r="PCV7" s="104"/>
      <c r="PCW7" s="104"/>
      <c r="PCX7" s="104"/>
      <c r="PCY7" s="104"/>
      <c r="PCZ7" s="104"/>
      <c r="PDA7" s="104"/>
      <c r="PDB7" s="104"/>
      <c r="PDC7" s="104"/>
      <c r="PDD7" s="104"/>
      <c r="PDE7" s="104"/>
      <c r="PDF7" s="104"/>
      <c r="PDG7" s="104"/>
      <c r="PDH7" s="104"/>
      <c r="PDI7" s="104"/>
      <c r="PDJ7" s="104"/>
      <c r="PDK7" s="104"/>
      <c r="PDL7" s="104"/>
      <c r="PDM7" s="104"/>
      <c r="PDN7" s="104"/>
      <c r="PDO7" s="104"/>
      <c r="PDP7" s="104"/>
      <c r="PDQ7" s="104"/>
      <c r="PDR7" s="104"/>
      <c r="PDS7" s="104"/>
      <c r="PDT7" s="104"/>
      <c r="PDU7" s="104"/>
      <c r="PDV7" s="104"/>
      <c r="PDW7" s="104"/>
      <c r="PDX7" s="104"/>
      <c r="PDY7" s="104"/>
      <c r="PDZ7" s="104"/>
      <c r="PEA7" s="104"/>
      <c r="PEB7" s="104"/>
      <c r="PEC7" s="104"/>
      <c r="PED7" s="104"/>
      <c r="PEE7" s="104"/>
      <c r="PEF7" s="104"/>
      <c r="PEG7" s="104"/>
      <c r="PEH7" s="104"/>
      <c r="PEI7" s="104"/>
      <c r="PEJ7" s="104"/>
      <c r="PEK7" s="104"/>
      <c r="PEL7" s="104"/>
      <c r="PEM7" s="104"/>
      <c r="PEN7" s="104"/>
      <c r="PEO7" s="104"/>
      <c r="PEP7" s="104"/>
      <c r="PEQ7" s="104"/>
      <c r="PER7" s="104"/>
      <c r="PES7" s="104"/>
      <c r="PET7" s="104"/>
      <c r="PEU7" s="104"/>
      <c r="PEV7" s="104"/>
      <c r="PEW7" s="104"/>
      <c r="PEX7" s="104"/>
      <c r="PEY7" s="104"/>
      <c r="PEZ7" s="104"/>
      <c r="PFA7" s="104"/>
      <c r="PFB7" s="104"/>
      <c r="PFC7" s="104"/>
      <c r="PFD7" s="104"/>
      <c r="PFE7" s="104"/>
      <c r="PFF7" s="104"/>
      <c r="PFG7" s="104"/>
      <c r="PFH7" s="104"/>
      <c r="PFI7" s="104"/>
      <c r="PFJ7" s="104"/>
      <c r="PFK7" s="104"/>
      <c r="PFL7" s="104"/>
      <c r="PFM7" s="104"/>
      <c r="PFN7" s="104"/>
      <c r="PFO7" s="104"/>
      <c r="PFP7" s="104"/>
      <c r="PFQ7" s="104"/>
      <c r="PFR7" s="104"/>
      <c r="PFS7" s="104"/>
      <c r="PFT7" s="104"/>
      <c r="PFU7" s="104"/>
      <c r="PFV7" s="104"/>
      <c r="PFW7" s="104"/>
      <c r="PFX7" s="104"/>
      <c r="PFY7" s="104"/>
      <c r="PFZ7" s="104"/>
      <c r="PGA7" s="104"/>
      <c r="PGB7" s="104"/>
      <c r="PGC7" s="104"/>
      <c r="PGD7" s="104"/>
      <c r="PGE7" s="104"/>
      <c r="PGF7" s="104"/>
      <c r="PGG7" s="104"/>
      <c r="PGH7" s="104"/>
      <c r="PGI7" s="104"/>
      <c r="PGJ7" s="104"/>
      <c r="PGK7" s="104"/>
      <c r="PGL7" s="104"/>
      <c r="PGM7" s="104"/>
      <c r="PGN7" s="104"/>
      <c r="PGO7" s="104"/>
      <c r="PGP7" s="104"/>
      <c r="PGQ7" s="104"/>
      <c r="PGR7" s="104"/>
      <c r="PGS7" s="104"/>
      <c r="PGT7" s="104"/>
      <c r="PGU7" s="104"/>
      <c r="PGV7" s="104"/>
      <c r="PGW7" s="104"/>
      <c r="PGX7" s="104"/>
      <c r="PGY7" s="104"/>
      <c r="PGZ7" s="104"/>
      <c r="PHA7" s="104"/>
      <c r="PHB7" s="104"/>
      <c r="PHC7" s="104"/>
      <c r="PHD7" s="104"/>
      <c r="PHE7" s="104"/>
      <c r="PHF7" s="104"/>
      <c r="PHG7" s="104"/>
      <c r="PHH7" s="104"/>
      <c r="PHI7" s="104"/>
      <c r="PHJ7" s="104"/>
      <c r="PHK7" s="104"/>
      <c r="PHL7" s="104"/>
      <c r="PHM7" s="104"/>
      <c r="PHN7" s="104"/>
      <c r="PHO7" s="104"/>
      <c r="PHP7" s="104"/>
      <c r="PHQ7" s="104"/>
      <c r="PHR7" s="104"/>
      <c r="PHS7" s="104"/>
      <c r="PHT7" s="104"/>
      <c r="PHU7" s="104"/>
      <c r="PHV7" s="104"/>
      <c r="PHW7" s="104"/>
      <c r="PHX7" s="104"/>
      <c r="PHY7" s="104"/>
      <c r="PHZ7" s="104"/>
      <c r="PIA7" s="104"/>
      <c r="PIB7" s="104"/>
      <c r="PIC7" s="104"/>
      <c r="PID7" s="104"/>
      <c r="PIE7" s="104"/>
      <c r="PIF7" s="104"/>
      <c r="PIG7" s="104"/>
      <c r="PIH7" s="104"/>
      <c r="PII7" s="104"/>
      <c r="PIJ7" s="104"/>
      <c r="PIK7" s="104"/>
      <c r="PIL7" s="104"/>
      <c r="PIM7" s="104"/>
      <c r="PIN7" s="104"/>
      <c r="PIO7" s="104"/>
      <c r="PIP7" s="104"/>
      <c r="PIQ7" s="104"/>
      <c r="PIR7" s="104"/>
      <c r="PIS7" s="104"/>
      <c r="PIT7" s="104"/>
      <c r="PIU7" s="104"/>
      <c r="PIV7" s="104"/>
      <c r="PIW7" s="104"/>
      <c r="PIX7" s="104"/>
      <c r="PIY7" s="104"/>
      <c r="PIZ7" s="104"/>
      <c r="PJA7" s="104"/>
      <c r="PJB7" s="104"/>
      <c r="PJC7" s="104"/>
      <c r="PJD7" s="104"/>
      <c r="PJE7" s="104"/>
      <c r="PJF7" s="104"/>
      <c r="PJG7" s="104"/>
      <c r="PJH7" s="104"/>
      <c r="PJI7" s="104"/>
      <c r="PJJ7" s="104"/>
      <c r="PJK7" s="104"/>
      <c r="PJL7" s="104"/>
      <c r="PJM7" s="104"/>
      <c r="PJN7" s="104"/>
      <c r="PJO7" s="104"/>
      <c r="PJP7" s="104"/>
      <c r="PJQ7" s="104"/>
      <c r="PJR7" s="104"/>
      <c r="PJS7" s="104"/>
      <c r="PJT7" s="104"/>
      <c r="PJU7" s="104"/>
      <c r="PJV7" s="104"/>
      <c r="PJW7" s="104"/>
      <c r="PJX7" s="104"/>
      <c r="PJY7" s="104"/>
      <c r="PJZ7" s="104"/>
      <c r="PKA7" s="104"/>
      <c r="PKB7" s="104"/>
      <c r="PKC7" s="104"/>
      <c r="PKD7" s="104"/>
      <c r="PKE7" s="104"/>
      <c r="PKF7" s="104"/>
      <c r="PKG7" s="104"/>
      <c r="PKH7" s="104"/>
      <c r="PKI7" s="104"/>
      <c r="PKJ7" s="104"/>
      <c r="PKK7" s="104"/>
      <c r="PKL7" s="104"/>
      <c r="PKM7" s="104"/>
      <c r="PKN7" s="104"/>
      <c r="PKO7" s="104"/>
      <c r="PKP7" s="104"/>
      <c r="PKQ7" s="104"/>
      <c r="PKR7" s="104"/>
      <c r="PKS7" s="104"/>
      <c r="PKT7" s="104"/>
      <c r="PKU7" s="104"/>
      <c r="PKV7" s="104"/>
      <c r="PKW7" s="104"/>
      <c r="PKX7" s="104"/>
      <c r="PKY7" s="104"/>
      <c r="PKZ7" s="104"/>
      <c r="PLA7" s="104"/>
      <c r="PLB7" s="104"/>
      <c r="PLC7" s="104"/>
      <c r="PLD7" s="104"/>
      <c r="PLE7" s="104"/>
      <c r="PLF7" s="104"/>
      <c r="PLG7" s="104"/>
      <c r="PLH7" s="104"/>
      <c r="PLI7" s="104"/>
      <c r="PLJ7" s="104"/>
      <c r="PLK7" s="104"/>
      <c r="PLL7" s="104"/>
      <c r="PLM7" s="104"/>
      <c r="PLN7" s="104"/>
      <c r="PLO7" s="104"/>
      <c r="PLP7" s="104"/>
      <c r="PLQ7" s="104"/>
      <c r="PLR7" s="104"/>
      <c r="PLS7" s="104"/>
      <c r="PLT7" s="104"/>
      <c r="PLU7" s="104"/>
      <c r="PLV7" s="104"/>
      <c r="PLW7" s="104"/>
      <c r="PLX7" s="104"/>
      <c r="PLY7" s="104"/>
      <c r="PLZ7" s="104"/>
      <c r="PMA7" s="104"/>
      <c r="PMB7" s="104"/>
      <c r="PMC7" s="104"/>
      <c r="PMD7" s="104"/>
      <c r="PME7" s="104"/>
      <c r="PMF7" s="104"/>
      <c r="PMG7" s="104"/>
      <c r="PMH7" s="104"/>
      <c r="PMI7" s="104"/>
      <c r="PMJ7" s="104"/>
      <c r="PMK7" s="104"/>
      <c r="PML7" s="104"/>
      <c r="PMM7" s="104"/>
      <c r="PMN7" s="104"/>
      <c r="PMO7" s="104"/>
      <c r="PMP7" s="104"/>
      <c r="PMQ7" s="104"/>
      <c r="PMR7" s="104"/>
      <c r="PMS7" s="104"/>
      <c r="PMT7" s="104"/>
      <c r="PMU7" s="104"/>
      <c r="PMV7" s="104"/>
      <c r="PMW7" s="104"/>
      <c r="PMX7" s="104"/>
      <c r="PMY7" s="104"/>
      <c r="PMZ7" s="104"/>
      <c r="PNA7" s="104"/>
      <c r="PNB7" s="104"/>
      <c r="PNC7" s="104"/>
      <c r="PND7" s="104"/>
      <c r="PNE7" s="104"/>
      <c r="PNF7" s="104"/>
      <c r="PNG7" s="104"/>
      <c r="PNH7" s="104"/>
      <c r="PNI7" s="104"/>
      <c r="PNJ7" s="104"/>
      <c r="PNK7" s="104"/>
      <c r="PNL7" s="104"/>
      <c r="PNM7" s="104"/>
      <c r="PNN7" s="104"/>
      <c r="PNO7" s="104"/>
      <c r="PNP7" s="104"/>
      <c r="PNQ7" s="104"/>
      <c r="PNR7" s="104"/>
      <c r="PNS7" s="104"/>
      <c r="PNT7" s="104"/>
      <c r="PNU7" s="104"/>
      <c r="PNV7" s="104"/>
      <c r="PNW7" s="104"/>
      <c r="PNX7" s="104"/>
      <c r="PNY7" s="104"/>
      <c r="PNZ7" s="104"/>
      <c r="POA7" s="104"/>
      <c r="POB7" s="104"/>
      <c r="POC7" s="104"/>
      <c r="POD7" s="104"/>
      <c r="POE7" s="104"/>
      <c r="POF7" s="104"/>
      <c r="POG7" s="104"/>
      <c r="POH7" s="104"/>
      <c r="POI7" s="104"/>
      <c r="POJ7" s="104"/>
      <c r="POK7" s="104"/>
      <c r="POL7" s="104"/>
      <c r="POM7" s="104"/>
      <c r="PON7" s="104"/>
      <c r="POO7" s="104"/>
      <c r="POP7" s="104"/>
      <c r="POQ7" s="104"/>
      <c r="POR7" s="104"/>
      <c r="POS7" s="104"/>
      <c r="POT7" s="104"/>
      <c r="POU7" s="104"/>
      <c r="POV7" s="104"/>
      <c r="POW7" s="104"/>
      <c r="POX7" s="104"/>
      <c r="POY7" s="104"/>
      <c r="POZ7" s="104"/>
      <c r="PPA7" s="104"/>
      <c r="PPB7" s="104"/>
      <c r="PPC7" s="104"/>
      <c r="PPD7" s="104"/>
      <c r="PPE7" s="104"/>
      <c r="PPF7" s="104"/>
      <c r="PPG7" s="104"/>
      <c r="PPH7" s="104"/>
      <c r="PPI7" s="104"/>
      <c r="PPJ7" s="104"/>
      <c r="PPK7" s="104"/>
      <c r="PPL7" s="104"/>
      <c r="PPM7" s="104"/>
      <c r="PPN7" s="104"/>
      <c r="PPO7" s="104"/>
      <c r="PPP7" s="104"/>
      <c r="PPQ7" s="104"/>
      <c r="PPR7" s="104"/>
      <c r="PPS7" s="104"/>
      <c r="PPT7" s="104"/>
      <c r="PPU7" s="104"/>
      <c r="PPV7" s="104"/>
      <c r="PPW7" s="104"/>
      <c r="PPX7" s="104"/>
      <c r="PPY7" s="104"/>
      <c r="PPZ7" s="104"/>
      <c r="PQA7" s="104"/>
      <c r="PQB7" s="104"/>
      <c r="PQC7" s="104"/>
      <c r="PQD7" s="104"/>
      <c r="PQE7" s="104"/>
      <c r="PQF7" s="104"/>
      <c r="PQG7" s="104"/>
      <c r="PQH7" s="104"/>
      <c r="PQI7" s="104"/>
      <c r="PQJ7" s="104"/>
      <c r="PQK7" s="104"/>
      <c r="PQL7" s="104"/>
      <c r="PQM7" s="104"/>
      <c r="PQN7" s="104"/>
      <c r="PQO7" s="104"/>
      <c r="PQP7" s="104"/>
      <c r="PQQ7" s="104"/>
      <c r="PQR7" s="104"/>
      <c r="PQS7" s="104"/>
      <c r="PQT7" s="104"/>
      <c r="PQU7" s="104"/>
      <c r="PQV7" s="104"/>
      <c r="PQW7" s="104"/>
      <c r="PQX7" s="104"/>
      <c r="PQY7" s="104"/>
      <c r="PQZ7" s="104"/>
      <c r="PRA7" s="104"/>
      <c r="PRB7" s="104"/>
      <c r="PRC7" s="104"/>
      <c r="PRD7" s="104"/>
      <c r="PRE7" s="104"/>
      <c r="PRF7" s="104"/>
      <c r="PRG7" s="104"/>
      <c r="PRH7" s="104"/>
      <c r="PRI7" s="104"/>
      <c r="PRJ7" s="104"/>
      <c r="PRK7" s="104"/>
      <c r="PRL7" s="104"/>
      <c r="PRM7" s="104"/>
      <c r="PRN7" s="104"/>
      <c r="PRO7" s="104"/>
      <c r="PRP7" s="104"/>
      <c r="PRQ7" s="104"/>
      <c r="PRR7" s="104"/>
      <c r="PRS7" s="104"/>
      <c r="PRT7" s="104"/>
      <c r="PRU7" s="104"/>
      <c r="PRV7" s="104"/>
      <c r="PRW7" s="104"/>
      <c r="PRX7" s="104"/>
      <c r="PRY7" s="104"/>
      <c r="PRZ7" s="104"/>
      <c r="PSA7" s="104"/>
      <c r="PSB7" s="104"/>
      <c r="PSC7" s="104"/>
      <c r="PSD7" s="104"/>
      <c r="PSE7" s="104"/>
      <c r="PSF7" s="104"/>
      <c r="PSG7" s="104"/>
      <c r="PSH7" s="104"/>
      <c r="PSI7" s="104"/>
      <c r="PSJ7" s="104"/>
      <c r="PSK7" s="104"/>
      <c r="PSL7" s="104"/>
      <c r="PSM7" s="104"/>
      <c r="PSN7" s="104"/>
      <c r="PSO7" s="104"/>
      <c r="PSP7" s="104"/>
      <c r="PSQ7" s="104"/>
      <c r="PSR7" s="104"/>
      <c r="PSS7" s="104"/>
      <c r="PST7" s="104"/>
      <c r="PSU7" s="104"/>
      <c r="PSV7" s="104"/>
      <c r="PSW7" s="104"/>
      <c r="PSX7" s="104"/>
      <c r="PSY7" s="104"/>
      <c r="PSZ7" s="104"/>
      <c r="PTA7" s="104"/>
      <c r="PTB7" s="104"/>
      <c r="PTC7" s="104"/>
      <c r="PTD7" s="104"/>
      <c r="PTE7" s="104"/>
      <c r="PTF7" s="104"/>
      <c r="PTG7" s="104"/>
      <c r="PTH7" s="104"/>
      <c r="PTI7" s="104"/>
      <c r="PTJ7" s="104"/>
      <c r="PTK7" s="104"/>
      <c r="PTL7" s="104"/>
      <c r="PTM7" s="104"/>
      <c r="PTN7" s="104"/>
      <c r="PTO7" s="104"/>
      <c r="PTP7" s="104"/>
      <c r="PTQ7" s="104"/>
      <c r="PTR7" s="104"/>
      <c r="PTS7" s="104"/>
      <c r="PTT7" s="104"/>
      <c r="PTU7" s="104"/>
      <c r="PTV7" s="104"/>
      <c r="PTW7" s="104"/>
      <c r="PTX7" s="104"/>
      <c r="PTY7" s="104"/>
      <c r="PTZ7" s="104"/>
      <c r="PUA7" s="104"/>
      <c r="PUB7" s="104"/>
      <c r="PUC7" s="104"/>
      <c r="PUD7" s="104"/>
      <c r="PUE7" s="104"/>
      <c r="PUF7" s="104"/>
      <c r="PUG7" s="104"/>
      <c r="PUH7" s="104"/>
      <c r="PUI7" s="104"/>
      <c r="PUJ7" s="104"/>
      <c r="PUK7" s="104"/>
      <c r="PUL7" s="104"/>
      <c r="PUM7" s="104"/>
      <c r="PUN7" s="104"/>
      <c r="PUO7" s="104"/>
      <c r="PUP7" s="104"/>
      <c r="PUQ7" s="104"/>
      <c r="PUR7" s="104"/>
      <c r="PUS7" s="104"/>
      <c r="PUT7" s="104"/>
      <c r="PUU7" s="104"/>
      <c r="PUV7" s="104"/>
      <c r="PUW7" s="104"/>
      <c r="PUX7" s="104"/>
      <c r="PUY7" s="104"/>
      <c r="PUZ7" s="104"/>
      <c r="PVA7" s="104"/>
      <c r="PVB7" s="104"/>
      <c r="PVC7" s="104"/>
      <c r="PVD7" s="104"/>
      <c r="PVE7" s="104"/>
      <c r="PVF7" s="104"/>
      <c r="PVG7" s="104"/>
      <c r="PVH7" s="104"/>
      <c r="PVI7" s="104"/>
      <c r="PVJ7" s="104"/>
      <c r="PVK7" s="104"/>
      <c r="PVL7" s="104"/>
      <c r="PVM7" s="104"/>
      <c r="PVN7" s="104"/>
      <c r="PVO7" s="104"/>
      <c r="PVP7" s="104"/>
      <c r="PVQ7" s="104"/>
      <c r="PVR7" s="104"/>
      <c r="PVS7" s="104"/>
      <c r="PVT7" s="104"/>
      <c r="PVU7" s="104"/>
      <c r="PVV7" s="104"/>
      <c r="PVW7" s="104"/>
      <c r="PVX7" s="104"/>
      <c r="PVY7" s="104"/>
      <c r="PVZ7" s="104"/>
      <c r="PWA7" s="104"/>
      <c r="PWB7" s="104"/>
      <c r="PWC7" s="104"/>
      <c r="PWD7" s="104"/>
      <c r="PWE7" s="104"/>
      <c r="PWF7" s="104"/>
      <c r="PWG7" s="104"/>
      <c r="PWH7" s="104"/>
      <c r="PWI7" s="104"/>
      <c r="PWJ7" s="104"/>
      <c r="PWK7" s="104"/>
      <c r="PWL7" s="104"/>
      <c r="PWM7" s="104"/>
      <c r="PWN7" s="104"/>
      <c r="PWO7" s="104"/>
      <c r="PWP7" s="104"/>
      <c r="PWQ7" s="104"/>
      <c r="PWR7" s="104"/>
      <c r="PWS7" s="104"/>
      <c r="PWT7" s="104"/>
      <c r="PWU7" s="104"/>
      <c r="PWV7" s="104"/>
      <c r="PWW7" s="104"/>
      <c r="PWX7" s="104"/>
      <c r="PWY7" s="104"/>
      <c r="PWZ7" s="104"/>
      <c r="PXA7" s="104"/>
      <c r="PXB7" s="104"/>
      <c r="PXC7" s="104"/>
      <c r="PXD7" s="104"/>
      <c r="PXE7" s="104"/>
      <c r="PXF7" s="104"/>
      <c r="PXG7" s="104"/>
      <c r="PXH7" s="104"/>
      <c r="PXI7" s="104"/>
      <c r="PXJ7" s="104"/>
      <c r="PXK7" s="104"/>
      <c r="PXL7" s="104"/>
      <c r="PXM7" s="104"/>
      <c r="PXN7" s="104"/>
      <c r="PXO7" s="104"/>
      <c r="PXP7" s="104"/>
      <c r="PXQ7" s="104"/>
      <c r="PXR7" s="104"/>
      <c r="PXS7" s="104"/>
      <c r="PXT7" s="104"/>
      <c r="PXU7" s="104"/>
      <c r="PXV7" s="104"/>
      <c r="PXW7" s="104"/>
      <c r="PXX7" s="104"/>
      <c r="PXY7" s="104"/>
      <c r="PXZ7" s="104"/>
      <c r="PYA7" s="104"/>
      <c r="PYB7" s="104"/>
      <c r="PYC7" s="104"/>
      <c r="PYD7" s="104"/>
      <c r="PYE7" s="104"/>
      <c r="PYF7" s="104"/>
      <c r="PYG7" s="104"/>
      <c r="PYH7" s="104"/>
      <c r="PYI7" s="104"/>
      <c r="PYJ7" s="104"/>
      <c r="PYK7" s="104"/>
      <c r="PYL7" s="104"/>
      <c r="PYM7" s="104"/>
      <c r="PYN7" s="104"/>
      <c r="PYO7" s="104"/>
      <c r="PYP7" s="104"/>
      <c r="PYQ7" s="104"/>
      <c r="PYR7" s="104"/>
      <c r="PYS7" s="104"/>
      <c r="PYT7" s="104"/>
      <c r="PYU7" s="104"/>
      <c r="PYV7" s="104"/>
      <c r="PYW7" s="104"/>
      <c r="PYX7" s="104"/>
      <c r="PYY7" s="104"/>
      <c r="PYZ7" s="104"/>
      <c r="PZA7" s="104"/>
      <c r="PZB7" s="104"/>
      <c r="PZC7" s="104"/>
      <c r="PZD7" s="104"/>
      <c r="PZE7" s="104"/>
      <c r="PZF7" s="104"/>
      <c r="PZG7" s="104"/>
      <c r="PZH7" s="104"/>
      <c r="PZI7" s="104"/>
      <c r="PZJ7" s="104"/>
      <c r="PZK7" s="104"/>
      <c r="PZL7" s="104"/>
      <c r="PZM7" s="104"/>
      <c r="PZN7" s="104"/>
      <c r="PZO7" s="104"/>
      <c r="PZP7" s="104"/>
      <c r="PZQ7" s="104"/>
      <c r="PZR7" s="104"/>
      <c r="PZS7" s="104"/>
      <c r="PZT7" s="104"/>
      <c r="PZU7" s="104"/>
      <c r="PZV7" s="104"/>
      <c r="PZW7" s="104"/>
      <c r="PZX7" s="104"/>
      <c r="PZY7" s="104"/>
      <c r="PZZ7" s="104"/>
      <c r="QAA7" s="104"/>
      <c r="QAB7" s="104"/>
      <c r="QAC7" s="104"/>
      <c r="QAD7" s="104"/>
      <c r="QAE7" s="104"/>
      <c r="QAF7" s="104"/>
      <c r="QAG7" s="104"/>
      <c r="QAH7" s="104"/>
      <c r="QAI7" s="104"/>
      <c r="QAJ7" s="104"/>
      <c r="QAK7" s="104"/>
      <c r="QAL7" s="104"/>
      <c r="QAM7" s="104"/>
      <c r="QAN7" s="104"/>
      <c r="QAO7" s="104"/>
      <c r="QAP7" s="104"/>
      <c r="QAQ7" s="104"/>
      <c r="QAR7" s="104"/>
      <c r="QAS7" s="104"/>
      <c r="QAT7" s="104"/>
      <c r="QAU7" s="104"/>
      <c r="QAV7" s="104"/>
      <c r="QAW7" s="104"/>
      <c r="QAX7" s="104"/>
      <c r="QAY7" s="104"/>
      <c r="QAZ7" s="104"/>
      <c r="QBA7" s="104"/>
      <c r="QBB7" s="104"/>
      <c r="QBC7" s="104"/>
      <c r="QBD7" s="104"/>
      <c r="QBE7" s="104"/>
      <c r="QBF7" s="104"/>
      <c r="QBG7" s="104"/>
      <c r="QBH7" s="104"/>
      <c r="QBI7" s="104"/>
      <c r="QBJ7" s="104"/>
      <c r="QBK7" s="104"/>
      <c r="QBL7" s="104"/>
      <c r="QBM7" s="104"/>
      <c r="QBN7" s="104"/>
      <c r="QBO7" s="104"/>
      <c r="QBP7" s="104"/>
      <c r="QBQ7" s="104"/>
      <c r="QBR7" s="104"/>
      <c r="QBS7" s="104"/>
      <c r="QBT7" s="104"/>
      <c r="QBU7" s="104"/>
      <c r="QBV7" s="104"/>
      <c r="QBW7" s="104"/>
      <c r="QBX7" s="104"/>
      <c r="QBY7" s="104"/>
      <c r="QBZ7" s="104"/>
      <c r="QCA7" s="104"/>
      <c r="QCB7" s="104"/>
      <c r="QCC7" s="104"/>
      <c r="QCD7" s="104"/>
      <c r="QCE7" s="104"/>
      <c r="QCF7" s="104"/>
      <c r="QCG7" s="104"/>
      <c r="QCH7" s="104"/>
      <c r="QCI7" s="104"/>
      <c r="QCJ7" s="104"/>
      <c r="QCK7" s="104"/>
      <c r="QCL7" s="104"/>
      <c r="QCM7" s="104"/>
      <c r="QCN7" s="104"/>
      <c r="QCO7" s="104"/>
      <c r="QCP7" s="104"/>
      <c r="QCQ7" s="104"/>
      <c r="QCR7" s="104"/>
      <c r="QCS7" s="104"/>
      <c r="QCT7" s="104"/>
      <c r="QCU7" s="104"/>
      <c r="QCV7" s="104"/>
      <c r="QCW7" s="104"/>
      <c r="QCX7" s="104"/>
      <c r="QCY7" s="104"/>
      <c r="QCZ7" s="104"/>
      <c r="QDA7" s="104"/>
      <c r="QDB7" s="104"/>
      <c r="QDC7" s="104"/>
      <c r="QDD7" s="104"/>
      <c r="QDE7" s="104"/>
      <c r="QDF7" s="104"/>
      <c r="QDG7" s="104"/>
      <c r="QDH7" s="104"/>
      <c r="QDI7" s="104"/>
      <c r="QDJ7" s="104"/>
      <c r="QDK7" s="104"/>
      <c r="QDL7" s="104"/>
      <c r="QDM7" s="104"/>
      <c r="QDN7" s="104"/>
      <c r="QDO7" s="104"/>
      <c r="QDP7" s="104"/>
      <c r="QDQ7" s="104"/>
      <c r="QDR7" s="104"/>
      <c r="QDS7" s="104"/>
      <c r="QDT7" s="104"/>
      <c r="QDU7" s="104"/>
      <c r="QDV7" s="104"/>
      <c r="QDW7" s="104"/>
      <c r="QDX7" s="104"/>
      <c r="QDY7" s="104"/>
      <c r="QDZ7" s="104"/>
      <c r="QEA7" s="104"/>
      <c r="QEB7" s="104"/>
      <c r="QEC7" s="104"/>
      <c r="QED7" s="104"/>
      <c r="QEE7" s="104"/>
      <c r="QEF7" s="104"/>
      <c r="QEG7" s="104"/>
      <c r="QEH7" s="104"/>
      <c r="QEI7" s="104"/>
      <c r="QEJ7" s="104"/>
      <c r="QEK7" s="104"/>
      <c r="QEL7" s="104"/>
      <c r="QEM7" s="104"/>
      <c r="QEN7" s="104"/>
      <c r="QEO7" s="104"/>
      <c r="QEP7" s="104"/>
      <c r="QEQ7" s="104"/>
      <c r="QER7" s="104"/>
      <c r="QES7" s="104"/>
      <c r="QET7" s="104"/>
      <c r="QEU7" s="104"/>
      <c r="QEV7" s="104"/>
      <c r="QEW7" s="104"/>
      <c r="QEX7" s="104"/>
      <c r="QEY7" s="104"/>
      <c r="QEZ7" s="104"/>
      <c r="QFA7" s="104"/>
      <c r="QFB7" s="104"/>
      <c r="QFC7" s="104"/>
      <c r="QFD7" s="104"/>
      <c r="QFE7" s="104"/>
      <c r="QFF7" s="104"/>
      <c r="QFG7" s="104"/>
      <c r="QFH7" s="104"/>
      <c r="QFI7" s="104"/>
      <c r="QFJ7" s="104"/>
      <c r="QFK7" s="104"/>
      <c r="QFL7" s="104"/>
      <c r="QFM7" s="104"/>
      <c r="QFN7" s="104"/>
      <c r="QFO7" s="104"/>
      <c r="QFP7" s="104"/>
      <c r="QFQ7" s="104"/>
      <c r="QFR7" s="104"/>
      <c r="QFS7" s="104"/>
      <c r="QFT7" s="104"/>
      <c r="QFU7" s="104"/>
      <c r="QFV7" s="104"/>
      <c r="QFW7" s="104"/>
      <c r="QFX7" s="104"/>
      <c r="QFY7" s="104"/>
      <c r="QFZ7" s="104"/>
      <c r="QGA7" s="104"/>
      <c r="QGB7" s="104"/>
      <c r="QGC7" s="104"/>
      <c r="QGD7" s="104"/>
      <c r="QGE7" s="104"/>
      <c r="QGF7" s="104"/>
      <c r="QGG7" s="104"/>
      <c r="QGH7" s="104"/>
      <c r="QGI7" s="104"/>
      <c r="QGJ7" s="104"/>
      <c r="QGK7" s="104"/>
      <c r="QGL7" s="104"/>
      <c r="QGM7" s="104"/>
      <c r="QGN7" s="104"/>
      <c r="QGO7" s="104"/>
      <c r="QGP7" s="104"/>
      <c r="QGQ7" s="104"/>
      <c r="QGR7" s="104"/>
      <c r="QGS7" s="104"/>
      <c r="QGT7" s="104"/>
      <c r="QGU7" s="104"/>
      <c r="QGV7" s="104"/>
      <c r="QGW7" s="104"/>
      <c r="QGX7" s="104"/>
      <c r="QGY7" s="104"/>
      <c r="QGZ7" s="104"/>
      <c r="QHA7" s="104"/>
      <c r="QHB7" s="104"/>
      <c r="QHC7" s="104"/>
      <c r="QHD7" s="104"/>
      <c r="QHE7" s="104"/>
      <c r="QHF7" s="104"/>
      <c r="QHG7" s="104"/>
      <c r="QHH7" s="104"/>
      <c r="QHI7" s="104"/>
      <c r="QHJ7" s="104"/>
      <c r="QHK7" s="104"/>
      <c r="QHL7" s="104"/>
      <c r="QHM7" s="104"/>
      <c r="QHN7" s="104"/>
      <c r="QHO7" s="104"/>
      <c r="QHP7" s="104"/>
      <c r="QHQ7" s="104"/>
      <c r="QHR7" s="104"/>
      <c r="QHS7" s="104"/>
      <c r="QHT7" s="104"/>
      <c r="QHU7" s="104"/>
      <c r="QHV7" s="104"/>
      <c r="QHW7" s="104"/>
      <c r="QHX7" s="104"/>
      <c r="QHY7" s="104"/>
      <c r="QHZ7" s="104"/>
      <c r="QIA7" s="104"/>
      <c r="QIB7" s="104"/>
      <c r="QIC7" s="104"/>
      <c r="QID7" s="104"/>
      <c r="QIE7" s="104"/>
      <c r="QIF7" s="104"/>
      <c r="QIG7" s="104"/>
      <c r="QIH7" s="104"/>
      <c r="QII7" s="104"/>
      <c r="QIJ7" s="104"/>
      <c r="QIK7" s="104"/>
      <c r="QIL7" s="104"/>
      <c r="QIM7" s="104"/>
      <c r="QIN7" s="104"/>
      <c r="QIO7" s="104"/>
      <c r="QIP7" s="104"/>
      <c r="QIQ7" s="104"/>
      <c r="QIR7" s="104"/>
      <c r="QIS7" s="104"/>
      <c r="QIT7" s="104"/>
      <c r="QIU7" s="104"/>
      <c r="QIV7" s="104"/>
      <c r="QIW7" s="104"/>
      <c r="QIX7" s="104"/>
      <c r="QIY7" s="104"/>
      <c r="QIZ7" s="104"/>
      <c r="QJA7" s="104"/>
      <c r="QJB7" s="104"/>
      <c r="QJC7" s="104"/>
      <c r="QJD7" s="104"/>
      <c r="QJE7" s="104"/>
      <c r="QJF7" s="104"/>
      <c r="QJG7" s="104"/>
      <c r="QJH7" s="104"/>
      <c r="QJI7" s="104"/>
      <c r="QJJ7" s="104"/>
      <c r="QJK7" s="104"/>
      <c r="QJL7" s="104"/>
      <c r="QJM7" s="104"/>
      <c r="QJN7" s="104"/>
      <c r="QJO7" s="104"/>
      <c r="QJP7" s="104"/>
      <c r="QJQ7" s="104"/>
      <c r="QJR7" s="104"/>
      <c r="QJS7" s="104"/>
      <c r="QJT7" s="104"/>
      <c r="QJU7" s="104"/>
      <c r="QJV7" s="104"/>
      <c r="QJW7" s="104"/>
      <c r="QJX7" s="104"/>
      <c r="QJY7" s="104"/>
      <c r="QJZ7" s="104"/>
      <c r="QKA7" s="104"/>
      <c r="QKB7" s="104"/>
      <c r="QKC7" s="104"/>
      <c r="QKD7" s="104"/>
      <c r="QKE7" s="104"/>
      <c r="QKF7" s="104"/>
      <c r="QKG7" s="104"/>
      <c r="QKH7" s="104"/>
      <c r="QKI7" s="104"/>
      <c r="QKJ7" s="104"/>
      <c r="QKK7" s="104"/>
      <c r="QKL7" s="104"/>
      <c r="QKM7" s="104"/>
      <c r="QKN7" s="104"/>
      <c r="QKO7" s="104"/>
      <c r="QKP7" s="104"/>
      <c r="QKQ7" s="104"/>
      <c r="QKR7" s="104"/>
      <c r="QKS7" s="104"/>
      <c r="QKT7" s="104"/>
      <c r="QKU7" s="104"/>
      <c r="QKV7" s="104"/>
      <c r="QKW7" s="104"/>
      <c r="QKX7" s="104"/>
      <c r="QKY7" s="104"/>
      <c r="QKZ7" s="104"/>
      <c r="QLA7" s="104"/>
      <c r="QLB7" s="104"/>
      <c r="QLC7" s="104"/>
      <c r="QLD7" s="104"/>
      <c r="QLE7" s="104"/>
      <c r="QLF7" s="104"/>
      <c r="QLG7" s="104"/>
      <c r="QLH7" s="104"/>
      <c r="QLI7" s="104"/>
      <c r="QLJ7" s="104"/>
      <c r="QLK7" s="104"/>
      <c r="QLL7" s="104"/>
      <c r="QLM7" s="104"/>
      <c r="QLN7" s="104"/>
      <c r="QLO7" s="104"/>
      <c r="QLP7" s="104"/>
      <c r="QLQ7" s="104"/>
      <c r="QLR7" s="104"/>
      <c r="QLS7" s="104"/>
      <c r="QLT7" s="104"/>
      <c r="QLU7" s="104"/>
      <c r="QLV7" s="104"/>
      <c r="QLW7" s="104"/>
      <c r="QLX7" s="104"/>
      <c r="QLY7" s="104"/>
      <c r="QLZ7" s="104"/>
      <c r="QMA7" s="104"/>
      <c r="QMB7" s="104"/>
      <c r="QMC7" s="104"/>
      <c r="QMD7" s="104"/>
      <c r="QME7" s="104"/>
      <c r="QMF7" s="104"/>
      <c r="QMG7" s="104"/>
      <c r="QMH7" s="104"/>
      <c r="QMI7" s="104"/>
      <c r="QMJ7" s="104"/>
      <c r="QMK7" s="104"/>
      <c r="QML7" s="104"/>
      <c r="QMM7" s="104"/>
      <c r="QMN7" s="104"/>
      <c r="QMO7" s="104"/>
      <c r="QMP7" s="104"/>
      <c r="QMQ7" s="104"/>
      <c r="QMR7" s="104"/>
      <c r="QMS7" s="104"/>
      <c r="QMT7" s="104"/>
      <c r="QMU7" s="104"/>
      <c r="QMV7" s="104"/>
      <c r="QMW7" s="104"/>
      <c r="QMX7" s="104"/>
      <c r="QMY7" s="104"/>
      <c r="QMZ7" s="104"/>
      <c r="QNA7" s="104"/>
      <c r="QNB7" s="104"/>
      <c r="QNC7" s="104"/>
      <c r="QND7" s="104"/>
      <c r="QNE7" s="104"/>
      <c r="QNF7" s="104"/>
      <c r="QNG7" s="104"/>
      <c r="QNH7" s="104"/>
      <c r="QNI7" s="104"/>
      <c r="QNJ7" s="104"/>
      <c r="QNK7" s="104"/>
      <c r="QNL7" s="104"/>
      <c r="QNM7" s="104"/>
      <c r="QNN7" s="104"/>
      <c r="QNO7" s="104"/>
      <c r="QNP7" s="104"/>
      <c r="QNQ7" s="104"/>
      <c r="QNR7" s="104"/>
      <c r="QNS7" s="104"/>
      <c r="QNT7" s="104"/>
      <c r="QNU7" s="104"/>
      <c r="QNV7" s="104"/>
      <c r="QNW7" s="104"/>
      <c r="QNX7" s="104"/>
      <c r="QNY7" s="104"/>
      <c r="QNZ7" s="104"/>
      <c r="QOA7" s="104"/>
      <c r="QOB7" s="104"/>
      <c r="QOC7" s="104"/>
      <c r="QOD7" s="104"/>
      <c r="QOE7" s="104"/>
      <c r="QOF7" s="104"/>
      <c r="QOG7" s="104"/>
      <c r="QOH7" s="104"/>
      <c r="QOI7" s="104"/>
      <c r="QOJ7" s="104"/>
      <c r="QOK7" s="104"/>
      <c r="QOL7" s="104"/>
      <c r="QOM7" s="104"/>
      <c r="QON7" s="104"/>
      <c r="QOO7" s="104"/>
      <c r="QOP7" s="104"/>
      <c r="QOQ7" s="104"/>
      <c r="QOR7" s="104"/>
      <c r="QOS7" s="104"/>
      <c r="QOT7" s="104"/>
      <c r="QOU7" s="104"/>
      <c r="QOV7" s="104"/>
      <c r="QOW7" s="104"/>
      <c r="QOX7" s="104"/>
      <c r="QOY7" s="104"/>
      <c r="QOZ7" s="104"/>
      <c r="QPA7" s="104"/>
      <c r="QPB7" s="104"/>
      <c r="QPC7" s="104"/>
      <c r="QPD7" s="104"/>
      <c r="QPE7" s="104"/>
      <c r="QPF7" s="104"/>
      <c r="QPG7" s="104"/>
      <c r="QPH7" s="104"/>
      <c r="QPI7" s="104"/>
      <c r="QPJ7" s="104"/>
      <c r="QPK7" s="104"/>
      <c r="QPL7" s="104"/>
      <c r="QPM7" s="104"/>
      <c r="QPN7" s="104"/>
      <c r="QPO7" s="104"/>
      <c r="QPP7" s="104"/>
      <c r="QPQ7" s="104"/>
      <c r="QPR7" s="104"/>
      <c r="QPS7" s="104"/>
      <c r="QPT7" s="104"/>
      <c r="QPU7" s="104"/>
      <c r="QPV7" s="104"/>
      <c r="QPW7" s="104"/>
      <c r="QPX7" s="104"/>
      <c r="QPY7" s="104"/>
      <c r="QPZ7" s="104"/>
      <c r="QQA7" s="104"/>
      <c r="QQB7" s="104"/>
      <c r="QQC7" s="104"/>
      <c r="QQD7" s="104"/>
      <c r="QQE7" s="104"/>
      <c r="QQF7" s="104"/>
      <c r="QQG7" s="104"/>
      <c r="QQH7" s="104"/>
      <c r="QQI7" s="104"/>
      <c r="QQJ7" s="104"/>
      <c r="QQK7" s="104"/>
      <c r="QQL7" s="104"/>
      <c r="QQM7" s="104"/>
      <c r="QQN7" s="104"/>
      <c r="QQO7" s="104"/>
      <c r="QQP7" s="104"/>
      <c r="QQQ7" s="104"/>
      <c r="QQR7" s="104"/>
      <c r="QQS7" s="104"/>
      <c r="QQT7" s="104"/>
      <c r="QQU7" s="104"/>
      <c r="QQV7" s="104"/>
      <c r="QQW7" s="104"/>
      <c r="QQX7" s="104"/>
      <c r="QQY7" s="104"/>
      <c r="QQZ7" s="104"/>
      <c r="QRA7" s="104"/>
      <c r="QRB7" s="104"/>
      <c r="QRC7" s="104"/>
      <c r="QRD7" s="104"/>
      <c r="QRE7" s="104"/>
      <c r="QRF7" s="104"/>
      <c r="QRG7" s="104"/>
      <c r="QRH7" s="104"/>
      <c r="QRI7" s="104"/>
      <c r="QRJ7" s="104"/>
      <c r="QRK7" s="104"/>
      <c r="QRL7" s="104"/>
      <c r="QRM7" s="104"/>
      <c r="QRN7" s="104"/>
      <c r="QRO7" s="104"/>
      <c r="QRP7" s="104"/>
      <c r="QRQ7" s="104"/>
      <c r="QRR7" s="104"/>
      <c r="QRS7" s="104"/>
      <c r="QRT7" s="104"/>
      <c r="QRU7" s="104"/>
      <c r="QRV7" s="104"/>
      <c r="QRW7" s="104"/>
      <c r="QRX7" s="104"/>
      <c r="QRY7" s="104"/>
      <c r="QRZ7" s="104"/>
      <c r="QSA7" s="104"/>
      <c r="QSB7" s="104"/>
      <c r="QSC7" s="104"/>
      <c r="QSD7" s="104"/>
      <c r="QSE7" s="104"/>
      <c r="QSF7" s="104"/>
      <c r="QSG7" s="104"/>
      <c r="QSH7" s="104"/>
      <c r="QSI7" s="104"/>
      <c r="QSJ7" s="104"/>
      <c r="QSK7" s="104"/>
      <c r="QSL7" s="104"/>
      <c r="QSM7" s="104"/>
      <c r="QSN7" s="104"/>
      <c r="QSO7" s="104"/>
      <c r="QSP7" s="104"/>
      <c r="QSQ7" s="104"/>
      <c r="QSR7" s="104"/>
      <c r="QSS7" s="104"/>
      <c r="QST7" s="104"/>
      <c r="QSU7" s="104"/>
      <c r="QSV7" s="104"/>
      <c r="QSW7" s="104"/>
      <c r="QSX7" s="104"/>
      <c r="QSY7" s="104"/>
      <c r="QSZ7" s="104"/>
      <c r="QTA7" s="104"/>
      <c r="QTB7" s="104"/>
      <c r="QTC7" s="104"/>
      <c r="QTD7" s="104"/>
      <c r="QTE7" s="104"/>
      <c r="QTF7" s="104"/>
      <c r="QTG7" s="104"/>
      <c r="QTH7" s="104"/>
      <c r="QTI7" s="104"/>
      <c r="QTJ7" s="104"/>
      <c r="QTK7" s="104"/>
      <c r="QTL7" s="104"/>
      <c r="QTM7" s="104"/>
      <c r="QTN7" s="104"/>
      <c r="QTO7" s="104"/>
      <c r="QTP7" s="104"/>
      <c r="QTQ7" s="104"/>
      <c r="QTR7" s="104"/>
      <c r="QTS7" s="104"/>
      <c r="QTT7" s="104"/>
      <c r="QTU7" s="104"/>
      <c r="QTV7" s="104"/>
      <c r="QTW7" s="104"/>
      <c r="QTX7" s="104"/>
      <c r="QTY7" s="104"/>
      <c r="QTZ7" s="104"/>
      <c r="QUA7" s="104"/>
      <c r="QUB7" s="104"/>
      <c r="QUC7" s="104"/>
      <c r="QUD7" s="104"/>
      <c r="QUE7" s="104"/>
      <c r="QUF7" s="104"/>
      <c r="QUG7" s="104"/>
      <c r="QUH7" s="104"/>
      <c r="QUI7" s="104"/>
      <c r="QUJ7" s="104"/>
      <c r="QUK7" s="104"/>
      <c r="QUL7" s="104"/>
      <c r="QUM7" s="104"/>
      <c r="QUN7" s="104"/>
      <c r="QUO7" s="104"/>
      <c r="QUP7" s="104"/>
      <c r="QUQ7" s="104"/>
      <c r="QUR7" s="104"/>
      <c r="QUS7" s="104"/>
      <c r="QUT7" s="104"/>
      <c r="QUU7" s="104"/>
      <c r="QUV7" s="104"/>
      <c r="QUW7" s="104"/>
      <c r="QUX7" s="104"/>
      <c r="QUY7" s="104"/>
      <c r="QUZ7" s="104"/>
      <c r="QVA7" s="104"/>
      <c r="QVB7" s="104"/>
      <c r="QVC7" s="104"/>
      <c r="QVD7" s="104"/>
      <c r="QVE7" s="104"/>
      <c r="QVF7" s="104"/>
      <c r="QVG7" s="104"/>
      <c r="QVH7" s="104"/>
      <c r="QVI7" s="104"/>
      <c r="QVJ7" s="104"/>
      <c r="QVK7" s="104"/>
      <c r="QVL7" s="104"/>
      <c r="QVM7" s="104"/>
      <c r="QVN7" s="104"/>
      <c r="QVO7" s="104"/>
      <c r="QVP7" s="104"/>
      <c r="QVQ7" s="104"/>
      <c r="QVR7" s="104"/>
      <c r="QVS7" s="104"/>
      <c r="QVT7" s="104"/>
      <c r="QVU7" s="104"/>
      <c r="QVV7" s="104"/>
      <c r="QVW7" s="104"/>
      <c r="QVX7" s="104"/>
      <c r="QVY7" s="104"/>
      <c r="QVZ7" s="104"/>
      <c r="QWA7" s="104"/>
      <c r="QWB7" s="104"/>
      <c r="QWC7" s="104"/>
      <c r="QWD7" s="104"/>
      <c r="QWE7" s="104"/>
      <c r="QWF7" s="104"/>
      <c r="QWG7" s="104"/>
      <c r="QWH7" s="104"/>
      <c r="QWI7" s="104"/>
      <c r="QWJ7" s="104"/>
      <c r="QWK7" s="104"/>
      <c r="QWL7" s="104"/>
      <c r="QWM7" s="104"/>
      <c r="QWN7" s="104"/>
      <c r="QWO7" s="104"/>
      <c r="QWP7" s="104"/>
      <c r="QWQ7" s="104"/>
      <c r="QWR7" s="104"/>
      <c r="QWS7" s="104"/>
      <c r="QWT7" s="104"/>
      <c r="QWU7" s="104"/>
      <c r="QWV7" s="104"/>
      <c r="QWW7" s="104"/>
      <c r="QWX7" s="104"/>
      <c r="QWY7" s="104"/>
      <c r="QWZ7" s="104"/>
      <c r="QXA7" s="104"/>
      <c r="QXB7" s="104"/>
      <c r="QXC7" s="104"/>
      <c r="QXD7" s="104"/>
      <c r="QXE7" s="104"/>
      <c r="QXF7" s="104"/>
      <c r="QXG7" s="104"/>
      <c r="QXH7" s="104"/>
      <c r="QXI7" s="104"/>
      <c r="QXJ7" s="104"/>
      <c r="QXK7" s="104"/>
      <c r="QXL7" s="104"/>
      <c r="QXM7" s="104"/>
      <c r="QXN7" s="104"/>
      <c r="QXO7" s="104"/>
      <c r="QXP7" s="104"/>
      <c r="QXQ7" s="104"/>
      <c r="QXR7" s="104"/>
      <c r="QXS7" s="104"/>
      <c r="QXT7" s="104"/>
      <c r="QXU7" s="104"/>
      <c r="QXV7" s="104"/>
      <c r="QXW7" s="104"/>
      <c r="QXX7" s="104"/>
      <c r="QXY7" s="104"/>
      <c r="QXZ7" s="104"/>
      <c r="QYA7" s="104"/>
      <c r="QYB7" s="104"/>
      <c r="QYC7" s="104"/>
      <c r="QYD7" s="104"/>
      <c r="QYE7" s="104"/>
      <c r="QYF7" s="104"/>
      <c r="QYG7" s="104"/>
      <c r="QYH7" s="104"/>
      <c r="QYI7" s="104"/>
      <c r="QYJ7" s="104"/>
      <c r="QYK7" s="104"/>
      <c r="QYL7" s="104"/>
      <c r="QYM7" s="104"/>
      <c r="QYN7" s="104"/>
      <c r="QYO7" s="104"/>
      <c r="QYP7" s="104"/>
      <c r="QYQ7" s="104"/>
      <c r="QYR7" s="104"/>
      <c r="QYS7" s="104"/>
      <c r="QYT7" s="104"/>
      <c r="QYU7" s="104"/>
      <c r="QYV7" s="104"/>
      <c r="QYW7" s="104"/>
      <c r="QYX7" s="104"/>
      <c r="QYY7" s="104"/>
      <c r="QYZ7" s="104"/>
      <c r="QZA7" s="104"/>
      <c r="QZB7" s="104"/>
      <c r="QZC7" s="104"/>
      <c r="QZD7" s="104"/>
      <c r="QZE7" s="104"/>
      <c r="QZF7" s="104"/>
      <c r="QZG7" s="104"/>
      <c r="QZH7" s="104"/>
      <c r="QZI7" s="104"/>
      <c r="QZJ7" s="104"/>
      <c r="QZK7" s="104"/>
      <c r="QZL7" s="104"/>
      <c r="QZM7" s="104"/>
      <c r="QZN7" s="104"/>
      <c r="QZO7" s="104"/>
      <c r="QZP7" s="104"/>
      <c r="QZQ7" s="104"/>
      <c r="QZR7" s="104"/>
      <c r="QZS7" s="104"/>
      <c r="QZT7" s="104"/>
      <c r="QZU7" s="104"/>
      <c r="QZV7" s="104"/>
      <c r="QZW7" s="104"/>
      <c r="QZX7" s="104"/>
      <c r="QZY7" s="104"/>
      <c r="QZZ7" s="104"/>
      <c r="RAA7" s="104"/>
      <c r="RAB7" s="104"/>
      <c r="RAC7" s="104"/>
      <c r="RAD7" s="104"/>
      <c r="RAE7" s="104"/>
      <c r="RAF7" s="104"/>
      <c r="RAG7" s="104"/>
      <c r="RAH7" s="104"/>
      <c r="RAI7" s="104"/>
      <c r="RAJ7" s="104"/>
      <c r="RAK7" s="104"/>
      <c r="RAL7" s="104"/>
      <c r="RAM7" s="104"/>
      <c r="RAN7" s="104"/>
      <c r="RAO7" s="104"/>
      <c r="RAP7" s="104"/>
      <c r="RAQ7" s="104"/>
      <c r="RAR7" s="104"/>
      <c r="RAS7" s="104"/>
      <c r="RAT7" s="104"/>
      <c r="RAU7" s="104"/>
      <c r="RAV7" s="104"/>
      <c r="RAW7" s="104"/>
      <c r="RAX7" s="104"/>
      <c r="RAY7" s="104"/>
      <c r="RAZ7" s="104"/>
      <c r="RBA7" s="104"/>
      <c r="RBB7" s="104"/>
      <c r="RBC7" s="104"/>
      <c r="RBD7" s="104"/>
      <c r="RBE7" s="104"/>
      <c r="RBF7" s="104"/>
      <c r="RBG7" s="104"/>
      <c r="RBH7" s="104"/>
      <c r="RBI7" s="104"/>
      <c r="RBJ7" s="104"/>
      <c r="RBK7" s="104"/>
      <c r="RBL7" s="104"/>
      <c r="RBM7" s="104"/>
      <c r="RBN7" s="104"/>
      <c r="RBO7" s="104"/>
      <c r="RBP7" s="104"/>
      <c r="RBQ7" s="104"/>
      <c r="RBR7" s="104"/>
      <c r="RBS7" s="104"/>
      <c r="RBT7" s="104"/>
      <c r="RBU7" s="104"/>
      <c r="RBV7" s="104"/>
      <c r="RBW7" s="104"/>
      <c r="RBX7" s="104"/>
      <c r="RBY7" s="104"/>
      <c r="RBZ7" s="104"/>
      <c r="RCA7" s="104"/>
      <c r="RCB7" s="104"/>
      <c r="RCC7" s="104"/>
      <c r="RCD7" s="104"/>
      <c r="RCE7" s="104"/>
      <c r="RCF7" s="104"/>
      <c r="RCG7" s="104"/>
      <c r="RCH7" s="104"/>
      <c r="RCI7" s="104"/>
      <c r="RCJ7" s="104"/>
      <c r="RCK7" s="104"/>
      <c r="RCL7" s="104"/>
      <c r="RCM7" s="104"/>
      <c r="RCN7" s="104"/>
      <c r="RCO7" s="104"/>
      <c r="RCP7" s="104"/>
      <c r="RCQ7" s="104"/>
      <c r="RCR7" s="104"/>
      <c r="RCS7" s="104"/>
      <c r="RCT7" s="104"/>
      <c r="RCU7" s="104"/>
      <c r="RCV7" s="104"/>
      <c r="RCW7" s="104"/>
      <c r="RCX7" s="104"/>
      <c r="RCY7" s="104"/>
      <c r="RCZ7" s="104"/>
      <c r="RDA7" s="104"/>
      <c r="RDB7" s="104"/>
      <c r="RDC7" s="104"/>
      <c r="RDD7" s="104"/>
      <c r="RDE7" s="104"/>
      <c r="RDF7" s="104"/>
      <c r="RDG7" s="104"/>
      <c r="RDH7" s="104"/>
      <c r="RDI7" s="104"/>
      <c r="RDJ7" s="104"/>
      <c r="RDK7" s="104"/>
      <c r="RDL7" s="104"/>
      <c r="RDM7" s="104"/>
      <c r="RDN7" s="104"/>
      <c r="RDO7" s="104"/>
      <c r="RDP7" s="104"/>
      <c r="RDQ7" s="104"/>
      <c r="RDR7" s="104"/>
      <c r="RDS7" s="104"/>
      <c r="RDT7" s="104"/>
      <c r="RDU7" s="104"/>
      <c r="RDV7" s="104"/>
      <c r="RDW7" s="104"/>
      <c r="RDX7" s="104"/>
      <c r="RDY7" s="104"/>
      <c r="RDZ7" s="104"/>
      <c r="REA7" s="104"/>
      <c r="REB7" s="104"/>
      <c r="REC7" s="104"/>
      <c r="RED7" s="104"/>
      <c r="REE7" s="104"/>
      <c r="REF7" s="104"/>
      <c r="REG7" s="104"/>
      <c r="REH7" s="104"/>
      <c r="REI7" s="104"/>
      <c r="REJ7" s="104"/>
      <c r="REK7" s="104"/>
      <c r="REL7" s="104"/>
      <c r="REM7" s="104"/>
      <c r="REN7" s="104"/>
      <c r="REO7" s="104"/>
      <c r="REP7" s="104"/>
      <c r="REQ7" s="104"/>
      <c r="RER7" s="104"/>
      <c r="RES7" s="104"/>
      <c r="RET7" s="104"/>
      <c r="REU7" s="104"/>
      <c r="REV7" s="104"/>
      <c r="REW7" s="104"/>
      <c r="REX7" s="104"/>
      <c r="REY7" s="104"/>
      <c r="REZ7" s="104"/>
      <c r="RFA7" s="104"/>
      <c r="RFB7" s="104"/>
      <c r="RFC7" s="104"/>
      <c r="RFD7" s="104"/>
      <c r="RFE7" s="104"/>
      <c r="RFF7" s="104"/>
      <c r="RFG7" s="104"/>
      <c r="RFH7" s="104"/>
      <c r="RFI7" s="104"/>
      <c r="RFJ7" s="104"/>
      <c r="RFK7" s="104"/>
      <c r="RFL7" s="104"/>
      <c r="RFM7" s="104"/>
      <c r="RFN7" s="104"/>
      <c r="RFO7" s="104"/>
      <c r="RFP7" s="104"/>
      <c r="RFQ7" s="104"/>
      <c r="RFR7" s="104"/>
      <c r="RFS7" s="104"/>
      <c r="RFT7" s="104"/>
      <c r="RFU7" s="104"/>
      <c r="RFV7" s="104"/>
      <c r="RFW7" s="104"/>
      <c r="RFX7" s="104"/>
      <c r="RFY7" s="104"/>
      <c r="RFZ7" s="104"/>
      <c r="RGA7" s="104"/>
      <c r="RGB7" s="104"/>
      <c r="RGC7" s="104"/>
      <c r="RGD7" s="104"/>
      <c r="RGE7" s="104"/>
      <c r="RGF7" s="104"/>
      <c r="RGG7" s="104"/>
      <c r="RGH7" s="104"/>
      <c r="RGI7" s="104"/>
      <c r="RGJ7" s="104"/>
      <c r="RGK7" s="104"/>
      <c r="RGL7" s="104"/>
      <c r="RGM7" s="104"/>
      <c r="RGN7" s="104"/>
      <c r="RGO7" s="104"/>
      <c r="RGP7" s="104"/>
      <c r="RGQ7" s="104"/>
      <c r="RGR7" s="104"/>
      <c r="RGS7" s="104"/>
      <c r="RGT7" s="104"/>
      <c r="RGU7" s="104"/>
      <c r="RGV7" s="104"/>
      <c r="RGW7" s="104"/>
      <c r="RGX7" s="104"/>
      <c r="RGY7" s="104"/>
      <c r="RGZ7" s="104"/>
      <c r="RHA7" s="104"/>
      <c r="RHB7" s="104"/>
      <c r="RHC7" s="104"/>
      <c r="RHD7" s="104"/>
      <c r="RHE7" s="104"/>
      <c r="RHF7" s="104"/>
      <c r="RHG7" s="104"/>
      <c r="RHH7" s="104"/>
      <c r="RHI7" s="104"/>
      <c r="RHJ7" s="104"/>
      <c r="RHK7" s="104"/>
      <c r="RHL7" s="104"/>
      <c r="RHM7" s="104"/>
      <c r="RHN7" s="104"/>
      <c r="RHO7" s="104"/>
      <c r="RHP7" s="104"/>
      <c r="RHQ7" s="104"/>
      <c r="RHR7" s="104"/>
      <c r="RHS7" s="104"/>
      <c r="RHT7" s="104"/>
      <c r="RHU7" s="104"/>
      <c r="RHV7" s="104"/>
      <c r="RHW7" s="104"/>
      <c r="RHX7" s="104"/>
      <c r="RHY7" s="104"/>
      <c r="RHZ7" s="104"/>
      <c r="RIA7" s="104"/>
      <c r="RIB7" s="104"/>
      <c r="RIC7" s="104"/>
      <c r="RID7" s="104"/>
      <c r="RIE7" s="104"/>
      <c r="RIF7" s="104"/>
      <c r="RIG7" s="104"/>
      <c r="RIH7" s="104"/>
      <c r="RII7" s="104"/>
      <c r="RIJ7" s="104"/>
      <c r="RIK7" s="104"/>
      <c r="RIL7" s="104"/>
      <c r="RIM7" s="104"/>
      <c r="RIN7" s="104"/>
      <c r="RIO7" s="104"/>
      <c r="RIP7" s="104"/>
      <c r="RIQ7" s="104"/>
      <c r="RIR7" s="104"/>
      <c r="RIS7" s="104"/>
      <c r="RIT7" s="104"/>
      <c r="RIU7" s="104"/>
      <c r="RIV7" s="104"/>
      <c r="RIW7" s="104"/>
      <c r="RIX7" s="104"/>
      <c r="RIY7" s="104"/>
      <c r="RIZ7" s="104"/>
      <c r="RJA7" s="104"/>
      <c r="RJB7" s="104"/>
      <c r="RJC7" s="104"/>
      <c r="RJD7" s="104"/>
      <c r="RJE7" s="104"/>
      <c r="RJF7" s="104"/>
      <c r="RJG7" s="104"/>
      <c r="RJH7" s="104"/>
      <c r="RJI7" s="104"/>
      <c r="RJJ7" s="104"/>
      <c r="RJK7" s="104"/>
      <c r="RJL7" s="104"/>
      <c r="RJM7" s="104"/>
      <c r="RJN7" s="104"/>
      <c r="RJO7" s="104"/>
      <c r="RJP7" s="104"/>
      <c r="RJQ7" s="104"/>
      <c r="RJR7" s="104"/>
      <c r="RJS7" s="104"/>
      <c r="RJT7" s="104"/>
      <c r="RJU7" s="104"/>
      <c r="RJV7" s="104"/>
      <c r="RJW7" s="104"/>
      <c r="RJX7" s="104"/>
      <c r="RJY7" s="104"/>
      <c r="RJZ7" s="104"/>
      <c r="RKA7" s="104"/>
      <c r="RKB7" s="104"/>
      <c r="RKC7" s="104"/>
      <c r="RKD7" s="104"/>
      <c r="RKE7" s="104"/>
      <c r="RKF7" s="104"/>
      <c r="RKG7" s="104"/>
      <c r="RKH7" s="104"/>
      <c r="RKI7" s="104"/>
      <c r="RKJ7" s="104"/>
      <c r="RKK7" s="104"/>
      <c r="RKL7" s="104"/>
      <c r="RKM7" s="104"/>
      <c r="RKN7" s="104"/>
      <c r="RKO7" s="104"/>
      <c r="RKP7" s="104"/>
      <c r="RKQ7" s="104"/>
      <c r="RKR7" s="104"/>
      <c r="RKS7" s="104"/>
      <c r="RKT7" s="104"/>
      <c r="RKU7" s="104"/>
      <c r="RKV7" s="104"/>
      <c r="RKW7" s="104"/>
      <c r="RKX7" s="104"/>
      <c r="RKY7" s="104"/>
      <c r="RKZ7" s="104"/>
      <c r="RLA7" s="104"/>
      <c r="RLB7" s="104"/>
      <c r="RLC7" s="104"/>
      <c r="RLD7" s="104"/>
      <c r="RLE7" s="104"/>
      <c r="RLF7" s="104"/>
      <c r="RLG7" s="104"/>
      <c r="RLH7" s="104"/>
      <c r="RLI7" s="104"/>
      <c r="RLJ7" s="104"/>
      <c r="RLK7" s="104"/>
      <c r="RLL7" s="104"/>
      <c r="RLM7" s="104"/>
      <c r="RLN7" s="104"/>
      <c r="RLO7" s="104"/>
      <c r="RLP7" s="104"/>
      <c r="RLQ7" s="104"/>
      <c r="RLR7" s="104"/>
      <c r="RLS7" s="104"/>
      <c r="RLT7" s="104"/>
      <c r="RLU7" s="104"/>
      <c r="RLV7" s="104"/>
      <c r="RLW7" s="104"/>
      <c r="RLX7" s="104"/>
      <c r="RLY7" s="104"/>
      <c r="RLZ7" s="104"/>
      <c r="RMA7" s="104"/>
      <c r="RMB7" s="104"/>
      <c r="RMC7" s="104"/>
      <c r="RMD7" s="104"/>
      <c r="RME7" s="104"/>
      <c r="RMF7" s="104"/>
      <c r="RMG7" s="104"/>
      <c r="RMH7" s="104"/>
      <c r="RMI7" s="104"/>
      <c r="RMJ7" s="104"/>
      <c r="RMK7" s="104"/>
      <c r="RML7" s="104"/>
      <c r="RMM7" s="104"/>
      <c r="RMN7" s="104"/>
      <c r="RMO7" s="104"/>
      <c r="RMP7" s="104"/>
      <c r="RMQ7" s="104"/>
      <c r="RMR7" s="104"/>
      <c r="RMS7" s="104"/>
      <c r="RMT7" s="104"/>
      <c r="RMU7" s="104"/>
      <c r="RMV7" s="104"/>
      <c r="RMW7" s="104"/>
      <c r="RMX7" s="104"/>
      <c r="RMY7" s="104"/>
      <c r="RMZ7" s="104"/>
      <c r="RNA7" s="104"/>
      <c r="RNB7" s="104"/>
      <c r="RNC7" s="104"/>
      <c r="RND7" s="104"/>
      <c r="RNE7" s="104"/>
      <c r="RNF7" s="104"/>
      <c r="RNG7" s="104"/>
      <c r="RNH7" s="104"/>
      <c r="RNI7" s="104"/>
      <c r="RNJ7" s="104"/>
      <c r="RNK7" s="104"/>
      <c r="RNL7" s="104"/>
      <c r="RNM7" s="104"/>
      <c r="RNN7" s="104"/>
      <c r="RNO7" s="104"/>
      <c r="RNP7" s="104"/>
      <c r="RNQ7" s="104"/>
      <c r="RNR7" s="104"/>
      <c r="RNS7" s="104"/>
      <c r="RNT7" s="104"/>
      <c r="RNU7" s="104"/>
      <c r="RNV7" s="104"/>
      <c r="RNW7" s="104"/>
      <c r="RNX7" s="104"/>
      <c r="RNY7" s="104"/>
      <c r="RNZ7" s="104"/>
      <c r="ROA7" s="104"/>
      <c r="ROB7" s="104"/>
      <c r="ROC7" s="104"/>
      <c r="ROD7" s="104"/>
      <c r="ROE7" s="104"/>
      <c r="ROF7" s="104"/>
      <c r="ROG7" s="104"/>
      <c r="ROH7" s="104"/>
      <c r="ROI7" s="104"/>
      <c r="ROJ7" s="104"/>
      <c r="ROK7" s="104"/>
      <c r="ROL7" s="104"/>
      <c r="ROM7" s="104"/>
      <c r="RON7" s="104"/>
      <c r="ROO7" s="104"/>
      <c r="ROP7" s="104"/>
      <c r="ROQ7" s="104"/>
      <c r="ROR7" s="104"/>
      <c r="ROS7" s="104"/>
      <c r="ROT7" s="104"/>
      <c r="ROU7" s="104"/>
      <c r="ROV7" s="104"/>
      <c r="ROW7" s="104"/>
      <c r="ROX7" s="104"/>
      <c r="ROY7" s="104"/>
      <c r="ROZ7" s="104"/>
      <c r="RPA7" s="104"/>
      <c r="RPB7" s="104"/>
      <c r="RPC7" s="104"/>
      <c r="RPD7" s="104"/>
      <c r="RPE7" s="104"/>
      <c r="RPF7" s="104"/>
      <c r="RPG7" s="104"/>
      <c r="RPH7" s="104"/>
      <c r="RPI7" s="104"/>
      <c r="RPJ7" s="104"/>
      <c r="RPK7" s="104"/>
      <c r="RPL7" s="104"/>
      <c r="RPM7" s="104"/>
      <c r="RPN7" s="104"/>
      <c r="RPO7" s="104"/>
      <c r="RPP7" s="104"/>
      <c r="RPQ7" s="104"/>
      <c r="RPR7" s="104"/>
      <c r="RPS7" s="104"/>
      <c r="RPT7" s="104"/>
      <c r="RPU7" s="104"/>
      <c r="RPV7" s="104"/>
      <c r="RPW7" s="104"/>
      <c r="RPX7" s="104"/>
      <c r="RPY7" s="104"/>
      <c r="RPZ7" s="104"/>
      <c r="RQA7" s="104"/>
      <c r="RQB7" s="104"/>
      <c r="RQC7" s="104"/>
      <c r="RQD7" s="104"/>
      <c r="RQE7" s="104"/>
      <c r="RQF7" s="104"/>
      <c r="RQG7" s="104"/>
      <c r="RQH7" s="104"/>
      <c r="RQI7" s="104"/>
      <c r="RQJ7" s="104"/>
      <c r="RQK7" s="104"/>
      <c r="RQL7" s="104"/>
      <c r="RQM7" s="104"/>
      <c r="RQN7" s="104"/>
      <c r="RQO7" s="104"/>
      <c r="RQP7" s="104"/>
      <c r="RQQ7" s="104"/>
      <c r="RQR7" s="104"/>
      <c r="RQS7" s="104"/>
      <c r="RQT7" s="104"/>
      <c r="RQU7" s="104"/>
      <c r="RQV7" s="104"/>
      <c r="RQW7" s="104"/>
      <c r="RQX7" s="104"/>
      <c r="RQY7" s="104"/>
      <c r="RQZ7" s="104"/>
      <c r="RRA7" s="104"/>
      <c r="RRB7" s="104"/>
      <c r="RRC7" s="104"/>
      <c r="RRD7" s="104"/>
      <c r="RRE7" s="104"/>
      <c r="RRF7" s="104"/>
      <c r="RRG7" s="104"/>
      <c r="RRH7" s="104"/>
      <c r="RRI7" s="104"/>
      <c r="RRJ7" s="104"/>
      <c r="RRK7" s="104"/>
      <c r="RRL7" s="104"/>
      <c r="RRM7" s="104"/>
      <c r="RRN7" s="104"/>
      <c r="RRO7" s="104"/>
      <c r="RRP7" s="104"/>
      <c r="RRQ7" s="104"/>
      <c r="RRR7" s="104"/>
      <c r="RRS7" s="104"/>
      <c r="RRT7" s="104"/>
      <c r="RRU7" s="104"/>
      <c r="RRV7" s="104"/>
      <c r="RRW7" s="104"/>
      <c r="RRX7" s="104"/>
      <c r="RRY7" s="104"/>
      <c r="RRZ7" s="104"/>
      <c r="RSA7" s="104"/>
      <c r="RSB7" s="104"/>
      <c r="RSC7" s="104"/>
      <c r="RSD7" s="104"/>
      <c r="RSE7" s="104"/>
      <c r="RSF7" s="104"/>
      <c r="RSG7" s="104"/>
      <c r="RSH7" s="104"/>
      <c r="RSI7" s="104"/>
      <c r="RSJ7" s="104"/>
      <c r="RSK7" s="104"/>
      <c r="RSL7" s="104"/>
      <c r="RSM7" s="104"/>
      <c r="RSN7" s="104"/>
      <c r="RSO7" s="104"/>
      <c r="RSP7" s="104"/>
      <c r="RSQ7" s="104"/>
      <c r="RSR7" s="104"/>
      <c r="RSS7" s="104"/>
      <c r="RST7" s="104"/>
      <c r="RSU7" s="104"/>
      <c r="RSV7" s="104"/>
      <c r="RSW7" s="104"/>
      <c r="RSX7" s="104"/>
      <c r="RSY7" s="104"/>
      <c r="RSZ7" s="104"/>
      <c r="RTA7" s="104"/>
      <c r="RTB7" s="104"/>
      <c r="RTC7" s="104"/>
      <c r="RTD7" s="104"/>
      <c r="RTE7" s="104"/>
      <c r="RTF7" s="104"/>
      <c r="RTG7" s="104"/>
      <c r="RTH7" s="104"/>
      <c r="RTI7" s="104"/>
      <c r="RTJ7" s="104"/>
      <c r="RTK7" s="104"/>
      <c r="RTL7" s="104"/>
      <c r="RTM7" s="104"/>
      <c r="RTN7" s="104"/>
      <c r="RTO7" s="104"/>
      <c r="RTP7" s="104"/>
      <c r="RTQ7" s="104"/>
      <c r="RTR7" s="104"/>
      <c r="RTS7" s="104"/>
      <c r="RTT7" s="104"/>
      <c r="RTU7" s="104"/>
      <c r="RTV7" s="104"/>
      <c r="RTW7" s="104"/>
      <c r="RTX7" s="104"/>
      <c r="RTY7" s="104"/>
      <c r="RTZ7" s="104"/>
      <c r="RUA7" s="104"/>
      <c r="RUB7" s="104"/>
      <c r="RUC7" s="104"/>
      <c r="RUD7" s="104"/>
      <c r="RUE7" s="104"/>
      <c r="RUF7" s="104"/>
      <c r="RUG7" s="104"/>
      <c r="RUH7" s="104"/>
      <c r="RUI7" s="104"/>
      <c r="RUJ7" s="104"/>
      <c r="RUK7" s="104"/>
      <c r="RUL7" s="104"/>
      <c r="RUM7" s="104"/>
      <c r="RUN7" s="104"/>
      <c r="RUO7" s="104"/>
      <c r="RUP7" s="104"/>
      <c r="RUQ7" s="104"/>
      <c r="RUR7" s="104"/>
      <c r="RUS7" s="104"/>
      <c r="RUT7" s="104"/>
      <c r="RUU7" s="104"/>
      <c r="RUV7" s="104"/>
      <c r="RUW7" s="104"/>
      <c r="RUX7" s="104"/>
      <c r="RUY7" s="104"/>
      <c r="RUZ7" s="104"/>
      <c r="RVA7" s="104"/>
      <c r="RVB7" s="104"/>
      <c r="RVC7" s="104"/>
      <c r="RVD7" s="104"/>
      <c r="RVE7" s="104"/>
      <c r="RVF7" s="104"/>
      <c r="RVG7" s="104"/>
      <c r="RVH7" s="104"/>
      <c r="RVI7" s="104"/>
      <c r="RVJ7" s="104"/>
      <c r="RVK7" s="104"/>
      <c r="RVL7" s="104"/>
      <c r="RVM7" s="104"/>
      <c r="RVN7" s="104"/>
      <c r="RVO7" s="104"/>
      <c r="RVP7" s="104"/>
      <c r="RVQ7" s="104"/>
      <c r="RVR7" s="104"/>
      <c r="RVS7" s="104"/>
      <c r="RVT7" s="104"/>
      <c r="RVU7" s="104"/>
      <c r="RVV7" s="104"/>
      <c r="RVW7" s="104"/>
      <c r="RVX7" s="104"/>
      <c r="RVY7" s="104"/>
      <c r="RVZ7" s="104"/>
      <c r="RWA7" s="104"/>
      <c r="RWB7" s="104"/>
      <c r="RWC7" s="104"/>
      <c r="RWD7" s="104"/>
      <c r="RWE7" s="104"/>
      <c r="RWF7" s="104"/>
      <c r="RWG7" s="104"/>
      <c r="RWH7" s="104"/>
      <c r="RWI7" s="104"/>
      <c r="RWJ7" s="104"/>
      <c r="RWK7" s="104"/>
      <c r="RWL7" s="104"/>
      <c r="RWM7" s="104"/>
      <c r="RWN7" s="104"/>
      <c r="RWO7" s="104"/>
      <c r="RWP7" s="104"/>
      <c r="RWQ7" s="104"/>
      <c r="RWR7" s="104"/>
      <c r="RWS7" s="104"/>
      <c r="RWT7" s="104"/>
      <c r="RWU7" s="104"/>
      <c r="RWV7" s="104"/>
      <c r="RWW7" s="104"/>
      <c r="RWX7" s="104"/>
      <c r="RWY7" s="104"/>
      <c r="RWZ7" s="104"/>
      <c r="RXA7" s="104"/>
      <c r="RXB7" s="104"/>
      <c r="RXC7" s="104"/>
      <c r="RXD7" s="104"/>
      <c r="RXE7" s="104"/>
      <c r="RXF7" s="104"/>
      <c r="RXG7" s="104"/>
      <c r="RXH7" s="104"/>
      <c r="RXI7" s="104"/>
      <c r="RXJ7" s="104"/>
      <c r="RXK7" s="104"/>
      <c r="RXL7" s="104"/>
      <c r="RXM7" s="104"/>
      <c r="RXN7" s="104"/>
      <c r="RXO7" s="104"/>
      <c r="RXP7" s="104"/>
      <c r="RXQ7" s="104"/>
      <c r="RXR7" s="104"/>
      <c r="RXS7" s="104"/>
      <c r="RXT7" s="104"/>
      <c r="RXU7" s="104"/>
      <c r="RXV7" s="104"/>
      <c r="RXW7" s="104"/>
      <c r="RXX7" s="104"/>
      <c r="RXY7" s="104"/>
      <c r="RXZ7" s="104"/>
      <c r="RYA7" s="104"/>
      <c r="RYB7" s="104"/>
      <c r="RYC7" s="104"/>
      <c r="RYD7" s="104"/>
      <c r="RYE7" s="104"/>
      <c r="RYF7" s="104"/>
      <c r="RYG7" s="104"/>
      <c r="RYH7" s="104"/>
      <c r="RYI7" s="104"/>
      <c r="RYJ7" s="104"/>
      <c r="RYK7" s="104"/>
      <c r="RYL7" s="104"/>
      <c r="RYM7" s="104"/>
      <c r="RYN7" s="104"/>
      <c r="RYO7" s="104"/>
      <c r="RYP7" s="104"/>
      <c r="RYQ7" s="104"/>
      <c r="RYR7" s="104"/>
      <c r="RYS7" s="104"/>
      <c r="RYT7" s="104"/>
      <c r="RYU7" s="104"/>
      <c r="RYV7" s="104"/>
      <c r="RYW7" s="104"/>
      <c r="RYX7" s="104"/>
      <c r="RYY7" s="104"/>
      <c r="RYZ7" s="104"/>
      <c r="RZA7" s="104"/>
      <c r="RZB7" s="104"/>
      <c r="RZC7" s="104"/>
      <c r="RZD7" s="104"/>
      <c r="RZE7" s="104"/>
      <c r="RZF7" s="104"/>
      <c r="RZG7" s="104"/>
      <c r="RZH7" s="104"/>
      <c r="RZI7" s="104"/>
      <c r="RZJ7" s="104"/>
      <c r="RZK7" s="104"/>
      <c r="RZL7" s="104"/>
      <c r="RZM7" s="104"/>
      <c r="RZN7" s="104"/>
      <c r="RZO7" s="104"/>
      <c r="RZP7" s="104"/>
      <c r="RZQ7" s="104"/>
      <c r="RZR7" s="104"/>
      <c r="RZS7" s="104"/>
      <c r="RZT7" s="104"/>
      <c r="RZU7" s="104"/>
      <c r="RZV7" s="104"/>
      <c r="RZW7" s="104"/>
      <c r="RZX7" s="104"/>
      <c r="RZY7" s="104"/>
      <c r="RZZ7" s="104"/>
      <c r="SAA7" s="104"/>
      <c r="SAB7" s="104"/>
      <c r="SAC7" s="104"/>
      <c r="SAD7" s="104"/>
      <c r="SAE7" s="104"/>
      <c r="SAF7" s="104"/>
      <c r="SAG7" s="104"/>
      <c r="SAH7" s="104"/>
      <c r="SAI7" s="104"/>
      <c r="SAJ7" s="104"/>
      <c r="SAK7" s="104"/>
      <c r="SAL7" s="104"/>
      <c r="SAM7" s="104"/>
      <c r="SAN7" s="104"/>
      <c r="SAO7" s="104"/>
      <c r="SAP7" s="104"/>
      <c r="SAQ7" s="104"/>
      <c r="SAR7" s="104"/>
      <c r="SAS7" s="104"/>
      <c r="SAT7" s="104"/>
      <c r="SAU7" s="104"/>
      <c r="SAV7" s="104"/>
      <c r="SAW7" s="104"/>
      <c r="SAX7" s="104"/>
      <c r="SAY7" s="104"/>
      <c r="SAZ7" s="104"/>
      <c r="SBA7" s="104"/>
      <c r="SBB7" s="104"/>
      <c r="SBC7" s="104"/>
      <c r="SBD7" s="104"/>
      <c r="SBE7" s="104"/>
      <c r="SBF7" s="104"/>
      <c r="SBG7" s="104"/>
      <c r="SBH7" s="104"/>
      <c r="SBI7" s="104"/>
      <c r="SBJ7" s="104"/>
      <c r="SBK7" s="104"/>
      <c r="SBL7" s="104"/>
      <c r="SBM7" s="104"/>
      <c r="SBN7" s="104"/>
      <c r="SBO7" s="104"/>
      <c r="SBP7" s="104"/>
      <c r="SBQ7" s="104"/>
      <c r="SBR7" s="104"/>
      <c r="SBS7" s="104"/>
      <c r="SBT7" s="104"/>
      <c r="SBU7" s="104"/>
      <c r="SBV7" s="104"/>
      <c r="SBW7" s="104"/>
      <c r="SBX7" s="104"/>
      <c r="SBY7" s="104"/>
      <c r="SBZ7" s="104"/>
      <c r="SCA7" s="104"/>
      <c r="SCB7" s="104"/>
      <c r="SCC7" s="104"/>
      <c r="SCD7" s="104"/>
      <c r="SCE7" s="104"/>
      <c r="SCF7" s="104"/>
      <c r="SCG7" s="104"/>
      <c r="SCH7" s="104"/>
      <c r="SCI7" s="104"/>
      <c r="SCJ7" s="104"/>
      <c r="SCK7" s="104"/>
      <c r="SCL7" s="104"/>
      <c r="SCM7" s="104"/>
      <c r="SCN7" s="104"/>
      <c r="SCO7" s="104"/>
      <c r="SCP7" s="104"/>
      <c r="SCQ7" s="104"/>
      <c r="SCR7" s="104"/>
      <c r="SCS7" s="104"/>
      <c r="SCT7" s="104"/>
      <c r="SCU7" s="104"/>
      <c r="SCV7" s="104"/>
      <c r="SCW7" s="104"/>
      <c r="SCX7" s="104"/>
      <c r="SCY7" s="104"/>
      <c r="SCZ7" s="104"/>
      <c r="SDA7" s="104"/>
      <c r="SDB7" s="104"/>
      <c r="SDC7" s="104"/>
      <c r="SDD7" s="104"/>
      <c r="SDE7" s="104"/>
      <c r="SDF7" s="104"/>
      <c r="SDG7" s="104"/>
      <c r="SDH7" s="104"/>
      <c r="SDI7" s="104"/>
      <c r="SDJ7" s="104"/>
      <c r="SDK7" s="104"/>
      <c r="SDL7" s="104"/>
      <c r="SDM7" s="104"/>
      <c r="SDN7" s="104"/>
      <c r="SDO7" s="104"/>
      <c r="SDP7" s="104"/>
      <c r="SDQ7" s="104"/>
      <c r="SDR7" s="104"/>
      <c r="SDS7" s="104"/>
      <c r="SDT7" s="104"/>
      <c r="SDU7" s="104"/>
      <c r="SDV7" s="104"/>
      <c r="SDW7" s="104"/>
      <c r="SDX7" s="104"/>
      <c r="SDY7" s="104"/>
      <c r="SDZ7" s="104"/>
      <c r="SEA7" s="104"/>
      <c r="SEB7" s="104"/>
      <c r="SEC7" s="104"/>
      <c r="SED7" s="104"/>
      <c r="SEE7" s="104"/>
      <c r="SEF7" s="104"/>
      <c r="SEG7" s="104"/>
      <c r="SEH7" s="104"/>
      <c r="SEI7" s="104"/>
      <c r="SEJ7" s="104"/>
      <c r="SEK7" s="104"/>
      <c r="SEL7" s="104"/>
      <c r="SEM7" s="104"/>
      <c r="SEN7" s="104"/>
      <c r="SEO7" s="104"/>
      <c r="SEP7" s="104"/>
      <c r="SEQ7" s="104"/>
      <c r="SER7" s="104"/>
      <c r="SES7" s="104"/>
      <c r="SET7" s="104"/>
      <c r="SEU7" s="104"/>
      <c r="SEV7" s="104"/>
      <c r="SEW7" s="104"/>
      <c r="SEX7" s="104"/>
      <c r="SEY7" s="104"/>
      <c r="SEZ7" s="104"/>
      <c r="SFA7" s="104"/>
      <c r="SFB7" s="104"/>
      <c r="SFC7" s="104"/>
      <c r="SFD7" s="104"/>
      <c r="SFE7" s="104"/>
      <c r="SFF7" s="104"/>
      <c r="SFG7" s="104"/>
      <c r="SFH7" s="104"/>
      <c r="SFI7" s="104"/>
      <c r="SFJ7" s="104"/>
      <c r="SFK7" s="104"/>
      <c r="SFL7" s="104"/>
      <c r="SFM7" s="104"/>
      <c r="SFN7" s="104"/>
      <c r="SFO7" s="104"/>
      <c r="SFP7" s="104"/>
      <c r="SFQ7" s="104"/>
      <c r="SFR7" s="104"/>
      <c r="SFS7" s="104"/>
      <c r="SFT7" s="104"/>
      <c r="SFU7" s="104"/>
      <c r="SFV7" s="104"/>
      <c r="SFW7" s="104"/>
      <c r="SFX7" s="104"/>
      <c r="SFY7" s="104"/>
      <c r="SFZ7" s="104"/>
      <c r="SGA7" s="104"/>
      <c r="SGB7" s="104"/>
      <c r="SGC7" s="104"/>
      <c r="SGD7" s="104"/>
      <c r="SGE7" s="104"/>
      <c r="SGF7" s="104"/>
      <c r="SGG7" s="104"/>
      <c r="SGH7" s="104"/>
      <c r="SGI7" s="104"/>
      <c r="SGJ7" s="104"/>
      <c r="SGK7" s="104"/>
      <c r="SGL7" s="104"/>
      <c r="SGM7" s="104"/>
      <c r="SGN7" s="104"/>
      <c r="SGO7" s="104"/>
      <c r="SGP7" s="104"/>
      <c r="SGQ7" s="104"/>
      <c r="SGR7" s="104"/>
      <c r="SGS7" s="104"/>
      <c r="SGT7" s="104"/>
      <c r="SGU7" s="104"/>
      <c r="SGV7" s="104"/>
      <c r="SGW7" s="104"/>
      <c r="SGX7" s="104"/>
      <c r="SGY7" s="104"/>
      <c r="SGZ7" s="104"/>
      <c r="SHA7" s="104"/>
      <c r="SHB7" s="104"/>
      <c r="SHC7" s="104"/>
      <c r="SHD7" s="104"/>
      <c r="SHE7" s="104"/>
      <c r="SHF7" s="104"/>
      <c r="SHG7" s="104"/>
      <c r="SHH7" s="104"/>
      <c r="SHI7" s="104"/>
      <c r="SHJ7" s="104"/>
      <c r="SHK7" s="104"/>
      <c r="SHL7" s="104"/>
      <c r="SHM7" s="104"/>
      <c r="SHN7" s="104"/>
      <c r="SHO7" s="104"/>
      <c r="SHP7" s="104"/>
      <c r="SHQ7" s="104"/>
      <c r="SHR7" s="104"/>
      <c r="SHS7" s="104"/>
      <c r="SHT7" s="104"/>
      <c r="SHU7" s="104"/>
      <c r="SHV7" s="104"/>
      <c r="SHW7" s="104"/>
      <c r="SHX7" s="104"/>
      <c r="SHY7" s="104"/>
      <c r="SHZ7" s="104"/>
      <c r="SIA7" s="104"/>
      <c r="SIB7" s="104"/>
      <c r="SIC7" s="104"/>
      <c r="SID7" s="104"/>
      <c r="SIE7" s="104"/>
      <c r="SIF7" s="104"/>
      <c r="SIG7" s="104"/>
      <c r="SIH7" s="104"/>
      <c r="SII7" s="104"/>
      <c r="SIJ7" s="104"/>
      <c r="SIK7" s="104"/>
      <c r="SIL7" s="104"/>
      <c r="SIM7" s="104"/>
      <c r="SIN7" s="104"/>
      <c r="SIO7" s="104"/>
      <c r="SIP7" s="104"/>
      <c r="SIQ7" s="104"/>
      <c r="SIR7" s="104"/>
      <c r="SIS7" s="104"/>
      <c r="SIT7" s="104"/>
      <c r="SIU7" s="104"/>
      <c r="SIV7" s="104"/>
      <c r="SIW7" s="104"/>
      <c r="SIX7" s="104"/>
      <c r="SIY7" s="104"/>
      <c r="SIZ7" s="104"/>
      <c r="SJA7" s="104"/>
      <c r="SJB7" s="104"/>
      <c r="SJC7" s="104"/>
      <c r="SJD7" s="104"/>
      <c r="SJE7" s="104"/>
      <c r="SJF7" s="104"/>
      <c r="SJG7" s="104"/>
      <c r="SJH7" s="104"/>
      <c r="SJI7" s="104"/>
      <c r="SJJ7" s="104"/>
      <c r="SJK7" s="104"/>
      <c r="SJL7" s="104"/>
      <c r="SJM7" s="104"/>
      <c r="SJN7" s="104"/>
      <c r="SJO7" s="104"/>
      <c r="SJP7" s="104"/>
      <c r="SJQ7" s="104"/>
      <c r="SJR7" s="104"/>
      <c r="SJS7" s="104"/>
      <c r="SJT7" s="104"/>
      <c r="SJU7" s="104"/>
      <c r="SJV7" s="104"/>
      <c r="SJW7" s="104"/>
      <c r="SJX7" s="104"/>
      <c r="SJY7" s="104"/>
      <c r="SJZ7" s="104"/>
      <c r="SKA7" s="104"/>
      <c r="SKB7" s="104"/>
      <c r="SKC7" s="104"/>
      <c r="SKD7" s="104"/>
      <c r="SKE7" s="104"/>
      <c r="SKF7" s="104"/>
      <c r="SKG7" s="104"/>
      <c r="SKH7" s="104"/>
      <c r="SKI7" s="104"/>
      <c r="SKJ7" s="104"/>
      <c r="SKK7" s="104"/>
      <c r="SKL7" s="104"/>
      <c r="SKM7" s="104"/>
      <c r="SKN7" s="104"/>
      <c r="SKO7" s="104"/>
      <c r="SKP7" s="104"/>
      <c r="SKQ7" s="104"/>
      <c r="SKR7" s="104"/>
      <c r="SKS7" s="104"/>
      <c r="SKT7" s="104"/>
      <c r="SKU7" s="104"/>
      <c r="SKV7" s="104"/>
      <c r="SKW7" s="104"/>
      <c r="SKX7" s="104"/>
      <c r="SKY7" s="104"/>
      <c r="SKZ7" s="104"/>
      <c r="SLA7" s="104"/>
      <c r="SLB7" s="104"/>
      <c r="SLC7" s="104"/>
      <c r="SLD7" s="104"/>
      <c r="SLE7" s="104"/>
      <c r="SLF7" s="104"/>
      <c r="SLG7" s="104"/>
      <c r="SLH7" s="104"/>
      <c r="SLI7" s="104"/>
      <c r="SLJ7" s="104"/>
      <c r="SLK7" s="104"/>
      <c r="SLL7" s="104"/>
      <c r="SLM7" s="104"/>
      <c r="SLN7" s="104"/>
      <c r="SLO7" s="104"/>
      <c r="SLP7" s="104"/>
      <c r="SLQ7" s="104"/>
      <c r="SLR7" s="104"/>
      <c r="SLS7" s="104"/>
      <c r="SLT7" s="104"/>
      <c r="SLU7" s="104"/>
      <c r="SLV7" s="104"/>
      <c r="SLW7" s="104"/>
      <c r="SLX7" s="104"/>
      <c r="SLY7" s="104"/>
      <c r="SLZ7" s="104"/>
      <c r="SMA7" s="104"/>
      <c r="SMB7" s="104"/>
      <c r="SMC7" s="104"/>
      <c r="SMD7" s="104"/>
      <c r="SME7" s="104"/>
      <c r="SMF7" s="104"/>
      <c r="SMG7" s="104"/>
      <c r="SMH7" s="104"/>
      <c r="SMI7" s="104"/>
      <c r="SMJ7" s="104"/>
      <c r="SMK7" s="104"/>
      <c r="SML7" s="104"/>
      <c r="SMM7" s="104"/>
      <c r="SMN7" s="104"/>
      <c r="SMO7" s="104"/>
      <c r="SMP7" s="104"/>
      <c r="SMQ7" s="104"/>
      <c r="SMR7" s="104"/>
      <c r="SMS7" s="104"/>
      <c r="SMT7" s="104"/>
      <c r="SMU7" s="104"/>
      <c r="SMV7" s="104"/>
      <c r="SMW7" s="104"/>
      <c r="SMX7" s="104"/>
      <c r="SMY7" s="104"/>
      <c r="SMZ7" s="104"/>
      <c r="SNA7" s="104"/>
      <c r="SNB7" s="104"/>
      <c r="SNC7" s="104"/>
      <c r="SND7" s="104"/>
      <c r="SNE7" s="104"/>
      <c r="SNF7" s="104"/>
      <c r="SNG7" s="104"/>
      <c r="SNH7" s="104"/>
      <c r="SNI7" s="104"/>
      <c r="SNJ7" s="104"/>
      <c r="SNK7" s="104"/>
      <c r="SNL7" s="104"/>
      <c r="SNM7" s="104"/>
      <c r="SNN7" s="104"/>
      <c r="SNO7" s="104"/>
      <c r="SNP7" s="104"/>
      <c r="SNQ7" s="104"/>
      <c r="SNR7" s="104"/>
      <c r="SNS7" s="104"/>
      <c r="SNT7" s="104"/>
      <c r="SNU7" s="104"/>
      <c r="SNV7" s="104"/>
      <c r="SNW7" s="104"/>
      <c r="SNX7" s="104"/>
      <c r="SNY7" s="104"/>
      <c r="SNZ7" s="104"/>
      <c r="SOA7" s="104"/>
      <c r="SOB7" s="104"/>
      <c r="SOC7" s="104"/>
      <c r="SOD7" s="104"/>
      <c r="SOE7" s="104"/>
      <c r="SOF7" s="104"/>
      <c r="SOG7" s="104"/>
      <c r="SOH7" s="104"/>
      <c r="SOI7" s="104"/>
      <c r="SOJ7" s="104"/>
      <c r="SOK7" s="104"/>
      <c r="SOL7" s="104"/>
      <c r="SOM7" s="104"/>
      <c r="SON7" s="104"/>
      <c r="SOO7" s="104"/>
      <c r="SOP7" s="104"/>
      <c r="SOQ7" s="104"/>
      <c r="SOR7" s="104"/>
      <c r="SOS7" s="104"/>
      <c r="SOT7" s="104"/>
      <c r="SOU7" s="104"/>
      <c r="SOV7" s="104"/>
      <c r="SOW7" s="104"/>
      <c r="SOX7" s="104"/>
      <c r="SOY7" s="104"/>
      <c r="SOZ7" s="104"/>
      <c r="SPA7" s="104"/>
      <c r="SPB7" s="104"/>
      <c r="SPC7" s="104"/>
      <c r="SPD7" s="104"/>
      <c r="SPE7" s="104"/>
      <c r="SPF7" s="104"/>
      <c r="SPG7" s="104"/>
      <c r="SPH7" s="104"/>
      <c r="SPI7" s="104"/>
      <c r="SPJ7" s="104"/>
      <c r="SPK7" s="104"/>
      <c r="SPL7" s="104"/>
      <c r="SPM7" s="104"/>
      <c r="SPN7" s="104"/>
      <c r="SPO7" s="104"/>
      <c r="SPP7" s="104"/>
      <c r="SPQ7" s="104"/>
      <c r="SPR7" s="104"/>
      <c r="SPS7" s="104"/>
      <c r="SPT7" s="104"/>
      <c r="SPU7" s="104"/>
      <c r="SPV7" s="104"/>
      <c r="SPW7" s="104"/>
      <c r="SPX7" s="104"/>
      <c r="SPY7" s="104"/>
      <c r="SPZ7" s="104"/>
      <c r="SQA7" s="104"/>
      <c r="SQB7" s="104"/>
      <c r="SQC7" s="104"/>
      <c r="SQD7" s="104"/>
      <c r="SQE7" s="104"/>
      <c r="SQF7" s="104"/>
      <c r="SQG7" s="104"/>
      <c r="SQH7" s="104"/>
      <c r="SQI7" s="104"/>
      <c r="SQJ7" s="104"/>
      <c r="SQK7" s="104"/>
      <c r="SQL7" s="104"/>
      <c r="SQM7" s="104"/>
      <c r="SQN7" s="104"/>
      <c r="SQO7" s="104"/>
      <c r="SQP7" s="104"/>
      <c r="SQQ7" s="104"/>
      <c r="SQR7" s="104"/>
      <c r="SQS7" s="104"/>
      <c r="SQT7" s="104"/>
      <c r="SQU7" s="104"/>
      <c r="SQV7" s="104"/>
      <c r="SQW7" s="104"/>
      <c r="SQX7" s="104"/>
      <c r="SQY7" s="104"/>
      <c r="SQZ7" s="104"/>
      <c r="SRA7" s="104"/>
      <c r="SRB7" s="104"/>
      <c r="SRC7" s="104"/>
      <c r="SRD7" s="104"/>
      <c r="SRE7" s="104"/>
      <c r="SRF7" s="104"/>
      <c r="SRG7" s="104"/>
      <c r="SRH7" s="104"/>
      <c r="SRI7" s="104"/>
      <c r="SRJ7" s="104"/>
      <c r="SRK7" s="104"/>
      <c r="SRL7" s="104"/>
      <c r="SRM7" s="104"/>
      <c r="SRN7" s="104"/>
      <c r="SRO7" s="104"/>
      <c r="SRP7" s="104"/>
      <c r="SRQ7" s="104"/>
      <c r="SRR7" s="104"/>
      <c r="SRS7" s="104"/>
      <c r="SRT7" s="104"/>
      <c r="SRU7" s="104"/>
      <c r="SRV7" s="104"/>
      <c r="SRW7" s="104"/>
      <c r="SRX7" s="104"/>
      <c r="SRY7" s="104"/>
      <c r="SRZ7" s="104"/>
      <c r="SSA7" s="104"/>
      <c r="SSB7" s="104"/>
      <c r="SSC7" s="104"/>
      <c r="SSD7" s="104"/>
      <c r="SSE7" s="104"/>
      <c r="SSF7" s="104"/>
      <c r="SSG7" s="104"/>
      <c r="SSH7" s="104"/>
      <c r="SSI7" s="104"/>
      <c r="SSJ7" s="104"/>
      <c r="SSK7" s="104"/>
      <c r="SSL7" s="104"/>
      <c r="SSM7" s="104"/>
      <c r="SSN7" s="104"/>
      <c r="SSO7" s="104"/>
      <c r="SSP7" s="104"/>
      <c r="SSQ7" s="104"/>
      <c r="SSR7" s="104"/>
      <c r="SSS7" s="104"/>
      <c r="SST7" s="104"/>
      <c r="SSU7" s="104"/>
      <c r="SSV7" s="104"/>
      <c r="SSW7" s="104"/>
      <c r="SSX7" s="104"/>
      <c r="SSY7" s="104"/>
      <c r="SSZ7" s="104"/>
      <c r="STA7" s="104"/>
      <c r="STB7" s="104"/>
      <c r="STC7" s="104"/>
      <c r="STD7" s="104"/>
      <c r="STE7" s="104"/>
      <c r="STF7" s="104"/>
      <c r="STG7" s="104"/>
      <c r="STH7" s="104"/>
      <c r="STI7" s="104"/>
      <c r="STJ7" s="104"/>
      <c r="STK7" s="104"/>
      <c r="STL7" s="104"/>
      <c r="STM7" s="104"/>
      <c r="STN7" s="104"/>
      <c r="STO7" s="104"/>
      <c r="STP7" s="104"/>
      <c r="STQ7" s="104"/>
      <c r="STR7" s="104"/>
      <c r="STS7" s="104"/>
      <c r="STT7" s="104"/>
      <c r="STU7" s="104"/>
      <c r="STV7" s="104"/>
      <c r="STW7" s="104"/>
      <c r="STX7" s="104"/>
      <c r="STY7" s="104"/>
      <c r="STZ7" s="104"/>
      <c r="SUA7" s="104"/>
      <c r="SUB7" s="104"/>
      <c r="SUC7" s="104"/>
      <c r="SUD7" s="104"/>
      <c r="SUE7" s="104"/>
      <c r="SUF7" s="104"/>
      <c r="SUG7" s="104"/>
      <c r="SUH7" s="104"/>
      <c r="SUI7" s="104"/>
      <c r="SUJ7" s="104"/>
      <c r="SUK7" s="104"/>
      <c r="SUL7" s="104"/>
      <c r="SUM7" s="104"/>
      <c r="SUN7" s="104"/>
      <c r="SUO7" s="104"/>
      <c r="SUP7" s="104"/>
      <c r="SUQ7" s="104"/>
      <c r="SUR7" s="104"/>
      <c r="SUS7" s="104"/>
      <c r="SUT7" s="104"/>
      <c r="SUU7" s="104"/>
      <c r="SUV7" s="104"/>
      <c r="SUW7" s="104"/>
      <c r="SUX7" s="104"/>
      <c r="SUY7" s="104"/>
      <c r="SUZ7" s="104"/>
      <c r="SVA7" s="104"/>
      <c r="SVB7" s="104"/>
      <c r="SVC7" s="104"/>
      <c r="SVD7" s="104"/>
      <c r="SVE7" s="104"/>
      <c r="SVF7" s="104"/>
      <c r="SVG7" s="104"/>
      <c r="SVH7" s="104"/>
      <c r="SVI7" s="104"/>
      <c r="SVJ7" s="104"/>
      <c r="SVK7" s="104"/>
      <c r="SVL7" s="104"/>
      <c r="SVM7" s="104"/>
      <c r="SVN7" s="104"/>
      <c r="SVO7" s="104"/>
      <c r="SVP7" s="104"/>
      <c r="SVQ7" s="104"/>
      <c r="SVR7" s="104"/>
      <c r="SVS7" s="104"/>
      <c r="SVT7" s="104"/>
      <c r="SVU7" s="104"/>
      <c r="SVV7" s="104"/>
      <c r="SVW7" s="104"/>
      <c r="SVX7" s="104"/>
      <c r="SVY7" s="104"/>
      <c r="SVZ7" s="104"/>
      <c r="SWA7" s="104"/>
      <c r="SWB7" s="104"/>
      <c r="SWC7" s="104"/>
      <c r="SWD7" s="104"/>
      <c r="SWE7" s="104"/>
      <c r="SWF7" s="104"/>
      <c r="SWG7" s="104"/>
      <c r="SWH7" s="104"/>
      <c r="SWI7" s="104"/>
      <c r="SWJ7" s="104"/>
      <c r="SWK7" s="104"/>
      <c r="SWL7" s="104"/>
      <c r="SWM7" s="104"/>
      <c r="SWN7" s="104"/>
      <c r="SWO7" s="104"/>
      <c r="SWP7" s="104"/>
      <c r="SWQ7" s="104"/>
      <c r="SWR7" s="104"/>
      <c r="SWS7" s="104"/>
      <c r="SWT7" s="104"/>
      <c r="SWU7" s="104"/>
      <c r="SWV7" s="104"/>
      <c r="SWW7" s="104"/>
      <c r="SWX7" s="104"/>
      <c r="SWY7" s="104"/>
      <c r="SWZ7" s="104"/>
      <c r="SXA7" s="104"/>
      <c r="SXB7" s="104"/>
      <c r="SXC7" s="104"/>
      <c r="SXD7" s="104"/>
      <c r="SXE7" s="104"/>
      <c r="SXF7" s="104"/>
      <c r="SXG7" s="104"/>
      <c r="SXH7" s="104"/>
      <c r="SXI7" s="104"/>
      <c r="SXJ7" s="104"/>
      <c r="SXK7" s="104"/>
      <c r="SXL7" s="104"/>
      <c r="SXM7" s="104"/>
      <c r="SXN7" s="104"/>
      <c r="SXO7" s="104"/>
      <c r="SXP7" s="104"/>
      <c r="SXQ7" s="104"/>
      <c r="SXR7" s="104"/>
      <c r="SXS7" s="104"/>
      <c r="SXT7" s="104"/>
      <c r="SXU7" s="104"/>
      <c r="SXV7" s="104"/>
      <c r="SXW7" s="104"/>
      <c r="SXX7" s="104"/>
      <c r="SXY7" s="104"/>
      <c r="SXZ7" s="104"/>
      <c r="SYA7" s="104"/>
      <c r="SYB7" s="104"/>
      <c r="SYC7" s="104"/>
      <c r="SYD7" s="104"/>
      <c r="SYE7" s="104"/>
      <c r="SYF7" s="104"/>
      <c r="SYG7" s="104"/>
      <c r="SYH7" s="104"/>
      <c r="SYI7" s="104"/>
      <c r="SYJ7" s="104"/>
      <c r="SYK7" s="104"/>
      <c r="SYL7" s="104"/>
      <c r="SYM7" s="104"/>
      <c r="SYN7" s="104"/>
      <c r="SYO7" s="104"/>
      <c r="SYP7" s="104"/>
      <c r="SYQ7" s="104"/>
      <c r="SYR7" s="104"/>
      <c r="SYS7" s="104"/>
      <c r="SYT7" s="104"/>
      <c r="SYU7" s="104"/>
      <c r="SYV7" s="104"/>
      <c r="SYW7" s="104"/>
      <c r="SYX7" s="104"/>
      <c r="SYY7" s="104"/>
      <c r="SYZ7" s="104"/>
      <c r="SZA7" s="104"/>
      <c r="SZB7" s="104"/>
      <c r="SZC7" s="104"/>
      <c r="SZD7" s="104"/>
      <c r="SZE7" s="104"/>
      <c r="SZF7" s="104"/>
      <c r="SZG7" s="104"/>
      <c r="SZH7" s="104"/>
      <c r="SZI7" s="104"/>
      <c r="SZJ7" s="104"/>
      <c r="SZK7" s="104"/>
      <c r="SZL7" s="104"/>
      <c r="SZM7" s="104"/>
      <c r="SZN7" s="104"/>
      <c r="SZO7" s="104"/>
      <c r="SZP7" s="104"/>
      <c r="SZQ7" s="104"/>
      <c r="SZR7" s="104"/>
      <c r="SZS7" s="104"/>
      <c r="SZT7" s="104"/>
      <c r="SZU7" s="104"/>
      <c r="SZV7" s="104"/>
      <c r="SZW7" s="104"/>
      <c r="SZX7" s="104"/>
      <c r="SZY7" s="104"/>
      <c r="SZZ7" s="104"/>
      <c r="TAA7" s="104"/>
      <c r="TAB7" s="104"/>
      <c r="TAC7" s="104"/>
      <c r="TAD7" s="104"/>
      <c r="TAE7" s="104"/>
      <c r="TAF7" s="104"/>
      <c r="TAG7" s="104"/>
      <c r="TAH7" s="104"/>
      <c r="TAI7" s="104"/>
      <c r="TAJ7" s="104"/>
      <c r="TAK7" s="104"/>
      <c r="TAL7" s="104"/>
      <c r="TAM7" s="104"/>
      <c r="TAN7" s="104"/>
      <c r="TAO7" s="104"/>
      <c r="TAP7" s="104"/>
      <c r="TAQ7" s="104"/>
      <c r="TAR7" s="104"/>
      <c r="TAS7" s="104"/>
      <c r="TAT7" s="104"/>
      <c r="TAU7" s="104"/>
      <c r="TAV7" s="104"/>
      <c r="TAW7" s="104"/>
      <c r="TAX7" s="104"/>
      <c r="TAY7" s="104"/>
      <c r="TAZ7" s="104"/>
      <c r="TBA7" s="104"/>
      <c r="TBB7" s="104"/>
      <c r="TBC7" s="104"/>
      <c r="TBD7" s="104"/>
      <c r="TBE7" s="104"/>
      <c r="TBF7" s="104"/>
      <c r="TBG7" s="104"/>
      <c r="TBH7" s="104"/>
      <c r="TBI7" s="104"/>
      <c r="TBJ7" s="104"/>
      <c r="TBK7" s="104"/>
      <c r="TBL7" s="104"/>
      <c r="TBM7" s="104"/>
      <c r="TBN7" s="104"/>
      <c r="TBO7" s="104"/>
      <c r="TBP7" s="104"/>
      <c r="TBQ7" s="104"/>
      <c r="TBR7" s="104"/>
      <c r="TBS7" s="104"/>
      <c r="TBT7" s="104"/>
      <c r="TBU7" s="104"/>
      <c r="TBV7" s="104"/>
      <c r="TBW7" s="104"/>
      <c r="TBX7" s="104"/>
      <c r="TBY7" s="104"/>
      <c r="TBZ7" s="104"/>
      <c r="TCA7" s="104"/>
      <c r="TCB7" s="104"/>
      <c r="TCC7" s="104"/>
      <c r="TCD7" s="104"/>
      <c r="TCE7" s="104"/>
      <c r="TCF7" s="104"/>
      <c r="TCG7" s="104"/>
      <c r="TCH7" s="104"/>
      <c r="TCI7" s="104"/>
      <c r="TCJ7" s="104"/>
      <c r="TCK7" s="104"/>
      <c r="TCL7" s="104"/>
      <c r="TCM7" s="104"/>
      <c r="TCN7" s="104"/>
      <c r="TCO7" s="104"/>
      <c r="TCP7" s="104"/>
      <c r="TCQ7" s="104"/>
      <c r="TCR7" s="104"/>
      <c r="TCS7" s="104"/>
      <c r="TCT7" s="104"/>
      <c r="TCU7" s="104"/>
      <c r="TCV7" s="104"/>
      <c r="TCW7" s="104"/>
      <c r="TCX7" s="104"/>
      <c r="TCY7" s="104"/>
      <c r="TCZ7" s="104"/>
      <c r="TDA7" s="104"/>
      <c r="TDB7" s="104"/>
      <c r="TDC7" s="104"/>
      <c r="TDD7" s="104"/>
      <c r="TDE7" s="104"/>
      <c r="TDF7" s="104"/>
      <c r="TDG7" s="104"/>
      <c r="TDH7" s="104"/>
      <c r="TDI7" s="104"/>
      <c r="TDJ7" s="104"/>
      <c r="TDK7" s="104"/>
      <c r="TDL7" s="104"/>
      <c r="TDM7" s="104"/>
      <c r="TDN7" s="104"/>
      <c r="TDO7" s="104"/>
      <c r="TDP7" s="104"/>
      <c r="TDQ7" s="104"/>
      <c r="TDR7" s="104"/>
      <c r="TDS7" s="104"/>
      <c r="TDT7" s="104"/>
      <c r="TDU7" s="104"/>
      <c r="TDV7" s="104"/>
      <c r="TDW7" s="104"/>
      <c r="TDX7" s="104"/>
      <c r="TDY7" s="104"/>
      <c r="TDZ7" s="104"/>
      <c r="TEA7" s="104"/>
      <c r="TEB7" s="104"/>
      <c r="TEC7" s="104"/>
      <c r="TED7" s="104"/>
      <c r="TEE7" s="104"/>
      <c r="TEF7" s="104"/>
      <c r="TEG7" s="104"/>
      <c r="TEH7" s="104"/>
      <c r="TEI7" s="104"/>
      <c r="TEJ7" s="104"/>
      <c r="TEK7" s="104"/>
      <c r="TEL7" s="104"/>
      <c r="TEM7" s="104"/>
      <c r="TEN7" s="104"/>
      <c r="TEO7" s="104"/>
      <c r="TEP7" s="104"/>
      <c r="TEQ7" s="104"/>
      <c r="TER7" s="104"/>
      <c r="TES7" s="104"/>
      <c r="TET7" s="104"/>
      <c r="TEU7" s="104"/>
      <c r="TEV7" s="104"/>
      <c r="TEW7" s="104"/>
      <c r="TEX7" s="104"/>
      <c r="TEY7" s="104"/>
      <c r="TEZ7" s="104"/>
      <c r="TFA7" s="104"/>
      <c r="TFB7" s="104"/>
      <c r="TFC7" s="104"/>
      <c r="TFD7" s="104"/>
      <c r="TFE7" s="104"/>
      <c r="TFF7" s="104"/>
      <c r="TFG7" s="104"/>
      <c r="TFH7" s="104"/>
      <c r="TFI7" s="104"/>
      <c r="TFJ7" s="104"/>
      <c r="TFK7" s="104"/>
      <c r="TFL7" s="104"/>
      <c r="TFM7" s="104"/>
      <c r="TFN7" s="104"/>
      <c r="TFO7" s="104"/>
      <c r="TFP7" s="104"/>
      <c r="TFQ7" s="104"/>
      <c r="TFR7" s="104"/>
      <c r="TFS7" s="104"/>
      <c r="TFT7" s="104"/>
      <c r="TFU7" s="104"/>
      <c r="TFV7" s="104"/>
      <c r="TFW7" s="104"/>
      <c r="TFX7" s="104"/>
      <c r="TFY7" s="104"/>
      <c r="TFZ7" s="104"/>
      <c r="TGA7" s="104"/>
      <c r="TGB7" s="104"/>
      <c r="TGC7" s="104"/>
      <c r="TGD7" s="104"/>
      <c r="TGE7" s="104"/>
      <c r="TGF7" s="104"/>
      <c r="TGG7" s="104"/>
      <c r="TGH7" s="104"/>
      <c r="TGI7" s="104"/>
      <c r="TGJ7" s="104"/>
      <c r="TGK7" s="104"/>
      <c r="TGL7" s="104"/>
      <c r="TGM7" s="104"/>
      <c r="TGN7" s="104"/>
      <c r="TGO7" s="104"/>
      <c r="TGP7" s="104"/>
      <c r="TGQ7" s="104"/>
      <c r="TGR7" s="104"/>
      <c r="TGS7" s="104"/>
      <c r="TGT7" s="104"/>
      <c r="TGU7" s="104"/>
      <c r="TGV7" s="104"/>
      <c r="TGW7" s="104"/>
      <c r="TGX7" s="104"/>
      <c r="TGY7" s="104"/>
      <c r="TGZ7" s="104"/>
      <c r="THA7" s="104"/>
      <c r="THB7" s="104"/>
      <c r="THC7" s="104"/>
      <c r="THD7" s="104"/>
      <c r="THE7" s="104"/>
      <c r="THF7" s="104"/>
      <c r="THG7" s="104"/>
      <c r="THH7" s="104"/>
      <c r="THI7" s="104"/>
      <c r="THJ7" s="104"/>
      <c r="THK7" s="104"/>
      <c r="THL7" s="104"/>
      <c r="THM7" s="104"/>
      <c r="THN7" s="104"/>
      <c r="THO7" s="104"/>
      <c r="THP7" s="104"/>
      <c r="THQ7" s="104"/>
      <c r="THR7" s="104"/>
      <c r="THS7" s="104"/>
      <c r="THT7" s="104"/>
      <c r="THU7" s="104"/>
      <c r="THV7" s="104"/>
      <c r="THW7" s="104"/>
      <c r="THX7" s="104"/>
      <c r="THY7" s="104"/>
      <c r="THZ7" s="104"/>
      <c r="TIA7" s="104"/>
      <c r="TIB7" s="104"/>
      <c r="TIC7" s="104"/>
      <c r="TID7" s="104"/>
      <c r="TIE7" s="104"/>
      <c r="TIF7" s="104"/>
      <c r="TIG7" s="104"/>
      <c r="TIH7" s="104"/>
      <c r="TII7" s="104"/>
      <c r="TIJ7" s="104"/>
      <c r="TIK7" s="104"/>
      <c r="TIL7" s="104"/>
      <c r="TIM7" s="104"/>
      <c r="TIN7" s="104"/>
      <c r="TIO7" s="104"/>
      <c r="TIP7" s="104"/>
      <c r="TIQ7" s="104"/>
      <c r="TIR7" s="104"/>
      <c r="TIS7" s="104"/>
      <c r="TIT7" s="104"/>
      <c r="TIU7" s="104"/>
      <c r="TIV7" s="104"/>
      <c r="TIW7" s="104"/>
      <c r="TIX7" s="104"/>
      <c r="TIY7" s="104"/>
      <c r="TIZ7" s="104"/>
      <c r="TJA7" s="104"/>
      <c r="TJB7" s="104"/>
      <c r="TJC7" s="104"/>
      <c r="TJD7" s="104"/>
      <c r="TJE7" s="104"/>
      <c r="TJF7" s="104"/>
      <c r="TJG7" s="104"/>
      <c r="TJH7" s="104"/>
      <c r="TJI7" s="104"/>
      <c r="TJJ7" s="104"/>
      <c r="TJK7" s="104"/>
      <c r="TJL7" s="104"/>
      <c r="TJM7" s="104"/>
      <c r="TJN7" s="104"/>
      <c r="TJO7" s="104"/>
      <c r="TJP7" s="104"/>
      <c r="TJQ7" s="104"/>
      <c r="TJR7" s="104"/>
      <c r="TJS7" s="104"/>
      <c r="TJT7" s="104"/>
      <c r="TJU7" s="104"/>
      <c r="TJV7" s="104"/>
      <c r="TJW7" s="104"/>
      <c r="TJX7" s="104"/>
      <c r="TJY7" s="104"/>
      <c r="TJZ7" s="104"/>
      <c r="TKA7" s="104"/>
      <c r="TKB7" s="104"/>
      <c r="TKC7" s="104"/>
      <c r="TKD7" s="104"/>
      <c r="TKE7" s="104"/>
      <c r="TKF7" s="104"/>
      <c r="TKG7" s="104"/>
      <c r="TKH7" s="104"/>
      <c r="TKI7" s="104"/>
      <c r="TKJ7" s="104"/>
      <c r="TKK7" s="104"/>
      <c r="TKL7" s="104"/>
      <c r="TKM7" s="104"/>
      <c r="TKN7" s="104"/>
      <c r="TKO7" s="104"/>
      <c r="TKP7" s="104"/>
      <c r="TKQ7" s="104"/>
      <c r="TKR7" s="104"/>
      <c r="TKS7" s="104"/>
      <c r="TKT7" s="104"/>
      <c r="TKU7" s="104"/>
      <c r="TKV7" s="104"/>
      <c r="TKW7" s="104"/>
      <c r="TKX7" s="104"/>
      <c r="TKY7" s="104"/>
      <c r="TKZ7" s="104"/>
      <c r="TLA7" s="104"/>
      <c r="TLB7" s="104"/>
      <c r="TLC7" s="104"/>
      <c r="TLD7" s="104"/>
      <c r="TLE7" s="104"/>
      <c r="TLF7" s="104"/>
      <c r="TLG7" s="104"/>
      <c r="TLH7" s="104"/>
      <c r="TLI7" s="104"/>
      <c r="TLJ7" s="104"/>
      <c r="TLK7" s="104"/>
      <c r="TLL7" s="104"/>
      <c r="TLM7" s="104"/>
      <c r="TLN7" s="104"/>
      <c r="TLO7" s="104"/>
      <c r="TLP7" s="104"/>
      <c r="TLQ7" s="104"/>
      <c r="TLR7" s="104"/>
      <c r="TLS7" s="104"/>
      <c r="TLT7" s="104"/>
      <c r="TLU7" s="104"/>
      <c r="TLV7" s="104"/>
      <c r="TLW7" s="104"/>
      <c r="TLX7" s="104"/>
      <c r="TLY7" s="104"/>
      <c r="TLZ7" s="104"/>
      <c r="TMA7" s="104"/>
      <c r="TMB7" s="104"/>
      <c r="TMC7" s="104"/>
      <c r="TMD7" s="104"/>
      <c r="TME7" s="104"/>
      <c r="TMF7" s="104"/>
      <c r="TMG7" s="104"/>
      <c r="TMH7" s="104"/>
      <c r="TMI7" s="104"/>
      <c r="TMJ7" s="104"/>
      <c r="TMK7" s="104"/>
      <c r="TML7" s="104"/>
      <c r="TMM7" s="104"/>
      <c r="TMN7" s="104"/>
      <c r="TMO7" s="104"/>
      <c r="TMP7" s="104"/>
      <c r="TMQ7" s="104"/>
      <c r="TMR7" s="104"/>
      <c r="TMS7" s="104"/>
      <c r="TMT7" s="104"/>
      <c r="TMU7" s="104"/>
      <c r="TMV7" s="104"/>
      <c r="TMW7" s="104"/>
      <c r="TMX7" s="104"/>
      <c r="TMY7" s="104"/>
      <c r="TMZ7" s="104"/>
      <c r="TNA7" s="104"/>
      <c r="TNB7" s="104"/>
      <c r="TNC7" s="104"/>
      <c r="TND7" s="104"/>
      <c r="TNE7" s="104"/>
      <c r="TNF7" s="104"/>
      <c r="TNG7" s="104"/>
      <c r="TNH7" s="104"/>
      <c r="TNI7" s="104"/>
      <c r="TNJ7" s="104"/>
      <c r="TNK7" s="104"/>
      <c r="TNL7" s="104"/>
      <c r="TNM7" s="104"/>
      <c r="TNN7" s="104"/>
      <c r="TNO7" s="104"/>
      <c r="TNP7" s="104"/>
      <c r="TNQ7" s="104"/>
      <c r="TNR7" s="104"/>
      <c r="TNS7" s="104"/>
      <c r="TNT7" s="104"/>
      <c r="TNU7" s="104"/>
      <c r="TNV7" s="104"/>
      <c r="TNW7" s="104"/>
      <c r="TNX7" s="104"/>
      <c r="TNY7" s="104"/>
      <c r="TNZ7" s="104"/>
      <c r="TOA7" s="104"/>
      <c r="TOB7" s="104"/>
      <c r="TOC7" s="104"/>
      <c r="TOD7" s="104"/>
      <c r="TOE7" s="104"/>
      <c r="TOF7" s="104"/>
      <c r="TOG7" s="104"/>
      <c r="TOH7" s="104"/>
      <c r="TOI7" s="104"/>
      <c r="TOJ7" s="104"/>
      <c r="TOK7" s="104"/>
      <c r="TOL7" s="104"/>
      <c r="TOM7" s="104"/>
      <c r="TON7" s="104"/>
      <c r="TOO7" s="104"/>
      <c r="TOP7" s="104"/>
      <c r="TOQ7" s="104"/>
      <c r="TOR7" s="104"/>
      <c r="TOS7" s="104"/>
      <c r="TOT7" s="104"/>
      <c r="TOU7" s="104"/>
      <c r="TOV7" s="104"/>
      <c r="TOW7" s="104"/>
      <c r="TOX7" s="104"/>
      <c r="TOY7" s="104"/>
      <c r="TOZ7" s="104"/>
      <c r="TPA7" s="104"/>
      <c r="TPB7" s="104"/>
      <c r="TPC7" s="104"/>
      <c r="TPD7" s="104"/>
      <c r="TPE7" s="104"/>
      <c r="TPF7" s="104"/>
      <c r="TPG7" s="104"/>
      <c r="TPH7" s="104"/>
      <c r="TPI7" s="104"/>
      <c r="TPJ7" s="104"/>
      <c r="TPK7" s="104"/>
      <c r="TPL7" s="104"/>
      <c r="TPM7" s="104"/>
      <c r="TPN7" s="104"/>
      <c r="TPO7" s="104"/>
      <c r="TPP7" s="104"/>
      <c r="TPQ7" s="104"/>
      <c r="TPR7" s="104"/>
      <c r="TPS7" s="104"/>
      <c r="TPT7" s="104"/>
      <c r="TPU7" s="104"/>
      <c r="TPV7" s="104"/>
      <c r="TPW7" s="104"/>
      <c r="TPX7" s="104"/>
      <c r="TPY7" s="104"/>
      <c r="TPZ7" s="104"/>
      <c r="TQA7" s="104"/>
      <c r="TQB7" s="104"/>
      <c r="TQC7" s="104"/>
      <c r="TQD7" s="104"/>
      <c r="TQE7" s="104"/>
      <c r="TQF7" s="104"/>
      <c r="TQG7" s="104"/>
      <c r="TQH7" s="104"/>
      <c r="TQI7" s="104"/>
      <c r="TQJ7" s="104"/>
      <c r="TQK7" s="104"/>
      <c r="TQL7" s="104"/>
      <c r="TQM7" s="104"/>
      <c r="TQN7" s="104"/>
      <c r="TQO7" s="104"/>
      <c r="TQP7" s="104"/>
      <c r="TQQ7" s="104"/>
      <c r="TQR7" s="104"/>
      <c r="TQS7" s="104"/>
      <c r="TQT7" s="104"/>
      <c r="TQU7" s="104"/>
      <c r="TQV7" s="104"/>
      <c r="TQW7" s="104"/>
      <c r="TQX7" s="104"/>
      <c r="TQY7" s="104"/>
      <c r="TQZ7" s="104"/>
      <c r="TRA7" s="104"/>
      <c r="TRB7" s="104"/>
      <c r="TRC7" s="104"/>
      <c r="TRD7" s="104"/>
      <c r="TRE7" s="104"/>
      <c r="TRF7" s="104"/>
      <c r="TRG7" s="104"/>
      <c r="TRH7" s="104"/>
      <c r="TRI7" s="104"/>
      <c r="TRJ7" s="104"/>
      <c r="TRK7" s="104"/>
      <c r="TRL7" s="104"/>
      <c r="TRM7" s="104"/>
      <c r="TRN7" s="104"/>
      <c r="TRO7" s="104"/>
      <c r="TRP7" s="104"/>
      <c r="TRQ7" s="104"/>
      <c r="TRR7" s="104"/>
      <c r="TRS7" s="104"/>
      <c r="TRT7" s="104"/>
      <c r="TRU7" s="104"/>
      <c r="TRV7" s="104"/>
      <c r="TRW7" s="104"/>
      <c r="TRX7" s="104"/>
      <c r="TRY7" s="104"/>
      <c r="TRZ7" s="104"/>
      <c r="TSA7" s="104"/>
      <c r="TSB7" s="104"/>
      <c r="TSC7" s="104"/>
      <c r="TSD7" s="104"/>
      <c r="TSE7" s="104"/>
      <c r="TSF7" s="104"/>
      <c r="TSG7" s="104"/>
      <c r="TSH7" s="104"/>
      <c r="TSI7" s="104"/>
      <c r="TSJ7" s="104"/>
      <c r="TSK7" s="104"/>
      <c r="TSL7" s="104"/>
      <c r="TSM7" s="104"/>
      <c r="TSN7" s="104"/>
      <c r="TSO7" s="104"/>
      <c r="TSP7" s="104"/>
      <c r="TSQ7" s="104"/>
      <c r="TSR7" s="104"/>
      <c r="TSS7" s="104"/>
      <c r="TST7" s="104"/>
      <c r="TSU7" s="104"/>
      <c r="TSV7" s="104"/>
      <c r="TSW7" s="104"/>
      <c r="TSX7" s="104"/>
      <c r="TSY7" s="104"/>
      <c r="TSZ7" s="104"/>
      <c r="TTA7" s="104"/>
      <c r="TTB7" s="104"/>
      <c r="TTC7" s="104"/>
      <c r="TTD7" s="104"/>
      <c r="TTE7" s="104"/>
      <c r="TTF7" s="104"/>
      <c r="TTG7" s="104"/>
      <c r="TTH7" s="104"/>
      <c r="TTI7" s="104"/>
      <c r="TTJ7" s="104"/>
      <c r="TTK7" s="104"/>
      <c r="TTL7" s="104"/>
      <c r="TTM7" s="104"/>
      <c r="TTN7" s="104"/>
      <c r="TTO7" s="104"/>
      <c r="TTP7" s="104"/>
      <c r="TTQ7" s="104"/>
      <c r="TTR7" s="104"/>
      <c r="TTS7" s="104"/>
      <c r="TTT7" s="104"/>
      <c r="TTU7" s="104"/>
      <c r="TTV7" s="104"/>
      <c r="TTW7" s="104"/>
      <c r="TTX7" s="104"/>
      <c r="TTY7" s="104"/>
      <c r="TTZ7" s="104"/>
      <c r="TUA7" s="104"/>
      <c r="TUB7" s="104"/>
      <c r="TUC7" s="104"/>
      <c r="TUD7" s="104"/>
      <c r="TUE7" s="104"/>
      <c r="TUF7" s="104"/>
      <c r="TUG7" s="104"/>
      <c r="TUH7" s="104"/>
      <c r="TUI7" s="104"/>
      <c r="TUJ7" s="104"/>
      <c r="TUK7" s="104"/>
      <c r="TUL7" s="104"/>
      <c r="TUM7" s="104"/>
      <c r="TUN7" s="104"/>
      <c r="TUO7" s="104"/>
      <c r="TUP7" s="104"/>
      <c r="TUQ7" s="104"/>
      <c r="TUR7" s="104"/>
      <c r="TUS7" s="104"/>
      <c r="TUT7" s="104"/>
      <c r="TUU7" s="104"/>
      <c r="TUV7" s="104"/>
      <c r="TUW7" s="104"/>
      <c r="TUX7" s="104"/>
      <c r="TUY7" s="104"/>
      <c r="TUZ7" s="104"/>
      <c r="TVA7" s="104"/>
      <c r="TVB7" s="104"/>
      <c r="TVC7" s="104"/>
      <c r="TVD7" s="104"/>
      <c r="TVE7" s="104"/>
      <c r="TVF7" s="104"/>
      <c r="TVG7" s="104"/>
      <c r="TVH7" s="104"/>
      <c r="TVI7" s="104"/>
      <c r="TVJ7" s="104"/>
      <c r="TVK7" s="104"/>
      <c r="TVL7" s="104"/>
      <c r="TVM7" s="104"/>
      <c r="TVN7" s="104"/>
      <c r="TVO7" s="104"/>
      <c r="TVP7" s="104"/>
      <c r="TVQ7" s="104"/>
      <c r="TVR7" s="104"/>
      <c r="TVS7" s="104"/>
      <c r="TVT7" s="104"/>
      <c r="TVU7" s="104"/>
      <c r="TVV7" s="104"/>
      <c r="TVW7" s="104"/>
      <c r="TVX7" s="104"/>
      <c r="TVY7" s="104"/>
      <c r="TVZ7" s="104"/>
      <c r="TWA7" s="104"/>
      <c r="TWB7" s="104"/>
      <c r="TWC7" s="104"/>
      <c r="TWD7" s="104"/>
      <c r="TWE7" s="104"/>
      <c r="TWF7" s="104"/>
      <c r="TWG7" s="104"/>
      <c r="TWH7" s="104"/>
      <c r="TWI7" s="104"/>
      <c r="TWJ7" s="104"/>
      <c r="TWK7" s="104"/>
      <c r="TWL7" s="104"/>
      <c r="TWM7" s="104"/>
      <c r="TWN7" s="104"/>
      <c r="TWO7" s="104"/>
      <c r="TWP7" s="104"/>
      <c r="TWQ7" s="104"/>
      <c r="TWR7" s="104"/>
      <c r="TWS7" s="104"/>
      <c r="TWT7" s="104"/>
      <c r="TWU7" s="104"/>
      <c r="TWV7" s="104"/>
      <c r="TWW7" s="104"/>
      <c r="TWX7" s="104"/>
      <c r="TWY7" s="104"/>
      <c r="TWZ7" s="104"/>
      <c r="TXA7" s="104"/>
      <c r="TXB7" s="104"/>
      <c r="TXC7" s="104"/>
      <c r="TXD7" s="104"/>
      <c r="TXE7" s="104"/>
      <c r="TXF7" s="104"/>
      <c r="TXG7" s="104"/>
      <c r="TXH7" s="104"/>
      <c r="TXI7" s="104"/>
      <c r="TXJ7" s="104"/>
      <c r="TXK7" s="104"/>
      <c r="TXL7" s="104"/>
      <c r="TXM7" s="104"/>
      <c r="TXN7" s="104"/>
      <c r="TXO7" s="104"/>
      <c r="TXP7" s="104"/>
      <c r="TXQ7" s="104"/>
      <c r="TXR7" s="104"/>
      <c r="TXS7" s="104"/>
      <c r="TXT7" s="104"/>
      <c r="TXU7" s="104"/>
      <c r="TXV7" s="104"/>
      <c r="TXW7" s="104"/>
      <c r="TXX7" s="104"/>
      <c r="TXY7" s="104"/>
      <c r="TXZ7" s="104"/>
      <c r="TYA7" s="104"/>
      <c r="TYB7" s="104"/>
      <c r="TYC7" s="104"/>
      <c r="TYD7" s="104"/>
      <c r="TYE7" s="104"/>
      <c r="TYF7" s="104"/>
      <c r="TYG7" s="104"/>
      <c r="TYH7" s="104"/>
      <c r="TYI7" s="104"/>
      <c r="TYJ7" s="104"/>
      <c r="TYK7" s="104"/>
      <c r="TYL7" s="104"/>
      <c r="TYM7" s="104"/>
      <c r="TYN7" s="104"/>
      <c r="TYO7" s="104"/>
      <c r="TYP7" s="104"/>
      <c r="TYQ7" s="104"/>
      <c r="TYR7" s="104"/>
      <c r="TYS7" s="104"/>
      <c r="TYT7" s="104"/>
      <c r="TYU7" s="104"/>
      <c r="TYV7" s="104"/>
      <c r="TYW7" s="104"/>
      <c r="TYX7" s="104"/>
      <c r="TYY7" s="104"/>
      <c r="TYZ7" s="104"/>
      <c r="TZA7" s="104"/>
      <c r="TZB7" s="104"/>
      <c r="TZC7" s="104"/>
      <c r="TZD7" s="104"/>
      <c r="TZE7" s="104"/>
      <c r="TZF7" s="104"/>
      <c r="TZG7" s="104"/>
      <c r="TZH7" s="104"/>
      <c r="TZI7" s="104"/>
      <c r="TZJ7" s="104"/>
      <c r="TZK7" s="104"/>
      <c r="TZL7" s="104"/>
      <c r="TZM7" s="104"/>
      <c r="TZN7" s="104"/>
      <c r="TZO7" s="104"/>
      <c r="TZP7" s="104"/>
      <c r="TZQ7" s="104"/>
      <c r="TZR7" s="104"/>
      <c r="TZS7" s="104"/>
      <c r="TZT7" s="104"/>
      <c r="TZU7" s="104"/>
      <c r="TZV7" s="104"/>
      <c r="TZW7" s="104"/>
      <c r="TZX7" s="104"/>
      <c r="TZY7" s="104"/>
      <c r="TZZ7" s="104"/>
      <c r="UAA7" s="104"/>
      <c r="UAB7" s="104"/>
      <c r="UAC7" s="104"/>
      <c r="UAD7" s="104"/>
      <c r="UAE7" s="104"/>
      <c r="UAF7" s="104"/>
      <c r="UAG7" s="104"/>
      <c r="UAH7" s="104"/>
      <c r="UAI7" s="104"/>
      <c r="UAJ7" s="104"/>
      <c r="UAK7" s="104"/>
      <c r="UAL7" s="104"/>
      <c r="UAM7" s="104"/>
      <c r="UAN7" s="104"/>
      <c r="UAO7" s="104"/>
      <c r="UAP7" s="104"/>
      <c r="UAQ7" s="104"/>
      <c r="UAR7" s="104"/>
      <c r="UAS7" s="104"/>
      <c r="UAT7" s="104"/>
      <c r="UAU7" s="104"/>
      <c r="UAV7" s="104"/>
      <c r="UAW7" s="104"/>
      <c r="UAX7" s="104"/>
      <c r="UAY7" s="104"/>
      <c r="UAZ7" s="104"/>
      <c r="UBA7" s="104"/>
      <c r="UBB7" s="104"/>
      <c r="UBC7" s="104"/>
      <c r="UBD7" s="104"/>
      <c r="UBE7" s="104"/>
      <c r="UBF7" s="104"/>
      <c r="UBG7" s="104"/>
      <c r="UBH7" s="104"/>
      <c r="UBI7" s="104"/>
      <c r="UBJ7" s="104"/>
      <c r="UBK7" s="104"/>
      <c r="UBL7" s="104"/>
      <c r="UBM7" s="104"/>
      <c r="UBN7" s="104"/>
      <c r="UBO7" s="104"/>
      <c r="UBP7" s="104"/>
      <c r="UBQ7" s="104"/>
      <c r="UBR7" s="104"/>
      <c r="UBS7" s="104"/>
      <c r="UBT7" s="104"/>
      <c r="UBU7" s="104"/>
      <c r="UBV7" s="104"/>
      <c r="UBW7" s="104"/>
      <c r="UBX7" s="104"/>
      <c r="UBY7" s="104"/>
      <c r="UBZ7" s="104"/>
      <c r="UCA7" s="104"/>
      <c r="UCB7" s="104"/>
      <c r="UCC7" s="104"/>
      <c r="UCD7" s="104"/>
      <c r="UCE7" s="104"/>
      <c r="UCF7" s="104"/>
      <c r="UCG7" s="104"/>
      <c r="UCH7" s="104"/>
      <c r="UCI7" s="104"/>
      <c r="UCJ7" s="104"/>
      <c r="UCK7" s="104"/>
      <c r="UCL7" s="104"/>
      <c r="UCM7" s="104"/>
      <c r="UCN7" s="104"/>
      <c r="UCO7" s="104"/>
      <c r="UCP7" s="104"/>
      <c r="UCQ7" s="104"/>
      <c r="UCR7" s="104"/>
      <c r="UCS7" s="104"/>
      <c r="UCT7" s="104"/>
      <c r="UCU7" s="104"/>
      <c r="UCV7" s="104"/>
      <c r="UCW7" s="104"/>
      <c r="UCX7" s="104"/>
      <c r="UCY7" s="104"/>
      <c r="UCZ7" s="104"/>
      <c r="UDA7" s="104"/>
      <c r="UDB7" s="104"/>
      <c r="UDC7" s="104"/>
      <c r="UDD7" s="104"/>
      <c r="UDE7" s="104"/>
      <c r="UDF7" s="104"/>
      <c r="UDG7" s="104"/>
      <c r="UDH7" s="104"/>
      <c r="UDI7" s="104"/>
      <c r="UDJ7" s="104"/>
      <c r="UDK7" s="104"/>
      <c r="UDL7" s="104"/>
      <c r="UDM7" s="104"/>
      <c r="UDN7" s="104"/>
      <c r="UDO7" s="104"/>
      <c r="UDP7" s="104"/>
      <c r="UDQ7" s="104"/>
      <c r="UDR7" s="104"/>
      <c r="UDS7" s="104"/>
      <c r="UDT7" s="104"/>
      <c r="UDU7" s="104"/>
      <c r="UDV7" s="104"/>
      <c r="UDW7" s="104"/>
      <c r="UDX7" s="104"/>
      <c r="UDY7" s="104"/>
      <c r="UDZ7" s="104"/>
      <c r="UEA7" s="104"/>
      <c r="UEB7" s="104"/>
      <c r="UEC7" s="104"/>
      <c r="UED7" s="104"/>
      <c r="UEE7" s="104"/>
      <c r="UEF7" s="104"/>
      <c r="UEG7" s="104"/>
      <c r="UEH7" s="104"/>
      <c r="UEI7" s="104"/>
      <c r="UEJ7" s="104"/>
      <c r="UEK7" s="104"/>
      <c r="UEL7" s="104"/>
      <c r="UEM7" s="104"/>
      <c r="UEN7" s="104"/>
      <c r="UEO7" s="104"/>
      <c r="UEP7" s="104"/>
      <c r="UEQ7" s="104"/>
      <c r="UER7" s="104"/>
      <c r="UES7" s="104"/>
      <c r="UET7" s="104"/>
      <c r="UEU7" s="104"/>
      <c r="UEV7" s="104"/>
      <c r="UEW7" s="104"/>
      <c r="UEX7" s="104"/>
      <c r="UEY7" s="104"/>
      <c r="UEZ7" s="104"/>
      <c r="UFA7" s="104"/>
      <c r="UFB7" s="104"/>
      <c r="UFC7" s="104"/>
      <c r="UFD7" s="104"/>
      <c r="UFE7" s="104"/>
      <c r="UFF7" s="104"/>
      <c r="UFG7" s="104"/>
      <c r="UFH7" s="104"/>
      <c r="UFI7" s="104"/>
      <c r="UFJ7" s="104"/>
      <c r="UFK7" s="104"/>
      <c r="UFL7" s="104"/>
      <c r="UFM7" s="104"/>
      <c r="UFN7" s="104"/>
      <c r="UFO7" s="104"/>
      <c r="UFP7" s="104"/>
      <c r="UFQ7" s="104"/>
      <c r="UFR7" s="104"/>
      <c r="UFS7" s="104"/>
      <c r="UFT7" s="104"/>
      <c r="UFU7" s="104"/>
      <c r="UFV7" s="104"/>
      <c r="UFW7" s="104"/>
      <c r="UFX7" s="104"/>
      <c r="UFY7" s="104"/>
      <c r="UFZ7" s="104"/>
      <c r="UGA7" s="104"/>
      <c r="UGB7" s="104"/>
      <c r="UGC7" s="104"/>
      <c r="UGD7" s="104"/>
      <c r="UGE7" s="104"/>
      <c r="UGF7" s="104"/>
      <c r="UGG7" s="104"/>
      <c r="UGH7" s="104"/>
      <c r="UGI7" s="104"/>
      <c r="UGJ7" s="104"/>
      <c r="UGK7" s="104"/>
      <c r="UGL7" s="104"/>
      <c r="UGM7" s="104"/>
      <c r="UGN7" s="104"/>
      <c r="UGO7" s="104"/>
      <c r="UGP7" s="104"/>
      <c r="UGQ7" s="104"/>
      <c r="UGR7" s="104"/>
      <c r="UGS7" s="104"/>
      <c r="UGT7" s="104"/>
      <c r="UGU7" s="104"/>
      <c r="UGV7" s="104"/>
      <c r="UGW7" s="104"/>
      <c r="UGX7" s="104"/>
      <c r="UGY7" s="104"/>
      <c r="UGZ7" s="104"/>
      <c r="UHA7" s="104"/>
      <c r="UHB7" s="104"/>
      <c r="UHC7" s="104"/>
      <c r="UHD7" s="104"/>
      <c r="UHE7" s="104"/>
      <c r="UHF7" s="104"/>
      <c r="UHG7" s="104"/>
      <c r="UHH7" s="104"/>
      <c r="UHI7" s="104"/>
      <c r="UHJ7" s="104"/>
      <c r="UHK7" s="104"/>
      <c r="UHL7" s="104"/>
      <c r="UHM7" s="104"/>
      <c r="UHN7" s="104"/>
      <c r="UHO7" s="104"/>
      <c r="UHP7" s="104"/>
      <c r="UHQ7" s="104"/>
      <c r="UHR7" s="104"/>
      <c r="UHS7" s="104"/>
      <c r="UHT7" s="104"/>
      <c r="UHU7" s="104"/>
      <c r="UHV7" s="104"/>
      <c r="UHW7" s="104"/>
      <c r="UHX7" s="104"/>
      <c r="UHY7" s="104"/>
      <c r="UHZ7" s="104"/>
      <c r="UIA7" s="104"/>
      <c r="UIB7" s="104"/>
      <c r="UIC7" s="104"/>
      <c r="UID7" s="104"/>
      <c r="UIE7" s="104"/>
      <c r="UIF7" s="104"/>
      <c r="UIG7" s="104"/>
      <c r="UIH7" s="104"/>
      <c r="UII7" s="104"/>
      <c r="UIJ7" s="104"/>
      <c r="UIK7" s="104"/>
      <c r="UIL7" s="104"/>
      <c r="UIM7" s="104"/>
      <c r="UIN7" s="104"/>
      <c r="UIO7" s="104"/>
      <c r="UIP7" s="104"/>
      <c r="UIQ7" s="104"/>
      <c r="UIR7" s="104"/>
      <c r="UIS7" s="104"/>
      <c r="UIT7" s="104"/>
      <c r="UIU7" s="104"/>
      <c r="UIV7" s="104"/>
      <c r="UIW7" s="104"/>
      <c r="UIX7" s="104"/>
      <c r="UIY7" s="104"/>
      <c r="UIZ7" s="104"/>
      <c r="UJA7" s="104"/>
      <c r="UJB7" s="104"/>
      <c r="UJC7" s="104"/>
      <c r="UJD7" s="104"/>
      <c r="UJE7" s="104"/>
      <c r="UJF7" s="104"/>
      <c r="UJG7" s="104"/>
      <c r="UJH7" s="104"/>
      <c r="UJI7" s="104"/>
      <c r="UJJ7" s="104"/>
      <c r="UJK7" s="104"/>
      <c r="UJL7" s="104"/>
      <c r="UJM7" s="104"/>
      <c r="UJN7" s="104"/>
      <c r="UJO7" s="104"/>
      <c r="UJP7" s="104"/>
      <c r="UJQ7" s="104"/>
      <c r="UJR7" s="104"/>
      <c r="UJS7" s="104"/>
      <c r="UJT7" s="104"/>
      <c r="UJU7" s="104"/>
      <c r="UJV7" s="104"/>
      <c r="UJW7" s="104"/>
      <c r="UJX7" s="104"/>
      <c r="UJY7" s="104"/>
      <c r="UJZ7" s="104"/>
      <c r="UKA7" s="104"/>
      <c r="UKB7" s="104"/>
      <c r="UKC7" s="104"/>
      <c r="UKD7" s="104"/>
      <c r="UKE7" s="104"/>
      <c r="UKF7" s="104"/>
      <c r="UKG7" s="104"/>
      <c r="UKH7" s="104"/>
      <c r="UKI7" s="104"/>
      <c r="UKJ7" s="104"/>
      <c r="UKK7" s="104"/>
      <c r="UKL7" s="104"/>
      <c r="UKM7" s="104"/>
      <c r="UKN7" s="104"/>
      <c r="UKO7" s="104"/>
      <c r="UKP7" s="104"/>
      <c r="UKQ7" s="104"/>
      <c r="UKR7" s="104"/>
      <c r="UKS7" s="104"/>
      <c r="UKT7" s="104"/>
      <c r="UKU7" s="104"/>
      <c r="UKV7" s="104"/>
      <c r="UKW7" s="104"/>
      <c r="UKX7" s="104"/>
      <c r="UKY7" s="104"/>
      <c r="UKZ7" s="104"/>
      <c r="ULA7" s="104"/>
      <c r="ULB7" s="104"/>
      <c r="ULC7" s="104"/>
      <c r="ULD7" s="104"/>
      <c r="ULE7" s="104"/>
      <c r="ULF7" s="104"/>
      <c r="ULG7" s="104"/>
      <c r="ULH7" s="104"/>
      <c r="ULI7" s="104"/>
      <c r="ULJ7" s="104"/>
      <c r="ULK7" s="104"/>
      <c r="ULL7" s="104"/>
      <c r="ULM7" s="104"/>
      <c r="ULN7" s="104"/>
      <c r="ULO7" s="104"/>
      <c r="ULP7" s="104"/>
      <c r="ULQ7" s="104"/>
      <c r="ULR7" s="104"/>
      <c r="ULS7" s="104"/>
      <c r="ULT7" s="104"/>
      <c r="ULU7" s="104"/>
      <c r="ULV7" s="104"/>
      <c r="ULW7" s="104"/>
      <c r="ULX7" s="104"/>
      <c r="ULY7" s="104"/>
      <c r="ULZ7" s="104"/>
      <c r="UMA7" s="104"/>
      <c r="UMB7" s="104"/>
      <c r="UMC7" s="104"/>
      <c r="UMD7" s="104"/>
      <c r="UME7" s="104"/>
      <c r="UMF7" s="104"/>
      <c r="UMG7" s="104"/>
      <c r="UMH7" s="104"/>
      <c r="UMI7" s="104"/>
      <c r="UMJ7" s="104"/>
      <c r="UMK7" s="104"/>
      <c r="UML7" s="104"/>
      <c r="UMM7" s="104"/>
      <c r="UMN7" s="104"/>
      <c r="UMO7" s="104"/>
      <c r="UMP7" s="104"/>
      <c r="UMQ7" s="104"/>
      <c r="UMR7" s="104"/>
      <c r="UMS7" s="104"/>
      <c r="UMT7" s="104"/>
      <c r="UMU7" s="104"/>
      <c r="UMV7" s="104"/>
      <c r="UMW7" s="104"/>
      <c r="UMX7" s="104"/>
      <c r="UMY7" s="104"/>
      <c r="UMZ7" s="104"/>
      <c r="UNA7" s="104"/>
      <c r="UNB7" s="104"/>
      <c r="UNC7" s="104"/>
      <c r="UND7" s="104"/>
      <c r="UNE7" s="104"/>
      <c r="UNF7" s="104"/>
      <c r="UNG7" s="104"/>
      <c r="UNH7" s="104"/>
      <c r="UNI7" s="104"/>
      <c r="UNJ7" s="104"/>
      <c r="UNK7" s="104"/>
      <c r="UNL7" s="104"/>
      <c r="UNM7" s="104"/>
      <c r="UNN7" s="104"/>
      <c r="UNO7" s="104"/>
      <c r="UNP7" s="104"/>
      <c r="UNQ7" s="104"/>
      <c r="UNR7" s="104"/>
      <c r="UNS7" s="104"/>
      <c r="UNT7" s="104"/>
      <c r="UNU7" s="104"/>
      <c r="UNV7" s="104"/>
      <c r="UNW7" s="104"/>
      <c r="UNX7" s="104"/>
      <c r="UNY7" s="104"/>
      <c r="UNZ7" s="104"/>
      <c r="UOA7" s="104"/>
      <c r="UOB7" s="104"/>
      <c r="UOC7" s="104"/>
      <c r="UOD7" s="104"/>
      <c r="UOE7" s="104"/>
      <c r="UOF7" s="104"/>
      <c r="UOG7" s="104"/>
      <c r="UOH7" s="104"/>
      <c r="UOI7" s="104"/>
      <c r="UOJ7" s="104"/>
      <c r="UOK7" s="104"/>
      <c r="UOL7" s="104"/>
      <c r="UOM7" s="104"/>
      <c r="UON7" s="104"/>
      <c r="UOO7" s="104"/>
      <c r="UOP7" s="104"/>
      <c r="UOQ7" s="104"/>
      <c r="UOR7" s="104"/>
      <c r="UOS7" s="104"/>
      <c r="UOT7" s="104"/>
      <c r="UOU7" s="104"/>
      <c r="UOV7" s="104"/>
      <c r="UOW7" s="104"/>
      <c r="UOX7" s="104"/>
      <c r="UOY7" s="104"/>
      <c r="UOZ7" s="104"/>
      <c r="UPA7" s="104"/>
      <c r="UPB7" s="104"/>
      <c r="UPC7" s="104"/>
      <c r="UPD7" s="104"/>
      <c r="UPE7" s="104"/>
      <c r="UPF7" s="104"/>
      <c r="UPG7" s="104"/>
      <c r="UPH7" s="104"/>
      <c r="UPI7" s="104"/>
      <c r="UPJ7" s="104"/>
      <c r="UPK7" s="104"/>
      <c r="UPL7" s="104"/>
      <c r="UPM7" s="104"/>
      <c r="UPN7" s="104"/>
      <c r="UPO7" s="104"/>
      <c r="UPP7" s="104"/>
      <c r="UPQ7" s="104"/>
      <c r="UPR7" s="104"/>
      <c r="UPS7" s="104"/>
      <c r="UPT7" s="104"/>
      <c r="UPU7" s="104"/>
      <c r="UPV7" s="104"/>
      <c r="UPW7" s="104"/>
      <c r="UPX7" s="104"/>
      <c r="UPY7" s="104"/>
      <c r="UPZ7" s="104"/>
      <c r="UQA7" s="104"/>
      <c r="UQB7" s="104"/>
      <c r="UQC7" s="104"/>
      <c r="UQD7" s="104"/>
      <c r="UQE7" s="104"/>
      <c r="UQF7" s="104"/>
      <c r="UQG7" s="104"/>
      <c r="UQH7" s="104"/>
      <c r="UQI7" s="104"/>
      <c r="UQJ7" s="104"/>
      <c r="UQK7" s="104"/>
      <c r="UQL7" s="104"/>
      <c r="UQM7" s="104"/>
      <c r="UQN7" s="104"/>
      <c r="UQO7" s="104"/>
      <c r="UQP7" s="104"/>
      <c r="UQQ7" s="104"/>
      <c r="UQR7" s="104"/>
      <c r="UQS7" s="104"/>
      <c r="UQT7" s="104"/>
      <c r="UQU7" s="104"/>
      <c r="UQV7" s="104"/>
      <c r="UQW7" s="104"/>
      <c r="UQX7" s="104"/>
      <c r="UQY7" s="104"/>
      <c r="UQZ7" s="104"/>
      <c r="URA7" s="104"/>
      <c r="URB7" s="104"/>
      <c r="URC7" s="104"/>
      <c r="URD7" s="104"/>
      <c r="URE7" s="104"/>
      <c r="URF7" s="104"/>
      <c r="URG7" s="104"/>
      <c r="URH7" s="104"/>
      <c r="URI7" s="104"/>
      <c r="URJ7" s="104"/>
      <c r="URK7" s="104"/>
      <c r="URL7" s="104"/>
      <c r="URM7" s="104"/>
      <c r="URN7" s="104"/>
      <c r="URO7" s="104"/>
      <c r="URP7" s="104"/>
      <c r="URQ7" s="104"/>
      <c r="URR7" s="104"/>
      <c r="URS7" s="104"/>
      <c r="URT7" s="104"/>
      <c r="URU7" s="104"/>
      <c r="URV7" s="104"/>
      <c r="URW7" s="104"/>
      <c r="URX7" s="104"/>
      <c r="URY7" s="104"/>
      <c r="URZ7" s="104"/>
      <c r="USA7" s="104"/>
      <c r="USB7" s="104"/>
      <c r="USC7" s="104"/>
      <c r="USD7" s="104"/>
      <c r="USE7" s="104"/>
      <c r="USF7" s="104"/>
      <c r="USG7" s="104"/>
      <c r="USH7" s="104"/>
      <c r="USI7" s="104"/>
      <c r="USJ7" s="104"/>
      <c r="USK7" s="104"/>
      <c r="USL7" s="104"/>
      <c r="USM7" s="104"/>
      <c r="USN7" s="104"/>
      <c r="USO7" s="104"/>
      <c r="USP7" s="104"/>
      <c r="USQ7" s="104"/>
      <c r="USR7" s="104"/>
      <c r="USS7" s="104"/>
      <c r="UST7" s="104"/>
      <c r="USU7" s="104"/>
      <c r="USV7" s="104"/>
      <c r="USW7" s="104"/>
      <c r="USX7" s="104"/>
      <c r="USY7" s="104"/>
      <c r="USZ7" s="104"/>
      <c r="UTA7" s="104"/>
      <c r="UTB7" s="104"/>
      <c r="UTC7" s="104"/>
      <c r="UTD7" s="104"/>
      <c r="UTE7" s="104"/>
      <c r="UTF7" s="104"/>
      <c r="UTG7" s="104"/>
      <c r="UTH7" s="104"/>
      <c r="UTI7" s="104"/>
      <c r="UTJ7" s="104"/>
      <c r="UTK7" s="104"/>
      <c r="UTL7" s="104"/>
      <c r="UTM7" s="104"/>
      <c r="UTN7" s="104"/>
      <c r="UTO7" s="104"/>
      <c r="UTP7" s="104"/>
      <c r="UTQ7" s="104"/>
      <c r="UTR7" s="104"/>
      <c r="UTS7" s="104"/>
      <c r="UTT7" s="104"/>
      <c r="UTU7" s="104"/>
      <c r="UTV7" s="104"/>
      <c r="UTW7" s="104"/>
      <c r="UTX7" s="104"/>
      <c r="UTY7" s="104"/>
      <c r="UTZ7" s="104"/>
      <c r="UUA7" s="104"/>
      <c r="UUB7" s="104"/>
      <c r="UUC7" s="104"/>
      <c r="UUD7" s="104"/>
      <c r="UUE7" s="104"/>
      <c r="UUF7" s="104"/>
      <c r="UUG7" s="104"/>
      <c r="UUH7" s="104"/>
      <c r="UUI7" s="104"/>
      <c r="UUJ7" s="104"/>
      <c r="UUK7" s="104"/>
      <c r="UUL7" s="104"/>
      <c r="UUM7" s="104"/>
      <c r="UUN7" s="104"/>
      <c r="UUO7" s="104"/>
      <c r="UUP7" s="104"/>
      <c r="UUQ7" s="104"/>
      <c r="UUR7" s="104"/>
      <c r="UUS7" s="104"/>
      <c r="UUT7" s="104"/>
      <c r="UUU7" s="104"/>
      <c r="UUV7" s="104"/>
      <c r="UUW7" s="104"/>
      <c r="UUX7" s="104"/>
      <c r="UUY7" s="104"/>
      <c r="UUZ7" s="104"/>
      <c r="UVA7" s="104"/>
      <c r="UVB7" s="104"/>
      <c r="UVC7" s="104"/>
      <c r="UVD7" s="104"/>
      <c r="UVE7" s="104"/>
      <c r="UVF7" s="104"/>
      <c r="UVG7" s="104"/>
      <c r="UVH7" s="104"/>
      <c r="UVI7" s="104"/>
      <c r="UVJ7" s="104"/>
      <c r="UVK7" s="104"/>
      <c r="UVL7" s="104"/>
      <c r="UVM7" s="104"/>
      <c r="UVN7" s="104"/>
      <c r="UVO7" s="104"/>
      <c r="UVP7" s="104"/>
      <c r="UVQ7" s="104"/>
      <c r="UVR7" s="104"/>
      <c r="UVS7" s="104"/>
      <c r="UVT7" s="104"/>
      <c r="UVU7" s="104"/>
      <c r="UVV7" s="104"/>
      <c r="UVW7" s="104"/>
      <c r="UVX7" s="104"/>
      <c r="UVY7" s="104"/>
      <c r="UVZ7" s="104"/>
      <c r="UWA7" s="104"/>
      <c r="UWB7" s="104"/>
      <c r="UWC7" s="104"/>
      <c r="UWD7" s="104"/>
      <c r="UWE7" s="104"/>
      <c r="UWF7" s="104"/>
      <c r="UWG7" s="104"/>
      <c r="UWH7" s="104"/>
      <c r="UWI7" s="104"/>
      <c r="UWJ7" s="104"/>
      <c r="UWK7" s="104"/>
      <c r="UWL7" s="104"/>
      <c r="UWM7" s="104"/>
      <c r="UWN7" s="104"/>
      <c r="UWO7" s="104"/>
      <c r="UWP7" s="104"/>
      <c r="UWQ7" s="104"/>
      <c r="UWR7" s="104"/>
      <c r="UWS7" s="104"/>
      <c r="UWT7" s="104"/>
      <c r="UWU7" s="104"/>
      <c r="UWV7" s="104"/>
      <c r="UWW7" s="104"/>
      <c r="UWX7" s="104"/>
      <c r="UWY7" s="104"/>
      <c r="UWZ7" s="104"/>
      <c r="UXA7" s="104"/>
      <c r="UXB7" s="104"/>
      <c r="UXC7" s="104"/>
      <c r="UXD7" s="104"/>
      <c r="UXE7" s="104"/>
      <c r="UXF7" s="104"/>
      <c r="UXG7" s="104"/>
      <c r="UXH7" s="104"/>
      <c r="UXI7" s="104"/>
      <c r="UXJ7" s="104"/>
      <c r="UXK7" s="104"/>
      <c r="UXL7" s="104"/>
      <c r="UXM7" s="104"/>
      <c r="UXN7" s="104"/>
      <c r="UXO7" s="104"/>
      <c r="UXP7" s="104"/>
      <c r="UXQ7" s="104"/>
      <c r="UXR7" s="104"/>
      <c r="UXS7" s="104"/>
      <c r="UXT7" s="104"/>
      <c r="UXU7" s="104"/>
      <c r="UXV7" s="104"/>
      <c r="UXW7" s="104"/>
      <c r="UXX7" s="104"/>
      <c r="UXY7" s="104"/>
      <c r="UXZ7" s="104"/>
      <c r="UYA7" s="104"/>
      <c r="UYB7" s="104"/>
      <c r="UYC7" s="104"/>
      <c r="UYD7" s="104"/>
      <c r="UYE7" s="104"/>
      <c r="UYF7" s="104"/>
      <c r="UYG7" s="104"/>
      <c r="UYH7" s="104"/>
      <c r="UYI7" s="104"/>
      <c r="UYJ7" s="104"/>
      <c r="UYK7" s="104"/>
      <c r="UYL7" s="104"/>
      <c r="UYM7" s="104"/>
      <c r="UYN7" s="104"/>
      <c r="UYO7" s="104"/>
      <c r="UYP7" s="104"/>
      <c r="UYQ7" s="104"/>
      <c r="UYR7" s="104"/>
      <c r="UYS7" s="104"/>
      <c r="UYT7" s="104"/>
      <c r="UYU7" s="104"/>
      <c r="UYV7" s="104"/>
      <c r="UYW7" s="104"/>
      <c r="UYX7" s="104"/>
      <c r="UYY7" s="104"/>
      <c r="UYZ7" s="104"/>
      <c r="UZA7" s="104"/>
      <c r="UZB7" s="104"/>
      <c r="UZC7" s="104"/>
      <c r="UZD7" s="104"/>
      <c r="UZE7" s="104"/>
      <c r="UZF7" s="104"/>
      <c r="UZG7" s="104"/>
      <c r="UZH7" s="104"/>
      <c r="UZI7" s="104"/>
      <c r="UZJ7" s="104"/>
      <c r="UZK7" s="104"/>
      <c r="UZL7" s="104"/>
      <c r="UZM7" s="104"/>
      <c r="UZN7" s="104"/>
      <c r="UZO7" s="104"/>
      <c r="UZP7" s="104"/>
      <c r="UZQ7" s="104"/>
      <c r="UZR7" s="104"/>
      <c r="UZS7" s="104"/>
      <c r="UZT7" s="104"/>
      <c r="UZU7" s="104"/>
      <c r="UZV7" s="104"/>
      <c r="UZW7" s="104"/>
      <c r="UZX7" s="104"/>
      <c r="UZY7" s="104"/>
      <c r="UZZ7" s="104"/>
      <c r="VAA7" s="104"/>
      <c r="VAB7" s="104"/>
      <c r="VAC7" s="104"/>
      <c r="VAD7" s="104"/>
      <c r="VAE7" s="104"/>
      <c r="VAF7" s="104"/>
      <c r="VAG7" s="104"/>
      <c r="VAH7" s="104"/>
      <c r="VAI7" s="104"/>
      <c r="VAJ7" s="104"/>
      <c r="VAK7" s="104"/>
      <c r="VAL7" s="104"/>
      <c r="VAM7" s="104"/>
      <c r="VAN7" s="104"/>
      <c r="VAO7" s="104"/>
      <c r="VAP7" s="104"/>
      <c r="VAQ7" s="104"/>
      <c r="VAR7" s="104"/>
      <c r="VAS7" s="104"/>
      <c r="VAT7" s="104"/>
      <c r="VAU7" s="104"/>
      <c r="VAV7" s="104"/>
      <c r="VAW7" s="104"/>
      <c r="VAX7" s="104"/>
      <c r="VAY7" s="104"/>
      <c r="VAZ7" s="104"/>
      <c r="VBA7" s="104"/>
      <c r="VBB7" s="104"/>
      <c r="VBC7" s="104"/>
      <c r="VBD7" s="104"/>
      <c r="VBE7" s="104"/>
      <c r="VBF7" s="104"/>
      <c r="VBG7" s="104"/>
      <c r="VBH7" s="104"/>
      <c r="VBI7" s="104"/>
      <c r="VBJ7" s="104"/>
      <c r="VBK7" s="104"/>
      <c r="VBL7" s="104"/>
      <c r="VBM7" s="104"/>
      <c r="VBN7" s="104"/>
      <c r="VBO7" s="104"/>
      <c r="VBP7" s="104"/>
      <c r="VBQ7" s="104"/>
      <c r="VBR7" s="104"/>
      <c r="VBS7" s="104"/>
      <c r="VBT7" s="104"/>
      <c r="VBU7" s="104"/>
      <c r="VBV7" s="104"/>
      <c r="VBW7" s="104"/>
      <c r="VBX7" s="104"/>
      <c r="VBY7" s="104"/>
      <c r="VBZ7" s="104"/>
      <c r="VCA7" s="104"/>
      <c r="VCB7" s="104"/>
      <c r="VCC7" s="104"/>
      <c r="VCD7" s="104"/>
      <c r="VCE7" s="104"/>
      <c r="VCF7" s="104"/>
      <c r="VCG7" s="104"/>
      <c r="VCH7" s="104"/>
      <c r="VCI7" s="104"/>
      <c r="VCJ7" s="104"/>
      <c r="VCK7" s="104"/>
      <c r="VCL7" s="104"/>
      <c r="VCM7" s="104"/>
      <c r="VCN7" s="104"/>
      <c r="VCO7" s="104"/>
      <c r="VCP7" s="104"/>
      <c r="VCQ7" s="104"/>
      <c r="VCR7" s="104"/>
      <c r="VCS7" s="104"/>
      <c r="VCT7" s="104"/>
      <c r="VCU7" s="104"/>
      <c r="VCV7" s="104"/>
      <c r="VCW7" s="104"/>
      <c r="VCX7" s="104"/>
      <c r="VCY7" s="104"/>
      <c r="VCZ7" s="104"/>
      <c r="VDA7" s="104"/>
      <c r="VDB7" s="104"/>
      <c r="VDC7" s="104"/>
      <c r="VDD7" s="104"/>
      <c r="VDE7" s="104"/>
      <c r="VDF7" s="104"/>
      <c r="VDG7" s="104"/>
      <c r="VDH7" s="104"/>
      <c r="VDI7" s="104"/>
      <c r="VDJ7" s="104"/>
      <c r="VDK7" s="104"/>
      <c r="VDL7" s="104"/>
      <c r="VDM7" s="104"/>
      <c r="VDN7" s="104"/>
      <c r="VDO7" s="104"/>
      <c r="VDP7" s="104"/>
      <c r="VDQ7" s="104"/>
      <c r="VDR7" s="104"/>
      <c r="VDS7" s="104"/>
      <c r="VDT7" s="104"/>
      <c r="VDU7" s="104"/>
      <c r="VDV7" s="104"/>
      <c r="VDW7" s="104"/>
      <c r="VDX7" s="104"/>
      <c r="VDY7" s="104"/>
      <c r="VDZ7" s="104"/>
      <c r="VEA7" s="104"/>
      <c r="VEB7" s="104"/>
      <c r="VEC7" s="104"/>
      <c r="VED7" s="104"/>
      <c r="VEE7" s="104"/>
      <c r="VEF7" s="104"/>
      <c r="VEG7" s="104"/>
      <c r="VEH7" s="104"/>
      <c r="VEI7" s="104"/>
      <c r="VEJ7" s="104"/>
      <c r="VEK7" s="104"/>
      <c r="VEL7" s="104"/>
      <c r="VEM7" s="104"/>
      <c r="VEN7" s="104"/>
      <c r="VEO7" s="104"/>
      <c r="VEP7" s="104"/>
      <c r="VEQ7" s="104"/>
      <c r="VER7" s="104"/>
      <c r="VES7" s="104"/>
      <c r="VET7" s="104"/>
      <c r="VEU7" s="104"/>
      <c r="VEV7" s="104"/>
      <c r="VEW7" s="104"/>
      <c r="VEX7" s="104"/>
      <c r="VEY7" s="104"/>
      <c r="VEZ7" s="104"/>
      <c r="VFA7" s="104"/>
      <c r="VFB7" s="104"/>
      <c r="VFC7" s="104"/>
      <c r="VFD7" s="104"/>
      <c r="VFE7" s="104"/>
      <c r="VFF7" s="104"/>
      <c r="VFG7" s="104"/>
      <c r="VFH7" s="104"/>
      <c r="VFI7" s="104"/>
      <c r="VFJ7" s="104"/>
      <c r="VFK7" s="104"/>
      <c r="VFL7" s="104"/>
      <c r="VFM7" s="104"/>
      <c r="VFN7" s="104"/>
      <c r="VFO7" s="104"/>
      <c r="VFP7" s="104"/>
      <c r="VFQ7" s="104"/>
      <c r="VFR7" s="104"/>
      <c r="VFS7" s="104"/>
      <c r="VFT7" s="104"/>
      <c r="VFU7" s="104"/>
      <c r="VFV7" s="104"/>
      <c r="VFW7" s="104"/>
      <c r="VFX7" s="104"/>
      <c r="VFY7" s="104"/>
      <c r="VFZ7" s="104"/>
      <c r="VGA7" s="104"/>
      <c r="VGB7" s="104"/>
      <c r="VGC7" s="104"/>
      <c r="VGD7" s="104"/>
      <c r="VGE7" s="104"/>
      <c r="VGF7" s="104"/>
      <c r="VGG7" s="104"/>
      <c r="VGH7" s="104"/>
      <c r="VGI7" s="104"/>
      <c r="VGJ7" s="104"/>
      <c r="VGK7" s="104"/>
      <c r="VGL7" s="104"/>
      <c r="VGM7" s="104"/>
      <c r="VGN7" s="104"/>
      <c r="VGO7" s="104"/>
      <c r="VGP7" s="104"/>
      <c r="VGQ7" s="104"/>
      <c r="VGR7" s="104"/>
      <c r="VGS7" s="104"/>
      <c r="VGT7" s="104"/>
      <c r="VGU7" s="104"/>
      <c r="VGV7" s="104"/>
      <c r="VGW7" s="104"/>
      <c r="VGX7" s="104"/>
      <c r="VGY7" s="104"/>
      <c r="VGZ7" s="104"/>
      <c r="VHA7" s="104"/>
      <c r="VHB7" s="104"/>
      <c r="VHC7" s="104"/>
      <c r="VHD7" s="104"/>
      <c r="VHE7" s="104"/>
      <c r="VHF7" s="104"/>
      <c r="VHG7" s="104"/>
      <c r="VHH7" s="104"/>
      <c r="VHI7" s="104"/>
      <c r="VHJ7" s="104"/>
      <c r="VHK7" s="104"/>
      <c r="VHL7" s="104"/>
      <c r="VHM7" s="104"/>
      <c r="VHN7" s="104"/>
      <c r="VHO7" s="104"/>
      <c r="VHP7" s="104"/>
      <c r="VHQ7" s="104"/>
      <c r="VHR7" s="104"/>
      <c r="VHS7" s="104"/>
      <c r="VHT7" s="104"/>
      <c r="VHU7" s="104"/>
      <c r="VHV7" s="104"/>
      <c r="VHW7" s="104"/>
      <c r="VHX7" s="104"/>
      <c r="VHY7" s="104"/>
      <c r="VHZ7" s="104"/>
      <c r="VIA7" s="104"/>
      <c r="VIB7" s="104"/>
      <c r="VIC7" s="104"/>
      <c r="VID7" s="104"/>
      <c r="VIE7" s="104"/>
      <c r="VIF7" s="104"/>
      <c r="VIG7" s="104"/>
      <c r="VIH7" s="104"/>
      <c r="VII7" s="104"/>
      <c r="VIJ7" s="104"/>
      <c r="VIK7" s="104"/>
      <c r="VIL7" s="104"/>
      <c r="VIM7" s="104"/>
      <c r="VIN7" s="104"/>
      <c r="VIO7" s="104"/>
      <c r="VIP7" s="104"/>
      <c r="VIQ7" s="104"/>
      <c r="VIR7" s="104"/>
      <c r="VIS7" s="104"/>
      <c r="VIT7" s="104"/>
      <c r="VIU7" s="104"/>
      <c r="VIV7" s="104"/>
      <c r="VIW7" s="104"/>
      <c r="VIX7" s="104"/>
      <c r="VIY7" s="104"/>
      <c r="VIZ7" s="104"/>
      <c r="VJA7" s="104"/>
      <c r="VJB7" s="104"/>
      <c r="VJC7" s="104"/>
      <c r="VJD7" s="104"/>
      <c r="VJE7" s="104"/>
      <c r="VJF7" s="104"/>
      <c r="VJG7" s="104"/>
      <c r="VJH7" s="104"/>
      <c r="VJI7" s="104"/>
      <c r="VJJ7" s="104"/>
      <c r="VJK7" s="104"/>
      <c r="VJL7" s="104"/>
      <c r="VJM7" s="104"/>
      <c r="VJN7" s="104"/>
      <c r="VJO7" s="104"/>
      <c r="VJP7" s="104"/>
      <c r="VJQ7" s="104"/>
      <c r="VJR7" s="104"/>
      <c r="VJS7" s="104"/>
      <c r="VJT7" s="104"/>
      <c r="VJU7" s="104"/>
      <c r="VJV7" s="104"/>
      <c r="VJW7" s="104"/>
      <c r="VJX7" s="104"/>
      <c r="VJY7" s="104"/>
      <c r="VJZ7" s="104"/>
      <c r="VKA7" s="104"/>
      <c r="VKB7" s="104"/>
      <c r="VKC7" s="104"/>
      <c r="VKD7" s="104"/>
      <c r="VKE7" s="104"/>
      <c r="VKF7" s="104"/>
      <c r="VKG7" s="104"/>
      <c r="VKH7" s="104"/>
      <c r="VKI7" s="104"/>
      <c r="VKJ7" s="104"/>
      <c r="VKK7" s="104"/>
      <c r="VKL7" s="104"/>
      <c r="VKM7" s="104"/>
      <c r="VKN7" s="104"/>
      <c r="VKO7" s="104"/>
      <c r="VKP7" s="104"/>
      <c r="VKQ7" s="104"/>
      <c r="VKR7" s="104"/>
      <c r="VKS7" s="104"/>
      <c r="VKT7" s="104"/>
      <c r="VKU7" s="104"/>
      <c r="VKV7" s="104"/>
      <c r="VKW7" s="104"/>
      <c r="VKX7" s="104"/>
      <c r="VKY7" s="104"/>
      <c r="VKZ7" s="104"/>
      <c r="VLA7" s="104"/>
      <c r="VLB7" s="104"/>
      <c r="VLC7" s="104"/>
      <c r="VLD7" s="104"/>
      <c r="VLE7" s="104"/>
      <c r="VLF7" s="104"/>
      <c r="VLG7" s="104"/>
      <c r="VLH7" s="104"/>
      <c r="VLI7" s="104"/>
      <c r="VLJ7" s="104"/>
      <c r="VLK7" s="104"/>
      <c r="VLL7" s="104"/>
      <c r="VLM7" s="104"/>
      <c r="VLN7" s="104"/>
      <c r="VLO7" s="104"/>
      <c r="VLP7" s="104"/>
      <c r="VLQ7" s="104"/>
      <c r="VLR7" s="104"/>
      <c r="VLS7" s="104"/>
      <c r="VLT7" s="104"/>
      <c r="VLU7" s="104"/>
      <c r="VLV7" s="104"/>
      <c r="VLW7" s="104"/>
      <c r="VLX7" s="104"/>
      <c r="VLY7" s="104"/>
      <c r="VLZ7" s="104"/>
      <c r="VMA7" s="104"/>
      <c r="VMB7" s="104"/>
      <c r="VMC7" s="104"/>
      <c r="VMD7" s="104"/>
      <c r="VME7" s="104"/>
      <c r="VMF7" s="104"/>
      <c r="VMG7" s="104"/>
      <c r="VMH7" s="104"/>
      <c r="VMI7" s="104"/>
      <c r="VMJ7" s="104"/>
      <c r="VMK7" s="104"/>
      <c r="VML7" s="104"/>
      <c r="VMM7" s="104"/>
      <c r="VMN7" s="104"/>
      <c r="VMO7" s="104"/>
      <c r="VMP7" s="104"/>
      <c r="VMQ7" s="104"/>
      <c r="VMR7" s="104"/>
      <c r="VMS7" s="104"/>
      <c r="VMT7" s="104"/>
      <c r="VMU7" s="104"/>
      <c r="VMV7" s="104"/>
      <c r="VMW7" s="104"/>
      <c r="VMX7" s="104"/>
      <c r="VMY7" s="104"/>
      <c r="VMZ7" s="104"/>
      <c r="VNA7" s="104"/>
      <c r="VNB7" s="104"/>
      <c r="VNC7" s="104"/>
      <c r="VND7" s="104"/>
      <c r="VNE7" s="104"/>
      <c r="VNF7" s="104"/>
      <c r="VNG7" s="104"/>
      <c r="VNH7" s="104"/>
      <c r="VNI7" s="104"/>
      <c r="VNJ7" s="104"/>
      <c r="VNK7" s="104"/>
      <c r="VNL7" s="104"/>
      <c r="VNM7" s="104"/>
      <c r="VNN7" s="104"/>
      <c r="VNO7" s="104"/>
      <c r="VNP7" s="104"/>
      <c r="VNQ7" s="104"/>
      <c r="VNR7" s="104"/>
      <c r="VNS7" s="104"/>
      <c r="VNT7" s="104"/>
      <c r="VNU7" s="104"/>
      <c r="VNV7" s="104"/>
      <c r="VNW7" s="104"/>
      <c r="VNX7" s="104"/>
      <c r="VNY7" s="104"/>
      <c r="VNZ7" s="104"/>
      <c r="VOA7" s="104"/>
      <c r="VOB7" s="104"/>
      <c r="VOC7" s="104"/>
      <c r="VOD7" s="104"/>
      <c r="VOE7" s="104"/>
      <c r="VOF7" s="104"/>
      <c r="VOG7" s="104"/>
      <c r="VOH7" s="104"/>
      <c r="VOI7" s="104"/>
      <c r="VOJ7" s="104"/>
      <c r="VOK7" s="104"/>
      <c r="VOL7" s="104"/>
      <c r="VOM7" s="104"/>
      <c r="VON7" s="104"/>
      <c r="VOO7" s="104"/>
      <c r="VOP7" s="104"/>
      <c r="VOQ7" s="104"/>
      <c r="VOR7" s="104"/>
      <c r="VOS7" s="104"/>
      <c r="VOT7" s="104"/>
      <c r="VOU7" s="104"/>
      <c r="VOV7" s="104"/>
      <c r="VOW7" s="104"/>
      <c r="VOX7" s="104"/>
      <c r="VOY7" s="104"/>
      <c r="VOZ7" s="104"/>
      <c r="VPA7" s="104"/>
      <c r="VPB7" s="104"/>
      <c r="VPC7" s="104"/>
      <c r="VPD7" s="104"/>
      <c r="VPE7" s="104"/>
      <c r="VPF7" s="104"/>
      <c r="VPG7" s="104"/>
      <c r="VPH7" s="104"/>
      <c r="VPI7" s="104"/>
      <c r="VPJ7" s="104"/>
      <c r="VPK7" s="104"/>
      <c r="VPL7" s="104"/>
      <c r="VPM7" s="104"/>
      <c r="VPN7" s="104"/>
      <c r="VPO7" s="104"/>
      <c r="VPP7" s="104"/>
      <c r="VPQ7" s="104"/>
      <c r="VPR7" s="104"/>
      <c r="VPS7" s="104"/>
      <c r="VPT7" s="104"/>
      <c r="VPU7" s="104"/>
      <c r="VPV7" s="104"/>
      <c r="VPW7" s="104"/>
      <c r="VPX7" s="104"/>
      <c r="VPY7" s="104"/>
      <c r="VPZ7" s="104"/>
      <c r="VQA7" s="104"/>
      <c r="VQB7" s="104"/>
      <c r="VQC7" s="104"/>
      <c r="VQD7" s="104"/>
      <c r="VQE7" s="104"/>
      <c r="VQF7" s="104"/>
      <c r="VQG7" s="104"/>
      <c r="VQH7" s="104"/>
      <c r="VQI7" s="104"/>
      <c r="VQJ7" s="104"/>
      <c r="VQK7" s="104"/>
      <c r="VQL7" s="104"/>
      <c r="VQM7" s="104"/>
      <c r="VQN7" s="104"/>
      <c r="VQO7" s="104"/>
      <c r="VQP7" s="104"/>
      <c r="VQQ7" s="104"/>
      <c r="VQR7" s="104"/>
      <c r="VQS7" s="104"/>
      <c r="VQT7" s="104"/>
      <c r="VQU7" s="104"/>
      <c r="VQV7" s="104"/>
      <c r="VQW7" s="104"/>
      <c r="VQX7" s="104"/>
      <c r="VQY7" s="104"/>
      <c r="VQZ7" s="104"/>
      <c r="VRA7" s="104"/>
      <c r="VRB7" s="104"/>
      <c r="VRC7" s="104"/>
      <c r="VRD7" s="104"/>
      <c r="VRE7" s="104"/>
      <c r="VRF7" s="104"/>
      <c r="VRG7" s="104"/>
      <c r="VRH7" s="104"/>
      <c r="VRI7" s="104"/>
      <c r="VRJ7" s="104"/>
      <c r="VRK7" s="104"/>
      <c r="VRL7" s="104"/>
      <c r="VRM7" s="104"/>
      <c r="VRN7" s="104"/>
      <c r="VRO7" s="104"/>
      <c r="VRP7" s="104"/>
      <c r="VRQ7" s="104"/>
      <c r="VRR7" s="104"/>
      <c r="VRS7" s="104"/>
      <c r="VRT7" s="104"/>
      <c r="VRU7" s="104"/>
      <c r="VRV7" s="104"/>
      <c r="VRW7" s="104"/>
      <c r="VRX7" s="104"/>
      <c r="VRY7" s="104"/>
      <c r="VRZ7" s="104"/>
      <c r="VSA7" s="104"/>
      <c r="VSB7" s="104"/>
      <c r="VSC7" s="104"/>
      <c r="VSD7" s="104"/>
      <c r="VSE7" s="104"/>
      <c r="VSF7" s="104"/>
      <c r="VSG7" s="104"/>
      <c r="VSH7" s="104"/>
      <c r="VSI7" s="104"/>
      <c r="VSJ7" s="104"/>
      <c r="VSK7" s="104"/>
      <c r="VSL7" s="104"/>
      <c r="VSM7" s="104"/>
      <c r="VSN7" s="104"/>
      <c r="VSO7" s="104"/>
      <c r="VSP7" s="104"/>
      <c r="VSQ7" s="104"/>
      <c r="VSR7" s="104"/>
      <c r="VSS7" s="104"/>
      <c r="VST7" s="104"/>
      <c r="VSU7" s="104"/>
      <c r="VSV7" s="104"/>
      <c r="VSW7" s="104"/>
      <c r="VSX7" s="104"/>
      <c r="VSY7" s="104"/>
      <c r="VSZ7" s="104"/>
      <c r="VTA7" s="104"/>
      <c r="VTB7" s="104"/>
      <c r="VTC7" s="104"/>
      <c r="VTD7" s="104"/>
      <c r="VTE7" s="104"/>
      <c r="VTF7" s="104"/>
      <c r="VTG7" s="104"/>
      <c r="VTH7" s="104"/>
      <c r="VTI7" s="104"/>
      <c r="VTJ7" s="104"/>
      <c r="VTK7" s="104"/>
      <c r="VTL7" s="104"/>
      <c r="VTM7" s="104"/>
      <c r="VTN7" s="104"/>
      <c r="VTO7" s="104"/>
      <c r="VTP7" s="104"/>
      <c r="VTQ7" s="104"/>
      <c r="VTR7" s="104"/>
      <c r="VTS7" s="104"/>
      <c r="VTT7" s="104"/>
      <c r="VTU7" s="104"/>
      <c r="VTV7" s="104"/>
      <c r="VTW7" s="104"/>
      <c r="VTX7" s="104"/>
      <c r="VTY7" s="104"/>
      <c r="VTZ7" s="104"/>
      <c r="VUA7" s="104"/>
      <c r="VUB7" s="104"/>
      <c r="VUC7" s="104"/>
      <c r="VUD7" s="104"/>
      <c r="VUE7" s="104"/>
      <c r="VUF7" s="104"/>
      <c r="VUG7" s="104"/>
      <c r="VUH7" s="104"/>
      <c r="VUI7" s="104"/>
      <c r="VUJ7" s="104"/>
      <c r="VUK7" s="104"/>
      <c r="VUL7" s="104"/>
      <c r="VUM7" s="104"/>
      <c r="VUN7" s="104"/>
      <c r="VUO7" s="104"/>
      <c r="VUP7" s="104"/>
      <c r="VUQ7" s="104"/>
      <c r="VUR7" s="104"/>
      <c r="VUS7" s="104"/>
      <c r="VUT7" s="104"/>
      <c r="VUU7" s="104"/>
      <c r="VUV7" s="104"/>
      <c r="VUW7" s="104"/>
      <c r="VUX7" s="104"/>
      <c r="VUY7" s="104"/>
      <c r="VUZ7" s="104"/>
      <c r="VVA7" s="104"/>
      <c r="VVB7" s="104"/>
      <c r="VVC7" s="104"/>
      <c r="VVD7" s="104"/>
      <c r="VVE7" s="104"/>
      <c r="VVF7" s="104"/>
      <c r="VVG7" s="104"/>
      <c r="VVH7" s="104"/>
      <c r="VVI7" s="104"/>
      <c r="VVJ7" s="104"/>
      <c r="VVK7" s="104"/>
      <c r="VVL7" s="104"/>
      <c r="VVM7" s="104"/>
      <c r="VVN7" s="104"/>
      <c r="VVO7" s="104"/>
      <c r="VVP7" s="104"/>
      <c r="VVQ7" s="104"/>
      <c r="VVR7" s="104"/>
      <c r="VVS7" s="104"/>
      <c r="VVT7" s="104"/>
      <c r="VVU7" s="104"/>
      <c r="VVV7" s="104"/>
      <c r="VVW7" s="104"/>
      <c r="VVX7" s="104"/>
      <c r="VVY7" s="104"/>
      <c r="VVZ7" s="104"/>
      <c r="VWA7" s="104"/>
      <c r="VWB7" s="104"/>
      <c r="VWC7" s="104"/>
      <c r="VWD7" s="104"/>
      <c r="VWE7" s="104"/>
      <c r="VWF7" s="104"/>
      <c r="VWG7" s="104"/>
      <c r="VWH7" s="104"/>
      <c r="VWI7" s="104"/>
      <c r="VWJ7" s="104"/>
      <c r="VWK7" s="104"/>
      <c r="VWL7" s="104"/>
      <c r="VWM7" s="104"/>
      <c r="VWN7" s="104"/>
      <c r="VWO7" s="104"/>
      <c r="VWP7" s="104"/>
      <c r="VWQ7" s="104"/>
      <c r="VWR7" s="104"/>
      <c r="VWS7" s="104"/>
      <c r="VWT7" s="104"/>
      <c r="VWU7" s="104"/>
      <c r="VWV7" s="104"/>
      <c r="VWW7" s="104"/>
      <c r="VWX7" s="104"/>
      <c r="VWY7" s="104"/>
      <c r="VWZ7" s="104"/>
      <c r="VXA7" s="104"/>
      <c r="VXB7" s="104"/>
      <c r="VXC7" s="104"/>
      <c r="VXD7" s="104"/>
      <c r="VXE7" s="104"/>
      <c r="VXF7" s="104"/>
      <c r="VXG7" s="104"/>
      <c r="VXH7" s="104"/>
      <c r="VXI7" s="104"/>
      <c r="VXJ7" s="104"/>
      <c r="VXK7" s="104"/>
      <c r="VXL7" s="104"/>
      <c r="VXM7" s="104"/>
      <c r="VXN7" s="104"/>
      <c r="VXO7" s="104"/>
      <c r="VXP7" s="104"/>
      <c r="VXQ7" s="104"/>
      <c r="VXR7" s="104"/>
      <c r="VXS7" s="104"/>
      <c r="VXT7" s="104"/>
      <c r="VXU7" s="104"/>
      <c r="VXV7" s="104"/>
      <c r="VXW7" s="104"/>
      <c r="VXX7" s="104"/>
      <c r="VXY7" s="104"/>
      <c r="VXZ7" s="104"/>
      <c r="VYA7" s="104"/>
      <c r="VYB7" s="104"/>
      <c r="VYC7" s="104"/>
      <c r="VYD7" s="104"/>
      <c r="VYE7" s="104"/>
      <c r="VYF7" s="104"/>
      <c r="VYG7" s="104"/>
      <c r="VYH7" s="104"/>
      <c r="VYI7" s="104"/>
      <c r="VYJ7" s="104"/>
      <c r="VYK7" s="104"/>
      <c r="VYL7" s="104"/>
      <c r="VYM7" s="104"/>
      <c r="VYN7" s="104"/>
      <c r="VYO7" s="104"/>
      <c r="VYP7" s="104"/>
      <c r="VYQ7" s="104"/>
      <c r="VYR7" s="104"/>
      <c r="VYS7" s="104"/>
      <c r="VYT7" s="104"/>
      <c r="VYU7" s="104"/>
      <c r="VYV7" s="104"/>
      <c r="VYW7" s="104"/>
      <c r="VYX7" s="104"/>
      <c r="VYY7" s="104"/>
      <c r="VYZ7" s="104"/>
      <c r="VZA7" s="104"/>
      <c r="VZB7" s="104"/>
      <c r="VZC7" s="104"/>
      <c r="VZD7" s="104"/>
      <c r="VZE7" s="104"/>
      <c r="VZF7" s="104"/>
      <c r="VZG7" s="104"/>
      <c r="VZH7" s="104"/>
      <c r="VZI7" s="104"/>
      <c r="VZJ7" s="104"/>
      <c r="VZK7" s="104"/>
      <c r="VZL7" s="104"/>
      <c r="VZM7" s="104"/>
      <c r="VZN7" s="104"/>
      <c r="VZO7" s="104"/>
      <c r="VZP7" s="104"/>
      <c r="VZQ7" s="104"/>
      <c r="VZR7" s="104"/>
      <c r="VZS7" s="104"/>
      <c r="VZT7" s="104"/>
      <c r="VZU7" s="104"/>
      <c r="VZV7" s="104"/>
      <c r="VZW7" s="104"/>
      <c r="VZX7" s="104"/>
      <c r="VZY7" s="104"/>
      <c r="VZZ7" s="104"/>
      <c r="WAA7" s="104"/>
      <c r="WAB7" s="104"/>
      <c r="WAC7" s="104"/>
      <c r="WAD7" s="104"/>
      <c r="WAE7" s="104"/>
      <c r="WAF7" s="104"/>
      <c r="WAG7" s="104"/>
      <c r="WAH7" s="104"/>
      <c r="WAI7" s="104"/>
      <c r="WAJ7" s="104"/>
      <c r="WAK7" s="104"/>
      <c r="WAL7" s="104"/>
      <c r="WAM7" s="104"/>
      <c r="WAN7" s="104"/>
      <c r="WAO7" s="104"/>
      <c r="WAP7" s="104"/>
      <c r="WAQ7" s="104"/>
      <c r="WAR7" s="104"/>
      <c r="WAS7" s="104"/>
      <c r="WAT7" s="104"/>
      <c r="WAU7" s="104"/>
      <c r="WAV7" s="104"/>
      <c r="WAW7" s="104"/>
      <c r="WAX7" s="104"/>
      <c r="WAY7" s="104"/>
      <c r="WAZ7" s="104"/>
      <c r="WBA7" s="104"/>
      <c r="WBB7" s="104"/>
      <c r="WBC7" s="104"/>
      <c r="WBD7" s="104"/>
      <c r="WBE7" s="104"/>
      <c r="WBF7" s="104"/>
      <c r="WBG7" s="104"/>
      <c r="WBH7" s="104"/>
      <c r="WBI7" s="104"/>
      <c r="WBJ7" s="104"/>
      <c r="WBK7" s="104"/>
      <c r="WBL7" s="104"/>
      <c r="WBM7" s="104"/>
      <c r="WBN7" s="104"/>
      <c r="WBO7" s="104"/>
      <c r="WBP7" s="104"/>
      <c r="WBQ7" s="104"/>
      <c r="WBR7" s="104"/>
      <c r="WBS7" s="104"/>
      <c r="WBT7" s="104"/>
      <c r="WBU7" s="104"/>
      <c r="WBV7" s="104"/>
      <c r="WBW7" s="104"/>
      <c r="WBX7" s="104"/>
      <c r="WBY7" s="104"/>
      <c r="WBZ7" s="104"/>
      <c r="WCA7" s="104"/>
      <c r="WCB7" s="104"/>
      <c r="WCC7" s="104"/>
      <c r="WCD7" s="104"/>
      <c r="WCE7" s="104"/>
      <c r="WCF7" s="104"/>
      <c r="WCG7" s="104"/>
      <c r="WCH7" s="104"/>
      <c r="WCI7" s="104"/>
      <c r="WCJ7" s="104"/>
      <c r="WCK7" s="104"/>
      <c r="WCL7" s="104"/>
      <c r="WCM7" s="104"/>
      <c r="WCN7" s="104"/>
      <c r="WCO7" s="104"/>
      <c r="WCP7" s="104"/>
      <c r="WCQ7" s="104"/>
      <c r="WCR7" s="104"/>
      <c r="WCS7" s="104"/>
      <c r="WCT7" s="104"/>
      <c r="WCU7" s="104"/>
      <c r="WCV7" s="104"/>
      <c r="WCW7" s="104"/>
      <c r="WCX7" s="104"/>
      <c r="WCY7" s="104"/>
      <c r="WCZ7" s="104"/>
      <c r="WDA7" s="104"/>
      <c r="WDB7" s="104"/>
      <c r="WDC7" s="104"/>
      <c r="WDD7" s="104"/>
      <c r="WDE7" s="104"/>
      <c r="WDF7" s="104"/>
      <c r="WDG7" s="104"/>
      <c r="WDH7" s="104"/>
      <c r="WDI7" s="104"/>
      <c r="WDJ7" s="104"/>
      <c r="WDK7" s="104"/>
      <c r="WDL7" s="104"/>
      <c r="WDM7" s="104"/>
      <c r="WDN7" s="104"/>
      <c r="WDO7" s="104"/>
      <c r="WDP7" s="104"/>
      <c r="WDQ7" s="104"/>
      <c r="WDR7" s="104"/>
      <c r="WDS7" s="104"/>
      <c r="WDT7" s="104"/>
      <c r="WDU7" s="104"/>
      <c r="WDV7" s="104"/>
      <c r="WDW7" s="104"/>
      <c r="WDX7" s="104"/>
      <c r="WDY7" s="104"/>
      <c r="WDZ7" s="104"/>
      <c r="WEA7" s="104"/>
      <c r="WEB7" s="104"/>
      <c r="WEC7" s="104"/>
      <c r="WED7" s="104"/>
      <c r="WEE7" s="104"/>
      <c r="WEF7" s="104"/>
      <c r="WEG7" s="104"/>
      <c r="WEH7" s="104"/>
      <c r="WEI7" s="104"/>
      <c r="WEJ7" s="104"/>
      <c r="WEK7" s="104"/>
      <c r="WEL7" s="104"/>
      <c r="WEM7" s="104"/>
      <c r="WEN7" s="104"/>
      <c r="WEO7" s="104"/>
      <c r="WEP7" s="104"/>
      <c r="WEQ7" s="104"/>
      <c r="WER7" s="104"/>
      <c r="WES7" s="104"/>
      <c r="WET7" s="104"/>
      <c r="WEU7" s="104"/>
      <c r="WEV7" s="104"/>
      <c r="WEW7" s="104"/>
      <c r="WEX7" s="104"/>
      <c r="WEY7" s="104"/>
      <c r="WEZ7" s="104"/>
      <c r="WFA7" s="104"/>
      <c r="WFB7" s="104"/>
      <c r="WFC7" s="104"/>
      <c r="WFD7" s="104"/>
      <c r="WFE7" s="104"/>
      <c r="WFF7" s="104"/>
      <c r="WFG7" s="104"/>
      <c r="WFH7" s="104"/>
      <c r="WFI7" s="104"/>
      <c r="WFJ7" s="104"/>
      <c r="WFK7" s="104"/>
      <c r="WFL7" s="104"/>
      <c r="WFM7" s="104"/>
      <c r="WFN7" s="104"/>
      <c r="WFO7" s="104"/>
      <c r="WFP7" s="104"/>
      <c r="WFQ7" s="104"/>
      <c r="WFR7" s="104"/>
      <c r="WFS7" s="104"/>
      <c r="WFT7" s="104"/>
      <c r="WFU7" s="104"/>
      <c r="WFV7" s="104"/>
      <c r="WFW7" s="104"/>
      <c r="WFX7" s="104"/>
      <c r="WFY7" s="104"/>
      <c r="WFZ7" s="104"/>
      <c r="WGA7" s="104"/>
      <c r="WGB7" s="104"/>
      <c r="WGC7" s="104"/>
      <c r="WGD7" s="104"/>
      <c r="WGE7" s="104"/>
      <c r="WGF7" s="104"/>
      <c r="WGG7" s="104"/>
      <c r="WGH7" s="104"/>
      <c r="WGI7" s="104"/>
      <c r="WGJ7" s="104"/>
      <c r="WGK7" s="104"/>
      <c r="WGL7" s="104"/>
      <c r="WGM7" s="104"/>
      <c r="WGN7" s="104"/>
      <c r="WGO7" s="104"/>
      <c r="WGP7" s="104"/>
      <c r="WGQ7" s="104"/>
      <c r="WGR7" s="104"/>
      <c r="WGS7" s="104"/>
      <c r="WGT7" s="104"/>
      <c r="WGU7" s="104"/>
      <c r="WGV7" s="104"/>
      <c r="WGW7" s="104"/>
      <c r="WGX7" s="104"/>
      <c r="WGY7" s="104"/>
      <c r="WGZ7" s="104"/>
      <c r="WHA7" s="104"/>
      <c r="WHB7" s="104"/>
      <c r="WHC7" s="104"/>
      <c r="WHD7" s="104"/>
      <c r="WHE7" s="104"/>
      <c r="WHF7" s="104"/>
      <c r="WHG7" s="104"/>
      <c r="WHH7" s="104"/>
      <c r="WHI7" s="104"/>
      <c r="WHJ7" s="104"/>
      <c r="WHK7" s="104"/>
      <c r="WHL7" s="104"/>
      <c r="WHM7" s="104"/>
      <c r="WHN7" s="104"/>
      <c r="WHO7" s="104"/>
      <c r="WHP7" s="104"/>
      <c r="WHQ7" s="104"/>
      <c r="WHR7" s="104"/>
      <c r="WHS7" s="104"/>
      <c r="WHT7" s="104"/>
      <c r="WHU7" s="104"/>
      <c r="WHV7" s="104"/>
      <c r="WHW7" s="104"/>
      <c r="WHX7" s="104"/>
      <c r="WHY7" s="104"/>
      <c r="WHZ7" s="104"/>
      <c r="WIA7" s="104"/>
      <c r="WIB7" s="104"/>
      <c r="WIC7" s="104"/>
      <c r="WID7" s="104"/>
      <c r="WIE7" s="104"/>
      <c r="WIF7" s="104"/>
      <c r="WIG7" s="104"/>
      <c r="WIH7" s="104"/>
      <c r="WII7" s="104"/>
      <c r="WIJ7" s="104"/>
      <c r="WIK7" s="104"/>
      <c r="WIL7" s="104"/>
      <c r="WIM7" s="104"/>
      <c r="WIN7" s="104"/>
      <c r="WIO7" s="104"/>
      <c r="WIP7" s="104"/>
      <c r="WIQ7" s="104"/>
      <c r="WIR7" s="104"/>
      <c r="WIS7" s="104"/>
      <c r="WIT7" s="104"/>
      <c r="WIU7" s="104"/>
      <c r="WIV7" s="104"/>
      <c r="WIW7" s="104"/>
      <c r="WIX7" s="104"/>
      <c r="WIY7" s="104"/>
      <c r="WIZ7" s="104"/>
      <c r="WJA7" s="104"/>
      <c r="WJB7" s="104"/>
      <c r="WJC7" s="104"/>
      <c r="WJD7" s="104"/>
      <c r="WJE7" s="104"/>
      <c r="WJF7" s="104"/>
      <c r="WJG7" s="104"/>
      <c r="WJH7" s="104"/>
      <c r="WJI7" s="104"/>
      <c r="WJJ7" s="104"/>
      <c r="WJK7" s="104"/>
      <c r="WJL7" s="104"/>
      <c r="WJM7" s="104"/>
      <c r="WJN7" s="104"/>
      <c r="WJO7" s="104"/>
      <c r="WJP7" s="104"/>
      <c r="WJQ7" s="104"/>
      <c r="WJR7" s="104"/>
      <c r="WJS7" s="104"/>
      <c r="WJT7" s="104"/>
      <c r="WJU7" s="104"/>
      <c r="WJV7" s="104"/>
      <c r="WJW7" s="104"/>
      <c r="WJX7" s="104"/>
      <c r="WJY7" s="104"/>
      <c r="WJZ7" s="104"/>
      <c r="WKA7" s="104"/>
      <c r="WKB7" s="104"/>
      <c r="WKC7" s="104"/>
      <c r="WKD7" s="104"/>
      <c r="WKE7" s="104"/>
      <c r="WKF7" s="104"/>
      <c r="WKG7" s="104"/>
      <c r="WKH7" s="104"/>
      <c r="WKI7" s="104"/>
      <c r="WKJ7" s="104"/>
      <c r="WKK7" s="104"/>
      <c r="WKL7" s="104"/>
      <c r="WKM7" s="104"/>
      <c r="WKN7" s="104"/>
      <c r="WKO7" s="104"/>
      <c r="WKP7" s="104"/>
      <c r="WKQ7" s="104"/>
      <c r="WKR7" s="104"/>
      <c r="WKS7" s="104"/>
      <c r="WKT7" s="104"/>
      <c r="WKU7" s="104"/>
      <c r="WKV7" s="104"/>
      <c r="WKW7" s="104"/>
      <c r="WKX7" s="104"/>
      <c r="WKY7" s="104"/>
      <c r="WKZ7" s="104"/>
      <c r="WLA7" s="104"/>
      <c r="WLB7" s="104"/>
      <c r="WLC7" s="104"/>
      <c r="WLD7" s="104"/>
      <c r="WLE7" s="104"/>
      <c r="WLF7" s="104"/>
      <c r="WLG7" s="104"/>
      <c r="WLH7" s="104"/>
      <c r="WLI7" s="104"/>
      <c r="WLJ7" s="104"/>
      <c r="WLK7" s="104"/>
      <c r="WLL7" s="104"/>
      <c r="WLM7" s="104"/>
      <c r="WLN7" s="104"/>
      <c r="WLO7" s="104"/>
      <c r="WLP7" s="104"/>
      <c r="WLQ7" s="104"/>
      <c r="WLR7" s="104"/>
      <c r="WLS7" s="104"/>
      <c r="WLT7" s="104"/>
      <c r="WLU7" s="104"/>
      <c r="WLV7" s="104"/>
      <c r="WLW7" s="104"/>
      <c r="WLX7" s="104"/>
      <c r="WLY7" s="104"/>
      <c r="WLZ7" s="104"/>
      <c r="WMA7" s="104"/>
      <c r="WMB7" s="104"/>
      <c r="WMC7" s="104"/>
      <c r="WMD7" s="104"/>
      <c r="WME7" s="104"/>
      <c r="WMF7" s="104"/>
      <c r="WMG7" s="104"/>
      <c r="WMH7" s="104"/>
      <c r="WMI7" s="104"/>
      <c r="WMJ7" s="104"/>
      <c r="WMK7" s="104"/>
      <c r="WML7" s="104"/>
      <c r="WMM7" s="104"/>
      <c r="WMN7" s="104"/>
      <c r="WMO7" s="104"/>
      <c r="WMP7" s="104"/>
      <c r="WMQ7" s="104"/>
      <c r="WMR7" s="104"/>
      <c r="WMS7" s="104"/>
      <c r="WMT7" s="104"/>
      <c r="WMU7" s="104"/>
      <c r="WMV7" s="104"/>
      <c r="WMW7" s="104"/>
      <c r="WMX7" s="104"/>
      <c r="WMY7" s="104"/>
      <c r="WMZ7" s="104"/>
      <c r="WNA7" s="104"/>
      <c r="WNB7" s="104"/>
      <c r="WNC7" s="104"/>
      <c r="WND7" s="104"/>
      <c r="WNE7" s="104"/>
      <c r="WNF7" s="104"/>
      <c r="WNG7" s="104"/>
      <c r="WNH7" s="104"/>
      <c r="WNI7" s="104"/>
      <c r="WNJ7" s="104"/>
      <c r="WNK7" s="104"/>
      <c r="WNL7" s="104"/>
      <c r="WNM7" s="104"/>
      <c r="WNN7" s="104"/>
      <c r="WNO7" s="104"/>
      <c r="WNP7" s="104"/>
      <c r="WNQ7" s="104"/>
      <c r="WNR7" s="104"/>
      <c r="WNS7" s="104"/>
      <c r="WNT7" s="104"/>
      <c r="WNU7" s="104"/>
      <c r="WNV7" s="104"/>
      <c r="WNW7" s="104"/>
      <c r="WNX7" s="104"/>
      <c r="WNY7" s="104"/>
      <c r="WNZ7" s="104"/>
      <c r="WOA7" s="104"/>
      <c r="WOB7" s="104"/>
      <c r="WOC7" s="104"/>
      <c r="WOD7" s="104"/>
      <c r="WOE7" s="104"/>
      <c r="WOF7" s="104"/>
      <c r="WOG7" s="104"/>
      <c r="WOH7" s="104"/>
      <c r="WOI7" s="104"/>
      <c r="WOJ7" s="104"/>
      <c r="WOK7" s="104"/>
      <c r="WOL7" s="104"/>
      <c r="WOM7" s="104"/>
      <c r="WON7" s="104"/>
      <c r="WOO7" s="104"/>
      <c r="WOP7" s="104"/>
      <c r="WOQ7" s="104"/>
      <c r="WOR7" s="104"/>
      <c r="WOS7" s="104"/>
      <c r="WOT7" s="104"/>
      <c r="WOU7" s="104"/>
      <c r="WOV7" s="104"/>
      <c r="WOW7" s="104"/>
      <c r="WOX7" s="104"/>
      <c r="WOY7" s="104"/>
      <c r="WOZ7" s="104"/>
      <c r="WPA7" s="104"/>
      <c r="WPB7" s="104"/>
      <c r="WPC7" s="104"/>
      <c r="WPD7" s="104"/>
      <c r="WPE7" s="104"/>
      <c r="WPF7" s="104"/>
      <c r="WPG7" s="104"/>
      <c r="WPH7" s="104"/>
      <c r="WPI7" s="104"/>
      <c r="WPJ7" s="104"/>
      <c r="WPK7" s="104"/>
      <c r="WPL7" s="104"/>
      <c r="WPM7" s="104"/>
      <c r="WPN7" s="104"/>
      <c r="WPO7" s="104"/>
      <c r="WPP7" s="104"/>
      <c r="WPQ7" s="104"/>
      <c r="WPR7" s="104"/>
      <c r="WPS7" s="104"/>
      <c r="WPT7" s="104"/>
      <c r="WPU7" s="104"/>
      <c r="WPV7" s="104"/>
      <c r="WPW7" s="104"/>
      <c r="WPX7" s="104"/>
      <c r="WPY7" s="104"/>
      <c r="WPZ7" s="104"/>
      <c r="WQA7" s="104"/>
      <c r="WQB7" s="104"/>
      <c r="WQC7" s="104"/>
      <c r="WQD7" s="104"/>
      <c r="WQE7" s="104"/>
      <c r="WQF7" s="104"/>
      <c r="WQG7" s="104"/>
      <c r="WQH7" s="104"/>
      <c r="WQI7" s="104"/>
      <c r="WQJ7" s="104"/>
      <c r="WQK7" s="104"/>
      <c r="WQL7" s="104"/>
      <c r="WQM7" s="104"/>
      <c r="WQN7" s="104"/>
      <c r="WQO7" s="104"/>
      <c r="WQP7" s="104"/>
      <c r="WQQ7" s="104"/>
      <c r="WQR7" s="104"/>
      <c r="WQS7" s="104"/>
      <c r="WQT7" s="104"/>
      <c r="WQU7" s="104"/>
      <c r="WQV7" s="104"/>
      <c r="WQW7" s="104"/>
      <c r="WQX7" s="104"/>
      <c r="WQY7" s="104"/>
      <c r="WQZ7" s="104"/>
      <c r="WRA7" s="104"/>
      <c r="WRB7" s="104"/>
      <c r="WRC7" s="104"/>
      <c r="WRD7" s="104"/>
      <c r="WRE7" s="104"/>
      <c r="WRF7" s="104"/>
      <c r="WRG7" s="104"/>
      <c r="WRH7" s="104"/>
      <c r="WRI7" s="104"/>
      <c r="WRJ7" s="104"/>
      <c r="WRK7" s="104"/>
      <c r="WRL7" s="104"/>
      <c r="WRM7" s="104"/>
      <c r="WRN7" s="104"/>
      <c r="WRO7" s="104"/>
      <c r="WRP7" s="104"/>
      <c r="WRQ7" s="104"/>
      <c r="WRR7" s="104"/>
      <c r="WRS7" s="104"/>
      <c r="WRT7" s="104"/>
      <c r="WRU7" s="104"/>
      <c r="WRV7" s="104"/>
      <c r="WRW7" s="104"/>
      <c r="WRX7" s="104"/>
      <c r="WRY7" s="104"/>
      <c r="WRZ7" s="104"/>
      <c r="WSA7" s="104"/>
      <c r="WSB7" s="104"/>
      <c r="WSC7" s="104"/>
      <c r="WSD7" s="104"/>
      <c r="WSE7" s="104"/>
      <c r="WSF7" s="104"/>
      <c r="WSG7" s="104"/>
      <c r="WSH7" s="104"/>
      <c r="WSI7" s="104"/>
      <c r="WSJ7" s="104"/>
      <c r="WSK7" s="104"/>
      <c r="WSL7" s="104"/>
      <c r="WSM7" s="104"/>
      <c r="WSN7" s="104"/>
      <c r="WSO7" s="104"/>
      <c r="WSP7" s="104"/>
      <c r="WSQ7" s="104"/>
      <c r="WSR7" s="104"/>
      <c r="WSS7" s="104"/>
      <c r="WST7" s="104"/>
      <c r="WSU7" s="104"/>
      <c r="WSV7" s="104"/>
      <c r="WSW7" s="104"/>
      <c r="WSX7" s="104"/>
      <c r="WSY7" s="104"/>
      <c r="WSZ7" s="104"/>
      <c r="WTA7" s="104"/>
      <c r="WTB7" s="104"/>
      <c r="WTC7" s="104"/>
      <c r="WTD7" s="104"/>
      <c r="WTE7" s="104"/>
      <c r="WTF7" s="104"/>
      <c r="WTG7" s="104"/>
      <c r="WTH7" s="104"/>
      <c r="WTI7" s="104"/>
      <c r="WTJ7" s="104"/>
      <c r="WTK7" s="104"/>
      <c r="WTL7" s="104"/>
      <c r="WTM7" s="104"/>
      <c r="WTN7" s="104"/>
      <c r="WTO7" s="104"/>
      <c r="WTP7" s="104"/>
      <c r="WTQ7" s="104"/>
      <c r="WTR7" s="104"/>
      <c r="WTS7" s="104"/>
      <c r="WTT7" s="104"/>
      <c r="WTU7" s="104"/>
      <c r="WTV7" s="104"/>
      <c r="WTW7" s="104"/>
      <c r="WTX7" s="104"/>
      <c r="WTY7" s="104"/>
      <c r="WTZ7" s="104"/>
      <c r="WUA7" s="104"/>
      <c r="WUB7" s="104"/>
      <c r="WUC7" s="104"/>
      <c r="WUD7" s="104"/>
      <c r="WUE7" s="104"/>
      <c r="WUF7" s="104"/>
      <c r="WUG7" s="104"/>
      <c r="WUH7" s="104"/>
      <c r="WUI7" s="104"/>
      <c r="WUJ7" s="104"/>
      <c r="WUK7" s="104"/>
      <c r="WUL7" s="104"/>
      <c r="WUM7" s="104"/>
      <c r="WUN7" s="104"/>
      <c r="WUO7" s="104"/>
      <c r="WUP7" s="104"/>
      <c r="WUQ7" s="104"/>
      <c r="WUR7" s="104"/>
      <c r="WUS7" s="104"/>
      <c r="WUT7" s="104"/>
      <c r="WUU7" s="104"/>
      <c r="WUV7" s="104"/>
      <c r="WUW7" s="104"/>
      <c r="WUX7" s="104"/>
      <c r="WUY7" s="104"/>
      <c r="WUZ7" s="104"/>
      <c r="WVA7" s="104"/>
      <c r="WVB7" s="104"/>
      <c r="WVC7" s="104"/>
      <c r="WVD7" s="104"/>
      <c r="WVE7" s="104"/>
      <c r="WVF7" s="104"/>
      <c r="WVG7" s="104"/>
      <c r="WVH7" s="104"/>
      <c r="WVI7" s="104"/>
      <c r="WVJ7" s="104"/>
      <c r="WVK7" s="104"/>
      <c r="WVL7" s="104"/>
      <c r="WVM7" s="104"/>
      <c r="WVN7" s="104"/>
      <c r="WVO7" s="104"/>
      <c r="WVP7" s="104"/>
      <c r="WVQ7" s="104"/>
      <c r="WVR7" s="104"/>
      <c r="WVS7" s="104"/>
      <c r="WVT7" s="104"/>
      <c r="WVU7" s="104"/>
      <c r="WVV7" s="104"/>
      <c r="WVW7" s="104"/>
      <c r="WVX7" s="104"/>
      <c r="WVY7" s="104"/>
      <c r="WVZ7" s="104"/>
      <c r="WWA7" s="104"/>
      <c r="WWB7" s="104"/>
      <c r="WWC7" s="104"/>
      <c r="WWD7" s="104"/>
      <c r="WWE7" s="104"/>
      <c r="WWF7" s="104"/>
      <c r="WWG7" s="104"/>
      <c r="WWH7" s="104"/>
      <c r="WWI7" s="104"/>
      <c r="WWJ7" s="104"/>
      <c r="WWK7" s="104"/>
      <c r="WWL7" s="104"/>
      <c r="WWM7" s="104"/>
      <c r="WWN7" s="104"/>
      <c r="WWO7" s="104"/>
      <c r="WWP7" s="104"/>
      <c r="WWQ7" s="104"/>
      <c r="WWR7" s="104"/>
      <c r="WWS7" s="104"/>
      <c r="WWT7" s="104"/>
      <c r="WWU7" s="104"/>
      <c r="WWV7" s="104"/>
      <c r="WWW7" s="104"/>
      <c r="WWX7" s="104"/>
      <c r="WWY7" s="104"/>
      <c r="WWZ7" s="104"/>
      <c r="WXA7" s="104"/>
      <c r="WXB7" s="104"/>
      <c r="WXC7" s="104"/>
      <c r="WXD7" s="104"/>
      <c r="WXE7" s="104"/>
      <c r="WXF7" s="104"/>
      <c r="WXG7" s="104"/>
      <c r="WXH7" s="104"/>
      <c r="WXI7" s="104"/>
      <c r="WXJ7" s="104"/>
      <c r="WXK7" s="104"/>
      <c r="WXL7" s="104"/>
      <c r="WXM7" s="104"/>
      <c r="WXN7" s="104"/>
      <c r="WXO7" s="104"/>
      <c r="WXP7" s="104"/>
      <c r="WXQ7" s="104"/>
      <c r="WXR7" s="104"/>
      <c r="WXS7" s="104"/>
      <c r="WXT7" s="104"/>
      <c r="WXU7" s="104"/>
      <c r="WXV7" s="104"/>
      <c r="WXW7" s="104"/>
      <c r="WXX7" s="104"/>
      <c r="WXY7" s="104"/>
      <c r="WXZ7" s="104"/>
      <c r="WYA7" s="104"/>
      <c r="WYB7" s="104"/>
      <c r="WYC7" s="104"/>
      <c r="WYD7" s="104"/>
      <c r="WYE7" s="104"/>
      <c r="WYF7" s="104"/>
      <c r="WYG7" s="104"/>
      <c r="WYH7" s="104"/>
      <c r="WYI7" s="104"/>
      <c r="WYJ7" s="104"/>
      <c r="WYK7" s="104"/>
      <c r="WYL7" s="104"/>
      <c r="WYM7" s="104"/>
      <c r="WYN7" s="104"/>
      <c r="WYO7" s="104"/>
      <c r="WYP7" s="104"/>
      <c r="WYQ7" s="104"/>
      <c r="WYR7" s="104"/>
      <c r="WYS7" s="104"/>
      <c r="WYT7" s="104"/>
      <c r="WYU7" s="104"/>
      <c r="WYV7" s="104"/>
      <c r="WYW7" s="104"/>
      <c r="WYX7" s="104"/>
      <c r="WYY7" s="104"/>
      <c r="WYZ7" s="104"/>
      <c r="WZA7" s="104"/>
      <c r="WZB7" s="104"/>
      <c r="WZC7" s="104"/>
      <c r="WZD7" s="104"/>
      <c r="WZE7" s="104"/>
      <c r="WZF7" s="104"/>
      <c r="WZG7" s="104"/>
      <c r="WZH7" s="104"/>
      <c r="WZI7" s="104"/>
      <c r="WZJ7" s="104"/>
      <c r="WZK7" s="104"/>
      <c r="WZL7" s="104"/>
      <c r="WZM7" s="104"/>
      <c r="WZN7" s="104"/>
      <c r="WZO7" s="104"/>
      <c r="WZP7" s="104"/>
      <c r="WZQ7" s="104"/>
      <c r="WZR7" s="104"/>
      <c r="WZS7" s="104"/>
      <c r="WZT7" s="104"/>
      <c r="WZU7" s="104"/>
      <c r="WZV7" s="104"/>
      <c r="WZW7" s="104"/>
      <c r="WZX7" s="104"/>
      <c r="WZY7" s="104"/>
      <c r="WZZ7" s="104"/>
      <c r="XAA7" s="104"/>
      <c r="XAB7" s="104"/>
      <c r="XAC7" s="104"/>
      <c r="XAD7" s="104"/>
      <c r="XAE7" s="104"/>
      <c r="XAF7" s="104"/>
      <c r="XAG7" s="104"/>
      <c r="XAH7" s="104"/>
      <c r="XAI7" s="104"/>
      <c r="XAJ7" s="104"/>
      <c r="XAK7" s="104"/>
      <c r="XAL7" s="104"/>
      <c r="XAM7" s="104"/>
      <c r="XAN7" s="104"/>
      <c r="XAO7" s="104"/>
      <c r="XAP7" s="104"/>
      <c r="XAQ7" s="104"/>
      <c r="XAR7" s="104"/>
      <c r="XAS7" s="104"/>
      <c r="XAT7" s="104"/>
      <c r="XAU7" s="104"/>
      <c r="XAV7" s="104"/>
      <c r="XAW7" s="104"/>
      <c r="XAX7" s="104"/>
      <c r="XAY7" s="104"/>
      <c r="XAZ7" s="104"/>
      <c r="XBA7" s="104"/>
      <c r="XBB7" s="104"/>
      <c r="XBC7" s="104"/>
      <c r="XBD7" s="104"/>
      <c r="XBE7" s="104"/>
      <c r="XBF7" s="104"/>
      <c r="XBG7" s="104"/>
      <c r="XBH7" s="104"/>
      <c r="XBI7" s="104"/>
      <c r="XBJ7" s="104"/>
      <c r="XBK7" s="104"/>
      <c r="XBL7" s="104"/>
      <c r="XBM7" s="104"/>
      <c r="XBN7" s="104"/>
      <c r="XBO7" s="104"/>
      <c r="XBP7" s="104"/>
      <c r="XBQ7" s="104"/>
      <c r="XBR7" s="104"/>
      <c r="XBS7" s="104"/>
      <c r="XBT7" s="104"/>
      <c r="XBU7" s="104"/>
      <c r="XBV7" s="104"/>
      <c r="XBW7" s="104"/>
      <c r="XBX7" s="104"/>
      <c r="XBY7" s="104"/>
      <c r="XBZ7" s="104"/>
      <c r="XCA7" s="104"/>
      <c r="XCB7" s="104"/>
      <c r="XCC7" s="104"/>
      <c r="XCD7" s="104"/>
      <c r="XCE7" s="104"/>
      <c r="XCF7" s="104"/>
      <c r="XCG7" s="104"/>
      <c r="XCH7" s="104"/>
      <c r="XCI7" s="104"/>
      <c r="XCJ7" s="104"/>
      <c r="XCK7" s="104"/>
      <c r="XCL7" s="104"/>
      <c r="XCM7" s="104"/>
      <c r="XCN7" s="104"/>
      <c r="XCO7" s="104"/>
      <c r="XCP7" s="104"/>
      <c r="XCQ7" s="104"/>
      <c r="XCR7" s="104"/>
      <c r="XCS7" s="104"/>
      <c r="XCT7" s="104"/>
      <c r="XCU7" s="104"/>
      <c r="XCV7" s="104"/>
      <c r="XCW7" s="104"/>
      <c r="XCX7" s="104"/>
      <c r="XCY7" s="104"/>
      <c r="XCZ7" s="104"/>
      <c r="XDA7" s="104"/>
      <c r="XDB7" s="104"/>
      <c r="XDC7" s="104"/>
      <c r="XDD7" s="104"/>
      <c r="XDE7" s="104"/>
      <c r="XDF7" s="104"/>
      <c r="XDG7" s="104"/>
      <c r="XDH7" s="104"/>
      <c r="XDI7" s="104"/>
      <c r="XDJ7" s="104"/>
      <c r="XDK7" s="104"/>
      <c r="XDL7" s="104"/>
      <c r="XDM7" s="104"/>
      <c r="XDN7" s="104"/>
      <c r="XDO7" s="104"/>
      <c r="XDP7" s="104"/>
      <c r="XDQ7" s="104"/>
      <c r="XDR7" s="104"/>
      <c r="XDS7" s="104"/>
      <c r="XDT7" s="104"/>
      <c r="XDU7" s="104"/>
      <c r="XDV7" s="104"/>
      <c r="XDW7" s="104"/>
      <c r="XDX7" s="104"/>
      <c r="XDY7" s="104"/>
      <c r="XDZ7" s="104"/>
      <c r="XEA7" s="104"/>
      <c r="XEB7" s="104"/>
      <c r="XEC7" s="104"/>
      <c r="XED7" s="104"/>
      <c r="XEE7" s="104"/>
      <c r="XEF7" s="104"/>
      <c r="XEG7" s="104"/>
      <c r="XEH7" s="104"/>
      <c r="XEI7" s="104"/>
      <c r="XEJ7" s="104"/>
      <c r="XEK7" s="104"/>
      <c r="XEL7" s="104"/>
      <c r="XEM7" s="104"/>
      <c r="XEN7" s="104"/>
      <c r="XEO7" s="104"/>
      <c r="XEP7" s="104"/>
      <c r="XEQ7" s="104"/>
      <c r="XER7" s="104"/>
      <c r="XES7" s="104"/>
      <c r="XET7" s="104"/>
      <c r="XEU7" s="104"/>
      <c r="XEV7" s="104"/>
      <c r="XEW7" s="104"/>
      <c r="XEX7" s="104"/>
      <c r="XEY7" s="104"/>
      <c r="XEZ7" s="104"/>
      <c r="XFA7" s="104"/>
    </row>
  </sheetData>
  <mergeCells count="38">
    <mergeCell ref="F1:F2"/>
    <mergeCell ref="G1:G2"/>
    <mergeCell ref="H1:H2"/>
    <mergeCell ref="I1:I2"/>
    <mergeCell ref="A1:A2"/>
    <mergeCell ref="B1:B2"/>
    <mergeCell ref="C1:C2"/>
    <mergeCell ref="D1:D2"/>
    <mergeCell ref="E1:E2"/>
    <mergeCell ref="W1:W2"/>
    <mergeCell ref="J1:J2"/>
    <mergeCell ref="K1:K2"/>
    <mergeCell ref="L1:L2"/>
    <mergeCell ref="M1:M2"/>
    <mergeCell ref="N1:N2"/>
    <mergeCell ref="O1:O2"/>
    <mergeCell ref="P1:P2"/>
    <mergeCell ref="Q1:Q2"/>
    <mergeCell ref="R1:R2"/>
    <mergeCell ref="S1:U1"/>
    <mergeCell ref="V1:V2"/>
    <mergeCell ref="AK1:AK2"/>
    <mergeCell ref="X1:X2"/>
    <mergeCell ref="Y1:Y2"/>
    <mergeCell ref="Z1:AB1"/>
    <mergeCell ref="AC1:AC2"/>
    <mergeCell ref="AD1:AD2"/>
    <mergeCell ref="AE1:AE2"/>
    <mergeCell ref="AF1:AF2"/>
    <mergeCell ref="AG1:AG2"/>
    <mergeCell ref="AH1:AH2"/>
    <mergeCell ref="AI1:AI2"/>
    <mergeCell ref="AJ1:AJ2"/>
    <mergeCell ref="AL1:AL2"/>
    <mergeCell ref="AM1:AM2"/>
    <mergeCell ref="AN1:AN2"/>
    <mergeCell ref="AO1:AO2"/>
    <mergeCell ref="AP1:AP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C9EF6-BB50-4D83-90EF-6A0B6015572B}">
  <sheetPr codeName="Sheet6">
    <tabColor rgb="FFC00000"/>
  </sheetPr>
  <dimension ref="A1:AU77"/>
  <sheetViews>
    <sheetView zoomScale="80" zoomScaleNormal="80" workbookViewId="0">
      <pane ySplit="2" topLeftCell="A61" activePane="bottomLeft" state="frozen"/>
      <selection activeCell="I7" sqref="I7"/>
      <selection pane="bottomLeft" activeCell="B72" sqref="B72"/>
    </sheetView>
  </sheetViews>
  <sheetFormatPr defaultColWidth="9.140625" defaultRowHeight="15"/>
  <cols>
    <col min="1" max="1" width="9.140625" style="92"/>
    <col min="2" max="2" width="16" style="92" customWidth="1"/>
    <col min="3" max="3" width="12.42578125" style="92" customWidth="1"/>
    <col min="4" max="4" width="16.7109375" style="92" customWidth="1"/>
    <col min="5" max="5" width="30.85546875" style="92" customWidth="1"/>
    <col min="6" max="6" width="16.85546875" style="92" customWidth="1"/>
    <col min="7" max="7" width="9.140625" style="92"/>
    <col min="8" max="8" width="17" style="92" customWidth="1"/>
    <col min="9" max="9" width="18.140625" style="92" customWidth="1"/>
    <col min="10" max="10" width="12.28515625" style="92" customWidth="1"/>
    <col min="11" max="11" width="9.140625" style="92"/>
    <col min="12" max="12" width="17.140625" style="92" customWidth="1"/>
    <col min="13" max="26" width="9.140625" style="92"/>
    <col min="27" max="27" width="10.42578125" style="92" customWidth="1"/>
    <col min="28" max="16384" width="9.140625" style="92"/>
  </cols>
  <sheetData>
    <row r="1" spans="1:44">
      <c r="A1" s="1036" t="s">
        <v>0</v>
      </c>
      <c r="B1" s="1046" t="s">
        <v>1</v>
      </c>
      <c r="C1" s="1047" t="s">
        <v>2</v>
      </c>
      <c r="D1" s="1036" t="s">
        <v>3</v>
      </c>
      <c r="E1" s="1036" t="s">
        <v>4</v>
      </c>
      <c r="F1" s="1036" t="s">
        <v>5</v>
      </c>
      <c r="G1" s="1040" t="s">
        <v>6</v>
      </c>
      <c r="H1" s="1036" t="s">
        <v>7</v>
      </c>
      <c r="I1" s="1036" t="s">
        <v>8</v>
      </c>
      <c r="J1" s="1036" t="s">
        <v>9</v>
      </c>
      <c r="K1" s="1036" t="s">
        <v>10</v>
      </c>
      <c r="L1" s="1044" t="s">
        <v>11</v>
      </c>
      <c r="M1" s="1036" t="s">
        <v>12</v>
      </c>
      <c r="N1" s="1036" t="s">
        <v>13</v>
      </c>
      <c r="O1" s="1036" t="s">
        <v>14</v>
      </c>
      <c r="P1" s="1036" t="s">
        <v>15</v>
      </c>
      <c r="Q1" s="1045" t="s">
        <v>16</v>
      </c>
      <c r="R1" s="1036" t="s">
        <v>17</v>
      </c>
      <c r="S1" s="1039" t="s">
        <v>18</v>
      </c>
      <c r="T1" s="1039"/>
      <c r="U1" s="1039"/>
      <c r="V1" s="1040" t="s">
        <v>19</v>
      </c>
      <c r="W1" s="1041" t="s">
        <v>20</v>
      </c>
      <c r="X1" s="1041" t="s">
        <v>21</v>
      </c>
      <c r="Y1" s="1036" t="s">
        <v>22</v>
      </c>
      <c r="Z1" s="1043" t="s">
        <v>23</v>
      </c>
      <c r="AA1" s="1043"/>
      <c r="AB1" s="1043"/>
      <c r="AC1" s="1036" t="s">
        <v>24</v>
      </c>
      <c r="AD1" s="1036" t="s">
        <v>25</v>
      </c>
      <c r="AE1" s="1036" t="s">
        <v>26</v>
      </c>
      <c r="AF1" s="1036" t="s">
        <v>27</v>
      </c>
      <c r="AG1" s="1036" t="s">
        <v>28</v>
      </c>
      <c r="AH1" s="1036" t="s">
        <v>29</v>
      </c>
      <c r="AI1" s="1036" t="s">
        <v>30</v>
      </c>
      <c r="AJ1" s="1036" t="s">
        <v>31</v>
      </c>
      <c r="AK1" s="1036" t="s">
        <v>32</v>
      </c>
      <c r="AL1" s="1036" t="s">
        <v>33</v>
      </c>
      <c r="AM1" s="1036" t="s">
        <v>34</v>
      </c>
      <c r="AN1" s="1037" t="s">
        <v>35</v>
      </c>
      <c r="AO1" s="1036" t="s">
        <v>36</v>
      </c>
      <c r="AP1" s="1036" t="s">
        <v>37</v>
      </c>
    </row>
    <row r="2" spans="1:44" ht="60">
      <c r="A2" s="1036"/>
      <c r="B2" s="1046"/>
      <c r="C2" s="1047"/>
      <c r="D2" s="1036"/>
      <c r="E2" s="1036"/>
      <c r="F2" s="1036"/>
      <c r="G2" s="1040"/>
      <c r="H2" s="1036"/>
      <c r="I2" s="1036"/>
      <c r="J2" s="1036"/>
      <c r="K2" s="1036"/>
      <c r="L2" s="1044"/>
      <c r="M2" s="1036"/>
      <c r="N2" s="1036"/>
      <c r="O2" s="1036"/>
      <c r="P2" s="1036"/>
      <c r="Q2" s="1045"/>
      <c r="R2" s="1036"/>
      <c r="S2" s="96" t="s">
        <v>38</v>
      </c>
      <c r="T2" s="96" t="s">
        <v>39</v>
      </c>
      <c r="U2" s="96" t="s">
        <v>40</v>
      </c>
      <c r="V2" s="1040"/>
      <c r="W2" s="1041"/>
      <c r="X2" s="1042"/>
      <c r="Y2" s="1043"/>
      <c r="Z2" s="97" t="s">
        <v>41</v>
      </c>
      <c r="AA2" s="98" t="s">
        <v>42</v>
      </c>
      <c r="AB2" s="99" t="s">
        <v>43</v>
      </c>
      <c r="AC2" s="1043"/>
      <c r="AD2" s="1036"/>
      <c r="AE2" s="1036"/>
      <c r="AF2" s="1036"/>
      <c r="AG2" s="1036"/>
      <c r="AH2" s="1036"/>
      <c r="AI2" s="1036"/>
      <c r="AJ2" s="1036"/>
      <c r="AK2" s="1036"/>
      <c r="AL2" s="1036"/>
      <c r="AM2" s="1036"/>
      <c r="AN2" s="1038"/>
      <c r="AO2" s="1036"/>
      <c r="AP2" s="1036"/>
    </row>
    <row r="3" spans="1:44" customFormat="1" ht="51">
      <c r="A3" s="62">
        <v>45076</v>
      </c>
      <c r="B3" s="36" t="s">
        <v>680</v>
      </c>
      <c r="C3" s="70" t="s">
        <v>684</v>
      </c>
      <c r="D3" s="18"/>
      <c r="E3" s="46" t="s">
        <v>686</v>
      </c>
      <c r="F3" s="53" t="s">
        <v>52</v>
      </c>
      <c r="G3" s="140">
        <v>500</v>
      </c>
      <c r="H3" s="129" t="s">
        <v>633</v>
      </c>
      <c r="I3" s="54" t="s">
        <v>632</v>
      </c>
      <c r="J3" s="79" t="s">
        <v>631</v>
      </c>
      <c r="K3" s="53" t="s">
        <v>56</v>
      </c>
      <c r="L3" s="50" t="s">
        <v>630</v>
      </c>
      <c r="M3" s="21">
        <v>45125</v>
      </c>
      <c r="N3" s="142"/>
      <c r="O3" s="55" t="s">
        <v>629</v>
      </c>
      <c r="P3" s="29">
        <v>42600</v>
      </c>
      <c r="Q3" s="71"/>
      <c r="R3" s="79" t="s">
        <v>45</v>
      </c>
      <c r="S3" s="49">
        <v>60</v>
      </c>
      <c r="T3" s="49">
        <v>30</v>
      </c>
      <c r="U3" s="49">
        <v>84</v>
      </c>
      <c r="V3" s="65">
        <v>5</v>
      </c>
      <c r="W3" s="65">
        <f>ROUND(G3/V3,2)</f>
        <v>100</v>
      </c>
      <c r="X3" s="65">
        <f>(5*V3+1.5)*W3</f>
        <v>2650</v>
      </c>
      <c r="Y3" s="49">
        <f>ROUND((S3*T3*U3)*0.000001*W3,2)</f>
        <v>15.12</v>
      </c>
      <c r="Z3" s="72">
        <f>39.95+0.13</f>
        <v>40.080000000000005</v>
      </c>
      <c r="AA3" s="56">
        <f>Z3*G3</f>
        <v>20040.000000000004</v>
      </c>
      <c r="AB3" s="57" t="s">
        <v>46</v>
      </c>
      <c r="AC3" s="18"/>
      <c r="AD3" s="19"/>
      <c r="AE3" s="67"/>
      <c r="AF3" s="67"/>
      <c r="AG3" s="67"/>
      <c r="AH3" s="61"/>
      <c r="AI3" s="67"/>
      <c r="AJ3" s="67"/>
      <c r="AK3" s="67"/>
      <c r="AL3" s="67"/>
      <c r="AM3" s="61"/>
      <c r="AN3" s="61"/>
      <c r="AO3" s="141"/>
      <c r="AP3" s="141"/>
    </row>
    <row r="4" spans="1:44" s="115" customFormat="1" ht="25.5">
      <c r="A4" s="118">
        <v>45089</v>
      </c>
      <c r="B4" s="28" t="s">
        <v>702</v>
      </c>
      <c r="C4" s="70" t="s">
        <v>701</v>
      </c>
      <c r="D4" s="18"/>
      <c r="E4" s="50" t="s">
        <v>1074</v>
      </c>
      <c r="F4" s="74" t="s">
        <v>52</v>
      </c>
      <c r="G4" s="44">
        <v>150</v>
      </c>
      <c r="H4" s="50" t="s">
        <v>700</v>
      </c>
      <c r="I4" s="33" t="s">
        <v>699</v>
      </c>
      <c r="J4" s="79" t="s">
        <v>698</v>
      </c>
      <c r="K4" s="129" t="s">
        <v>63</v>
      </c>
      <c r="L4" s="50" t="s">
        <v>697</v>
      </c>
      <c r="M4" s="21">
        <v>45174</v>
      </c>
      <c r="N4" s="148"/>
      <c r="O4" s="64" t="s">
        <v>382</v>
      </c>
      <c r="P4" s="40">
        <v>44177</v>
      </c>
      <c r="Q4" s="71"/>
      <c r="R4" s="31" t="s">
        <v>45</v>
      </c>
      <c r="S4" s="23">
        <v>62</v>
      </c>
      <c r="T4" s="23">
        <v>38</v>
      </c>
      <c r="U4" s="23">
        <v>52</v>
      </c>
      <c r="V4" s="128">
        <v>5</v>
      </c>
      <c r="W4" s="25">
        <f>ROUND(G4/V4,2)</f>
        <v>30</v>
      </c>
      <c r="X4" s="143">
        <f>19*W4</f>
        <v>570</v>
      </c>
      <c r="Y4" s="127">
        <f>ROUND((S4*T4*U4)*0.000001*W4,2)</f>
        <v>3.68</v>
      </c>
      <c r="Z4" s="27">
        <v>46.9</v>
      </c>
      <c r="AA4" s="66">
        <f>Z4*G4</f>
        <v>7035</v>
      </c>
      <c r="AB4" s="35" t="s">
        <v>46</v>
      </c>
      <c r="AC4" s="18"/>
      <c r="AD4" s="41"/>
      <c r="AE4" s="67"/>
      <c r="AF4" s="67"/>
      <c r="AG4" s="67"/>
      <c r="AH4" s="61"/>
      <c r="AI4" s="67"/>
      <c r="AJ4" s="67"/>
      <c r="AK4" s="67"/>
      <c r="AL4" s="67"/>
      <c r="AM4" s="67"/>
      <c r="AN4" s="67"/>
      <c r="AO4" s="30"/>
      <c r="AP4" s="67">
        <v>45159</v>
      </c>
    </row>
    <row r="5" spans="1:44" ht="30" customHeight="1">
      <c r="A5" s="1" t="s">
        <v>1240</v>
      </c>
      <c r="B5" s="2"/>
      <c r="C5" s="3"/>
      <c r="D5" s="4"/>
      <c r="E5" s="5"/>
      <c r="F5" s="5"/>
      <c r="G5" s="5"/>
      <c r="H5" s="9"/>
      <c r="I5" s="5"/>
      <c r="J5" s="5"/>
      <c r="K5" s="5"/>
      <c r="L5" s="6"/>
      <c r="M5" s="3"/>
      <c r="N5" s="3"/>
      <c r="O5" s="13"/>
      <c r="P5" s="14"/>
      <c r="Q5" s="13"/>
      <c r="R5" s="7"/>
      <c r="S5" s="8"/>
      <c r="T5" s="8"/>
      <c r="U5" s="8"/>
      <c r="V5" s="8"/>
      <c r="W5" s="9"/>
      <c r="X5" s="10"/>
      <c r="Y5" s="11"/>
      <c r="Z5" s="10"/>
      <c r="AA5" s="12"/>
      <c r="AB5" s="3"/>
      <c r="AC5" s="3"/>
      <c r="AD5" s="7"/>
      <c r="AE5" s="13"/>
      <c r="AF5" s="14"/>
      <c r="AG5" s="13"/>
      <c r="AH5" s="14"/>
      <c r="AI5" s="13"/>
      <c r="AJ5" s="14"/>
      <c r="AK5" s="14"/>
      <c r="AL5" s="14"/>
      <c r="AM5" s="14"/>
      <c r="AN5" s="14"/>
      <c r="AO5" s="14"/>
      <c r="AP5" s="14"/>
      <c r="AQ5" s="14"/>
      <c r="AR5" s="14"/>
    </row>
    <row r="6" spans="1:44" s="104" customFormat="1" ht="76.5">
      <c r="A6" s="73">
        <v>45234</v>
      </c>
      <c r="B6" s="36" t="s">
        <v>1236</v>
      </c>
      <c r="C6" s="70" t="s">
        <v>1238</v>
      </c>
      <c r="D6" s="18"/>
      <c r="E6" s="316" t="s">
        <v>1256</v>
      </c>
      <c r="F6" s="47" t="s">
        <v>679</v>
      </c>
      <c r="G6" s="38">
        <v>560</v>
      </c>
      <c r="H6" s="47" t="s">
        <v>710</v>
      </c>
      <c r="I6" s="312" t="s">
        <v>119</v>
      </c>
      <c r="J6" s="60" t="s">
        <v>101</v>
      </c>
      <c r="K6" s="60" t="s">
        <v>53</v>
      </c>
      <c r="L6" s="69" t="s">
        <v>72</v>
      </c>
      <c r="M6" s="21">
        <v>45314</v>
      </c>
      <c r="N6" s="103" t="s">
        <v>1239</v>
      </c>
      <c r="O6" s="60" t="s">
        <v>1225</v>
      </c>
      <c r="P6" s="80">
        <v>42319</v>
      </c>
      <c r="Q6" s="71"/>
      <c r="R6" s="52" t="s">
        <v>123</v>
      </c>
      <c r="S6" s="60">
        <f>ROUND(16.535*2.54,2)</f>
        <v>42</v>
      </c>
      <c r="T6" s="60">
        <f>ROUND(9.057*2.54,2)</f>
        <v>23</v>
      </c>
      <c r="U6" s="60">
        <f>ROUND(1.574*2.54,2)</f>
        <v>4</v>
      </c>
      <c r="V6" s="60">
        <v>1</v>
      </c>
      <c r="W6" s="60">
        <f>ROUND(G6/V6,2)</f>
        <v>560</v>
      </c>
      <c r="X6" s="312">
        <f>0.8*W6</f>
        <v>448</v>
      </c>
      <c r="Y6" s="60">
        <f>ROUND((S6*T6*U6)*0.000001*W6,2)</f>
        <v>2.16</v>
      </c>
      <c r="Z6" s="72">
        <v>8.09</v>
      </c>
      <c r="AA6" s="314">
        <f>Z6*G6</f>
        <v>4530.3999999999996</v>
      </c>
      <c r="AB6" s="77" t="s">
        <v>46</v>
      </c>
      <c r="AC6" s="18"/>
      <c r="AD6" s="38" t="s">
        <v>104</v>
      </c>
      <c r="AE6" s="67"/>
      <c r="AF6" s="67"/>
      <c r="AG6" s="67"/>
      <c r="AH6" s="67"/>
      <c r="AI6" s="30" t="s">
        <v>51</v>
      </c>
      <c r="AJ6" s="67"/>
      <c r="AK6" s="67"/>
      <c r="AL6" s="67"/>
      <c r="AM6" s="67"/>
      <c r="AN6" s="67"/>
      <c r="AO6" s="30"/>
      <c r="AP6" s="30"/>
      <c r="AQ6" s="32"/>
      <c r="AR6" s="67"/>
    </row>
    <row r="7" spans="1:44" s="115" customFormat="1" ht="76.5">
      <c r="A7" s="73">
        <v>45234</v>
      </c>
      <c r="B7" s="36" t="s">
        <v>1236</v>
      </c>
      <c r="C7" s="70" t="s">
        <v>1237</v>
      </c>
      <c r="D7" s="18"/>
      <c r="E7" s="316" t="s">
        <v>1256</v>
      </c>
      <c r="F7" s="114" t="s">
        <v>70</v>
      </c>
      <c r="G7" s="41">
        <v>2592</v>
      </c>
      <c r="H7" s="33" t="s">
        <v>292</v>
      </c>
      <c r="I7" s="251" t="s">
        <v>100</v>
      </c>
      <c r="J7" s="19" t="s">
        <v>101</v>
      </c>
      <c r="K7" s="19" t="s">
        <v>53</v>
      </c>
      <c r="L7" s="28" t="s">
        <v>102</v>
      </c>
      <c r="M7" s="21">
        <v>45314</v>
      </c>
      <c r="N7" s="45"/>
      <c r="O7" s="101" t="s">
        <v>103</v>
      </c>
      <c r="P7" s="29">
        <v>42319</v>
      </c>
      <c r="Q7" s="71"/>
      <c r="R7" s="52" t="s">
        <v>123</v>
      </c>
      <c r="S7" s="24">
        <f>ROUND(10.5*2.54,2)</f>
        <v>26.67</v>
      </c>
      <c r="T7" s="24">
        <f>ROUND(8.5*2.54,2)</f>
        <v>21.59</v>
      </c>
      <c r="U7" s="24">
        <f>ROUND(13.5*2.54,2)</f>
        <v>34.29</v>
      </c>
      <c r="V7" s="44">
        <v>6</v>
      </c>
      <c r="W7" s="34">
        <f>ROUND(G7/V7,2)</f>
        <v>432</v>
      </c>
      <c r="X7" s="59">
        <f>W7*3.25</f>
        <v>1404</v>
      </c>
      <c r="Y7" s="26">
        <f>ROUND((S7*T7*U7)*0.000001*W7,2)</f>
        <v>8.5299999999999994</v>
      </c>
      <c r="Z7" s="39">
        <v>3.28</v>
      </c>
      <c r="AA7" s="56">
        <f>Z7*G7</f>
        <v>8501.76</v>
      </c>
      <c r="AB7" s="57" t="s">
        <v>46</v>
      </c>
      <c r="AC7" s="18"/>
      <c r="AD7" s="15" t="s">
        <v>104</v>
      </c>
      <c r="AE7" s="67"/>
      <c r="AF7" s="67"/>
      <c r="AG7" s="30" t="s">
        <v>51</v>
      </c>
      <c r="AH7" s="67"/>
      <c r="AI7" s="30" t="s">
        <v>51</v>
      </c>
      <c r="AJ7" s="67"/>
      <c r="AK7" s="67"/>
      <c r="AL7" s="67"/>
      <c r="AM7" s="67"/>
      <c r="AN7" s="67"/>
      <c r="AO7" s="30"/>
      <c r="AP7" s="30"/>
      <c r="AQ7" s="30"/>
      <c r="AR7" s="67"/>
    </row>
    <row r="8" spans="1:44" ht="16.5">
      <c r="A8" s="42"/>
      <c r="B8" s="2"/>
      <c r="C8" s="3"/>
      <c r="D8" s="4"/>
      <c r="E8" s="5"/>
      <c r="F8" s="5"/>
      <c r="G8" s="43">
        <f>SUM(G6:G7)</f>
        <v>3152</v>
      </c>
      <c r="H8" s="5"/>
      <c r="I8" s="5"/>
      <c r="J8" s="5"/>
      <c r="K8" s="5"/>
      <c r="L8" s="6"/>
      <c r="M8" s="3"/>
      <c r="N8" s="3"/>
      <c r="O8" s="13"/>
      <c r="P8" s="14"/>
      <c r="Q8" s="13"/>
      <c r="R8" s="7"/>
      <c r="S8" s="8"/>
      <c r="T8" s="8"/>
      <c r="U8" s="8"/>
      <c r="V8" s="8"/>
      <c r="W8" s="9"/>
      <c r="X8" s="10"/>
      <c r="Y8" s="144">
        <f>SUM(Y6:Y7)</f>
        <v>10.69</v>
      </c>
      <c r="Z8" s="10"/>
      <c r="AA8" s="12"/>
      <c r="AB8" s="3"/>
      <c r="AC8" s="3"/>
      <c r="AD8" s="7"/>
      <c r="AE8" s="13"/>
      <c r="AF8" s="14"/>
      <c r="AG8" s="13"/>
      <c r="AH8" s="14"/>
      <c r="AI8" s="13"/>
      <c r="AJ8" s="14"/>
      <c r="AK8" s="14"/>
      <c r="AL8" s="14"/>
      <c r="AM8" s="14"/>
      <c r="AN8" s="14"/>
      <c r="AO8" s="14"/>
      <c r="AP8" s="14"/>
      <c r="AQ8" s="14"/>
      <c r="AR8" s="14"/>
    </row>
    <row r="9" spans="1:44" s="115" customFormat="1" ht="26.25" customHeight="1">
      <c r="A9" s="131">
        <v>45195</v>
      </c>
      <c r="B9" s="75"/>
      <c r="C9" s="70" t="s">
        <v>1218</v>
      </c>
      <c r="D9" s="37"/>
      <c r="E9" s="125" t="s">
        <v>1298</v>
      </c>
      <c r="F9" s="33" t="s">
        <v>1202</v>
      </c>
      <c r="G9" s="58">
        <v>50</v>
      </c>
      <c r="H9" s="33" t="s">
        <v>1214</v>
      </c>
      <c r="I9" s="19" t="s">
        <v>1203</v>
      </c>
      <c r="J9" s="37" t="s">
        <v>49</v>
      </c>
      <c r="K9" s="79" t="s">
        <v>1217</v>
      </c>
      <c r="L9" s="21" t="s">
        <v>48</v>
      </c>
      <c r="M9" s="21">
        <v>45316</v>
      </c>
      <c r="N9" s="130"/>
      <c r="O9" s="118" t="s">
        <v>602</v>
      </c>
      <c r="P9" s="71"/>
      <c r="Q9" s="71"/>
      <c r="R9" s="19" t="s">
        <v>59</v>
      </c>
      <c r="S9" s="308"/>
      <c r="T9" s="308"/>
      <c r="U9" s="308"/>
      <c r="V9" s="308"/>
      <c r="W9" s="309"/>
      <c r="X9" s="306"/>
      <c r="Y9" s="307"/>
      <c r="Z9" s="59">
        <v>3.65</v>
      </c>
      <c r="AA9" s="66">
        <f t="shared" ref="AA9:AA14" si="0">Z9*G9</f>
        <v>182.5</v>
      </c>
      <c r="AB9" s="57" t="s">
        <v>46</v>
      </c>
      <c r="AC9" s="18"/>
      <c r="AD9" s="41"/>
      <c r="AE9" s="67"/>
      <c r="AF9" s="67"/>
      <c r="AG9" s="102"/>
      <c r="AH9" s="102"/>
      <c r="AI9" s="102"/>
      <c r="AJ9" s="67"/>
      <c r="AK9" s="67"/>
      <c r="AL9" s="67"/>
      <c r="AM9" s="67"/>
      <c r="AN9" s="102"/>
      <c r="AO9" s="102"/>
      <c r="AP9" s="102"/>
      <c r="AQ9" s="102"/>
      <c r="AR9" s="102"/>
    </row>
    <row r="10" spans="1:44" s="104" customFormat="1" ht="26.25" customHeight="1">
      <c r="A10" s="131">
        <v>45195</v>
      </c>
      <c r="B10" s="75"/>
      <c r="C10" s="70" t="s">
        <v>1219</v>
      </c>
      <c r="D10" s="37"/>
      <c r="E10" s="125" t="s">
        <v>1298</v>
      </c>
      <c r="F10" s="33" t="s">
        <v>1202</v>
      </c>
      <c r="G10" s="44">
        <v>50</v>
      </c>
      <c r="H10" s="33" t="s">
        <v>1215</v>
      </c>
      <c r="I10" s="19" t="s">
        <v>1203</v>
      </c>
      <c r="J10" s="37" t="s">
        <v>49</v>
      </c>
      <c r="K10" s="79" t="s">
        <v>1216</v>
      </c>
      <c r="L10" s="21" t="s">
        <v>48</v>
      </c>
      <c r="M10" s="21">
        <v>45316</v>
      </c>
      <c r="N10" s="15"/>
      <c r="O10" s="118" t="s">
        <v>602</v>
      </c>
      <c r="P10" s="71"/>
      <c r="Q10" s="71"/>
      <c r="R10" s="19" t="s">
        <v>59</v>
      </c>
      <c r="S10" s="310"/>
      <c r="T10" s="310"/>
      <c r="U10" s="310"/>
      <c r="V10" s="310"/>
      <c r="W10" s="311"/>
      <c r="X10" s="310"/>
      <c r="Y10" s="307"/>
      <c r="Z10" s="59">
        <v>3.65</v>
      </c>
      <c r="AA10" s="66">
        <f t="shared" si="0"/>
        <v>182.5</v>
      </c>
      <c r="AB10" s="57" t="s">
        <v>46</v>
      </c>
      <c r="AC10" s="41"/>
      <c r="AD10" s="19"/>
      <c r="AE10" s="67"/>
      <c r="AF10" s="67"/>
      <c r="AG10" s="102"/>
      <c r="AH10" s="102"/>
      <c r="AI10" s="102"/>
      <c r="AJ10" s="67"/>
      <c r="AK10" s="67"/>
      <c r="AL10" s="67"/>
      <c r="AM10" s="67"/>
      <c r="AN10" s="102"/>
      <c r="AO10" s="102"/>
      <c r="AP10" s="102"/>
      <c r="AQ10" s="102"/>
      <c r="AR10" s="102"/>
    </row>
    <row r="11" spans="1:44" customFormat="1" ht="33" customHeight="1">
      <c r="A11" s="490">
        <v>45457</v>
      </c>
      <c r="B11" s="447" t="s">
        <v>1540</v>
      </c>
      <c r="C11" s="326" t="s">
        <v>1539</v>
      </c>
      <c r="D11" s="361"/>
      <c r="E11" s="352"/>
      <c r="F11" s="363" t="s">
        <v>52</v>
      </c>
      <c r="G11" s="428">
        <v>250</v>
      </c>
      <c r="H11" s="387" t="s">
        <v>1538</v>
      </c>
      <c r="I11" s="393" t="s">
        <v>1537</v>
      </c>
      <c r="J11" s="363" t="s">
        <v>1536</v>
      </c>
      <c r="K11" s="485" t="s">
        <v>56</v>
      </c>
      <c r="L11" s="427" t="s">
        <v>1535</v>
      </c>
      <c r="M11" s="406">
        <v>45534</v>
      </c>
      <c r="N11" s="505"/>
      <c r="O11" s="382"/>
      <c r="P11" s="374"/>
      <c r="Q11" s="503"/>
      <c r="R11" s="390" t="s">
        <v>636</v>
      </c>
      <c r="S11" s="368">
        <v>43</v>
      </c>
      <c r="T11" s="368">
        <v>42</v>
      </c>
      <c r="U11" s="368">
        <v>30</v>
      </c>
      <c r="V11" s="368">
        <v>250</v>
      </c>
      <c r="W11" s="347">
        <f>ROUND(G11/V11,2)</f>
        <v>1</v>
      </c>
      <c r="X11" s="385">
        <f>11.5*W11</f>
        <v>11.5</v>
      </c>
      <c r="Y11" s="408">
        <f>ROUND((S11*T11*U11)*0.000001*W11,2)</f>
        <v>0.05</v>
      </c>
      <c r="Z11" s="347">
        <v>0.85</v>
      </c>
      <c r="AA11" s="360">
        <f t="shared" si="0"/>
        <v>212.5</v>
      </c>
      <c r="AB11" s="346" t="s">
        <v>46</v>
      </c>
      <c r="AC11" s="362"/>
      <c r="AD11" s="362"/>
      <c r="AE11" s="357"/>
      <c r="AF11" s="357"/>
      <c r="AG11" s="345"/>
      <c r="AH11" s="357"/>
      <c r="AI11" s="345"/>
      <c r="AJ11" s="357"/>
      <c r="AK11" s="357"/>
      <c r="AL11" s="357"/>
      <c r="AM11" s="357"/>
      <c r="AN11" s="345"/>
      <c r="AO11" s="345"/>
      <c r="AP11" s="345"/>
      <c r="AQ11" s="516"/>
      <c r="AR11" s="357"/>
    </row>
    <row r="12" spans="1:44" s="104" customFormat="1" ht="33.75" customHeight="1">
      <c r="A12" s="416">
        <v>45461</v>
      </c>
      <c r="B12" s="483" t="s">
        <v>1544</v>
      </c>
      <c r="C12" s="501" t="s">
        <v>1543</v>
      </c>
      <c r="D12" s="519"/>
      <c r="E12" s="327"/>
      <c r="F12" s="396" t="s">
        <v>52</v>
      </c>
      <c r="G12" s="421">
        <v>50</v>
      </c>
      <c r="H12" s="488" t="s">
        <v>1542</v>
      </c>
      <c r="I12" s="363" t="s">
        <v>1541</v>
      </c>
      <c r="J12" s="363" t="s">
        <v>59</v>
      </c>
      <c r="K12" s="521" t="s">
        <v>53</v>
      </c>
      <c r="L12" s="353" t="s">
        <v>60</v>
      </c>
      <c r="M12" s="383">
        <v>45530</v>
      </c>
      <c r="N12" s="493"/>
      <c r="O12" s="390"/>
      <c r="P12" s="328"/>
      <c r="Q12" s="412"/>
      <c r="R12" s="395" t="s">
        <v>49</v>
      </c>
      <c r="S12" s="380">
        <v>115</v>
      </c>
      <c r="T12" s="380">
        <v>76</v>
      </c>
      <c r="U12" s="380">
        <v>55</v>
      </c>
      <c r="V12" s="368">
        <v>10</v>
      </c>
      <c r="W12" s="518">
        <f>G12/V12</f>
        <v>5</v>
      </c>
      <c r="X12" s="347">
        <f>44*W12</f>
        <v>220</v>
      </c>
      <c r="Y12" s="517">
        <f>ROUND((S12*T12*U12)*0.000001*W12,2)</f>
        <v>2.4</v>
      </c>
      <c r="Z12" s="400">
        <v>10.84</v>
      </c>
      <c r="AA12" s="411">
        <f t="shared" si="0"/>
        <v>542</v>
      </c>
      <c r="AB12" s="346" t="s">
        <v>46</v>
      </c>
      <c r="AC12" s="362"/>
      <c r="AD12" s="374"/>
      <c r="AE12" s="412"/>
      <c r="AF12" s="412"/>
      <c r="AG12" s="329"/>
      <c r="AH12" s="415"/>
      <c r="AI12" s="415"/>
      <c r="AJ12" s="345"/>
      <c r="AK12" s="357"/>
      <c r="AL12" s="357"/>
      <c r="AM12" s="357"/>
      <c r="AN12" s="415"/>
      <c r="AO12" s="520"/>
      <c r="AP12" s="412"/>
      <c r="AQ12" s="345"/>
      <c r="AR12" s="357"/>
    </row>
    <row r="13" spans="1:44" s="104" customFormat="1" ht="27" customHeight="1">
      <c r="A13" s="131">
        <v>45435</v>
      </c>
      <c r="B13" s="75" t="s">
        <v>1336</v>
      </c>
      <c r="C13" s="439" t="s">
        <v>1477</v>
      </c>
      <c r="D13" s="37" t="s">
        <v>1534</v>
      </c>
      <c r="E13" s="522" t="s">
        <v>1559</v>
      </c>
      <c r="F13" s="33" t="s">
        <v>413</v>
      </c>
      <c r="G13" s="44">
        <v>0</v>
      </c>
      <c r="H13" s="33" t="s">
        <v>1474</v>
      </c>
      <c r="I13" s="19" t="s">
        <v>1337</v>
      </c>
      <c r="J13" s="509" t="s">
        <v>1481</v>
      </c>
      <c r="K13" s="79" t="s">
        <v>578</v>
      </c>
      <c r="L13" s="21" t="s">
        <v>1438</v>
      </c>
      <c r="M13" s="21">
        <v>45504</v>
      </c>
      <c r="N13" s="304"/>
      <c r="O13" s="101" t="s">
        <v>103</v>
      </c>
      <c r="P13" s="117">
        <v>45432</v>
      </c>
      <c r="Q13" s="117">
        <v>45449</v>
      </c>
      <c r="R13" s="19" t="s">
        <v>636</v>
      </c>
      <c r="S13" s="324">
        <v>75</v>
      </c>
      <c r="T13" s="324">
        <v>55</v>
      </c>
      <c r="U13" s="324">
        <v>60</v>
      </c>
      <c r="V13" s="323">
        <v>40</v>
      </c>
      <c r="W13" s="76">
        <f>ROUND(G13/V13,2)</f>
        <v>0</v>
      </c>
      <c r="X13" s="139">
        <f>22*W13</f>
        <v>0</v>
      </c>
      <c r="Y13" s="325">
        <f>ROUND((S13*T13*U13)*0.000001*W13,2)</f>
        <v>0</v>
      </c>
      <c r="Z13" s="321">
        <v>7.1</v>
      </c>
      <c r="AA13" s="66">
        <f t="shared" si="0"/>
        <v>0</v>
      </c>
      <c r="AB13" s="57" t="s">
        <v>46</v>
      </c>
      <c r="AC13" s="41"/>
      <c r="AD13" s="19"/>
      <c r="AE13" s="117">
        <v>45449</v>
      </c>
      <c r="AF13" s="117">
        <v>45455</v>
      </c>
      <c r="AG13" s="102"/>
      <c r="AH13" s="117">
        <v>45469</v>
      </c>
      <c r="AI13" s="102"/>
      <c r="AJ13" s="67"/>
      <c r="AK13" s="67"/>
      <c r="AL13" s="67"/>
      <c r="AM13" s="67"/>
      <c r="AN13" s="102"/>
      <c r="AO13" s="102"/>
      <c r="AP13" s="102"/>
      <c r="AQ13" s="405"/>
      <c r="AR13" s="356" t="s">
        <v>47</v>
      </c>
    </row>
    <row r="14" spans="1:44" s="104" customFormat="1" ht="37.5" customHeight="1">
      <c r="A14" s="499">
        <v>45525</v>
      </c>
      <c r="B14" s="504" t="s">
        <v>1673</v>
      </c>
      <c r="C14" s="501" t="s">
        <v>1672</v>
      </c>
      <c r="D14" s="361"/>
      <c r="E14" s="533"/>
      <c r="F14" s="387" t="s">
        <v>52</v>
      </c>
      <c r="G14" s="401">
        <v>200</v>
      </c>
      <c r="H14" s="534" t="s">
        <v>1671</v>
      </c>
      <c r="I14" s="363" t="s">
        <v>1670</v>
      </c>
      <c r="J14" s="363" t="s">
        <v>49</v>
      </c>
      <c r="K14" s="392" t="s">
        <v>56</v>
      </c>
      <c r="L14" s="486" t="s">
        <v>634</v>
      </c>
      <c r="M14" s="383">
        <v>45588</v>
      </c>
      <c r="N14" s="505"/>
      <c r="O14" s="382" t="s">
        <v>55</v>
      </c>
      <c r="P14" s="369">
        <v>42323</v>
      </c>
      <c r="Q14" s="348"/>
      <c r="R14" s="327" t="s">
        <v>49</v>
      </c>
      <c r="S14" s="389">
        <v>42</v>
      </c>
      <c r="T14" s="389">
        <v>34</v>
      </c>
      <c r="U14" s="389">
        <v>45</v>
      </c>
      <c r="V14" s="532">
        <v>5</v>
      </c>
      <c r="W14" s="378">
        <f>ROUND(G14/V14,2)</f>
        <v>40</v>
      </c>
      <c r="X14" s="377">
        <f>19*W14</f>
        <v>760</v>
      </c>
      <c r="Y14" s="359">
        <f>ROUND((S14*T14*U14)*0.000001*W14,2)</f>
        <v>2.57</v>
      </c>
      <c r="Z14" s="400">
        <v>28.1</v>
      </c>
      <c r="AA14" s="360">
        <f t="shared" si="0"/>
        <v>5620</v>
      </c>
      <c r="AB14" s="355" t="s">
        <v>46</v>
      </c>
      <c r="AC14" s="362" t="s">
        <v>48</v>
      </c>
      <c r="AD14" s="327"/>
      <c r="AE14" s="357"/>
      <c r="AF14" s="357"/>
      <c r="AG14" s="329"/>
      <c r="AH14" s="329"/>
      <c r="AI14" s="345"/>
      <c r="AJ14" s="357"/>
      <c r="AK14" s="357"/>
      <c r="AL14" s="357"/>
      <c r="AM14" s="375"/>
      <c r="AN14" s="329"/>
      <c r="AO14" s="329"/>
      <c r="AP14" s="370"/>
      <c r="AQ14" s="531"/>
      <c r="AR14" s="530"/>
    </row>
    <row r="15" spans="1:44" ht="25.5" customHeight="1">
      <c r="A15" s="351" t="s">
        <v>1706</v>
      </c>
      <c r="B15" s="331"/>
      <c r="C15" s="332"/>
      <c r="D15" s="333"/>
      <c r="E15" s="334"/>
      <c r="F15" s="334"/>
      <c r="G15" s="524"/>
      <c r="H15" s="341"/>
      <c r="I15" s="334"/>
      <c r="J15" s="334"/>
      <c r="K15" s="334"/>
      <c r="L15" s="336"/>
      <c r="M15" s="332"/>
      <c r="N15" s="332"/>
      <c r="O15" s="337"/>
      <c r="P15" s="338"/>
      <c r="Q15" s="337"/>
      <c r="R15" s="339"/>
      <c r="S15" s="340"/>
      <c r="T15" s="340"/>
      <c r="U15" s="340"/>
      <c r="V15" s="340"/>
      <c r="W15" s="341"/>
      <c r="X15" s="342"/>
      <c r="Y15" s="350"/>
      <c r="Z15" s="342"/>
      <c r="AA15" s="344"/>
      <c r="AB15" s="332"/>
      <c r="AC15" s="332"/>
      <c r="AD15" s="339"/>
      <c r="AE15" s="337"/>
      <c r="AF15" s="338"/>
      <c r="AG15" s="337"/>
      <c r="AH15" s="338"/>
      <c r="AI15" s="337"/>
      <c r="AJ15" s="338"/>
      <c r="AK15" s="338"/>
      <c r="AL15" s="338"/>
      <c r="AM15" s="338"/>
      <c r="AN15" s="338"/>
      <c r="AO15" s="338"/>
      <c r="AP15" s="338"/>
      <c r="AQ15" s="338"/>
      <c r="AR15" s="338"/>
    </row>
    <row r="16" spans="1:44" s="115" customFormat="1" ht="63.75">
      <c r="A16" s="490">
        <v>45548</v>
      </c>
      <c r="B16" s="483"/>
      <c r="C16" s="526" t="s">
        <v>1704</v>
      </c>
      <c r="D16" s="361"/>
      <c r="E16" s="525" t="s">
        <v>1703</v>
      </c>
      <c r="F16" s="484" t="s">
        <v>1305</v>
      </c>
      <c r="G16" s="428">
        <v>50</v>
      </c>
      <c r="H16" s="393" t="s">
        <v>1330</v>
      </c>
      <c r="I16" s="393" t="s">
        <v>1450</v>
      </c>
      <c r="J16" s="363" t="s">
        <v>1263</v>
      </c>
      <c r="K16" s="384" t="s">
        <v>1357</v>
      </c>
      <c r="L16" s="427" t="s">
        <v>1392</v>
      </c>
      <c r="M16" s="383">
        <v>45595</v>
      </c>
      <c r="N16" s="529" t="s">
        <v>1273</v>
      </c>
      <c r="O16" s="382" t="s">
        <v>1702</v>
      </c>
      <c r="P16" s="425">
        <v>45434</v>
      </c>
      <c r="Q16" s="535"/>
      <c r="R16" s="395" t="s">
        <v>1729</v>
      </c>
      <c r="S16" s="407">
        <v>65</v>
      </c>
      <c r="T16" s="407">
        <v>48</v>
      </c>
      <c r="U16" s="407">
        <v>60</v>
      </c>
      <c r="V16" s="407">
        <v>5</v>
      </c>
      <c r="W16" s="528">
        <f>ROUND(G16/V16,2)</f>
        <v>10</v>
      </c>
      <c r="X16" s="420">
        <f>16*W16</f>
        <v>160</v>
      </c>
      <c r="Y16" s="408">
        <f>ROUND((S16*T16*U16)*0.000001*W16,2)</f>
        <v>1.87</v>
      </c>
      <c r="Z16" s="376">
        <v>45.36</v>
      </c>
      <c r="AA16" s="360">
        <f>Z16*G16</f>
        <v>2268</v>
      </c>
      <c r="AB16" s="346" t="s">
        <v>46</v>
      </c>
      <c r="AC16" s="361"/>
      <c r="AD16" s="362"/>
      <c r="AE16" s="357"/>
      <c r="AF16" s="357"/>
      <c r="AG16" s="329" t="s">
        <v>51</v>
      </c>
      <c r="AH16" s="357"/>
      <c r="AI16" s="329" t="s">
        <v>51</v>
      </c>
      <c r="AJ16" s="357"/>
      <c r="AK16" s="357"/>
      <c r="AL16" s="357"/>
      <c r="AM16" s="357"/>
      <c r="AN16" s="329" t="s">
        <v>51</v>
      </c>
      <c r="AO16" s="329" t="s">
        <v>51</v>
      </c>
      <c r="AP16" s="329" t="s">
        <v>51</v>
      </c>
      <c r="AQ16" s="345"/>
      <c r="AR16" s="357">
        <v>45565</v>
      </c>
    </row>
    <row r="17" spans="1:44" s="115" customFormat="1" ht="63.75">
      <c r="A17" s="490">
        <v>45548</v>
      </c>
      <c r="B17" s="483"/>
      <c r="C17" s="526" t="s">
        <v>1705</v>
      </c>
      <c r="D17" s="361"/>
      <c r="E17" s="525" t="s">
        <v>1703</v>
      </c>
      <c r="F17" s="484" t="s">
        <v>1305</v>
      </c>
      <c r="G17" s="544">
        <v>50</v>
      </c>
      <c r="H17" s="399" t="s">
        <v>1331</v>
      </c>
      <c r="I17" s="393" t="s">
        <v>1451</v>
      </c>
      <c r="J17" s="363" t="s">
        <v>1263</v>
      </c>
      <c r="K17" s="384" t="s">
        <v>1357</v>
      </c>
      <c r="L17" s="545" t="s">
        <v>60</v>
      </c>
      <c r="M17" s="383">
        <v>45595</v>
      </c>
      <c r="N17" s="394"/>
      <c r="O17" s="382" t="s">
        <v>1702</v>
      </c>
      <c r="P17" s="425">
        <v>45434</v>
      </c>
      <c r="Q17" s="535"/>
      <c r="R17" s="395" t="s">
        <v>1729</v>
      </c>
      <c r="S17" s="407">
        <v>70</v>
      </c>
      <c r="T17" s="407">
        <v>63</v>
      </c>
      <c r="U17" s="407">
        <v>70</v>
      </c>
      <c r="V17" s="407">
        <v>5</v>
      </c>
      <c r="W17" s="528">
        <f>ROUND(G17/V17,2)</f>
        <v>10</v>
      </c>
      <c r="X17" s="420">
        <f>18*W17</f>
        <v>180</v>
      </c>
      <c r="Y17" s="408">
        <f>ROUND((S17*T17*U17)*0.000001*W17,2)</f>
        <v>3.09</v>
      </c>
      <c r="Z17" s="376">
        <v>50.84</v>
      </c>
      <c r="AA17" s="360">
        <f>Z17*G17</f>
        <v>2542</v>
      </c>
      <c r="AB17" s="346" t="s">
        <v>46</v>
      </c>
      <c r="AC17" s="361"/>
      <c r="AD17" s="362"/>
      <c r="AE17" s="357"/>
      <c r="AF17" s="357"/>
      <c r="AG17" s="329" t="s">
        <v>51</v>
      </c>
      <c r="AH17" s="357"/>
      <c r="AI17" s="357"/>
      <c r="AJ17" s="329" t="s">
        <v>51</v>
      </c>
      <c r="AK17" s="357"/>
      <c r="AL17" s="357"/>
      <c r="AM17" s="357"/>
      <c r="AN17" s="329" t="s">
        <v>51</v>
      </c>
      <c r="AO17" s="329" t="s">
        <v>51</v>
      </c>
      <c r="AP17" s="329" t="s">
        <v>51</v>
      </c>
      <c r="AQ17" s="345"/>
      <c r="AR17" s="357">
        <v>45565</v>
      </c>
    </row>
    <row r="18" spans="1:44" ht="23.25" customHeight="1">
      <c r="A18" s="42"/>
      <c r="B18" s="2"/>
      <c r="C18" s="3"/>
      <c r="D18" s="4"/>
      <c r="E18" s="5"/>
      <c r="F18" s="5"/>
      <c r="G18" s="43">
        <f>SUM(G16:G17)</f>
        <v>100</v>
      </c>
      <c r="H18" s="5"/>
      <c r="I18" s="5"/>
      <c r="J18" s="5"/>
      <c r="K18" s="5"/>
      <c r="L18" s="6"/>
      <c r="M18" s="3"/>
      <c r="N18" s="3"/>
      <c r="O18" s="13"/>
      <c r="P18" s="14"/>
      <c r="Q18" s="13"/>
      <c r="R18" s="7"/>
      <c r="S18" s="8"/>
      <c r="T18" s="8"/>
      <c r="U18" s="8"/>
      <c r="V18" s="8"/>
      <c r="W18" s="9"/>
      <c r="X18" s="10"/>
      <c r="Y18" s="144">
        <f>SUM(Y16:Y17)</f>
        <v>4.96</v>
      </c>
      <c r="Z18" s="10"/>
      <c r="AA18" s="12"/>
      <c r="AB18" s="3"/>
      <c r="AC18" s="3"/>
      <c r="AD18" s="7"/>
      <c r="AE18" s="13"/>
      <c r="AF18" s="14"/>
      <c r="AG18" s="13"/>
      <c r="AH18" s="14"/>
      <c r="AI18" s="13"/>
      <c r="AJ18" s="14"/>
      <c r="AK18" s="14"/>
      <c r="AL18" s="14"/>
      <c r="AM18" s="14"/>
      <c r="AN18" s="14"/>
      <c r="AO18" s="14"/>
      <c r="AP18" s="14"/>
      <c r="AQ18" s="338"/>
      <c r="AR18" s="338"/>
    </row>
    <row r="19" spans="1:44" ht="25.5" customHeight="1">
      <c r="A19" s="351" t="s">
        <v>2080</v>
      </c>
      <c r="B19" s="331"/>
      <c r="C19" s="332"/>
      <c r="D19" s="333"/>
      <c r="E19" s="334"/>
      <c r="F19" s="334"/>
      <c r="G19" s="524"/>
      <c r="H19" s="341"/>
      <c r="I19" s="334"/>
      <c r="J19" s="334"/>
      <c r="K19" s="334"/>
      <c r="L19" s="336"/>
      <c r="M19" s="332"/>
      <c r="N19" s="332"/>
      <c r="O19" s="337"/>
      <c r="P19" s="338"/>
      <c r="Q19" s="337"/>
      <c r="R19" s="339"/>
      <c r="S19" s="340"/>
      <c r="T19" s="340"/>
      <c r="U19" s="340"/>
      <c r="V19" s="340"/>
      <c r="W19" s="341"/>
      <c r="X19" s="342"/>
      <c r="Y19" s="350"/>
      <c r="Z19" s="342"/>
      <c r="AA19" s="344"/>
      <c r="AB19" s="332"/>
      <c r="AC19" s="332"/>
      <c r="AD19" s="339"/>
      <c r="AE19" s="337"/>
      <c r="AF19" s="338"/>
      <c r="AG19" s="337"/>
      <c r="AH19" s="338"/>
      <c r="AI19" s="337"/>
      <c r="AJ19" s="338"/>
      <c r="AK19" s="338"/>
      <c r="AL19" s="338"/>
      <c r="AM19" s="338"/>
      <c r="AN19" s="338"/>
      <c r="AO19" s="338"/>
      <c r="AP19" s="338"/>
      <c r="AQ19" s="338"/>
      <c r="AR19" s="338"/>
    </row>
    <row r="20" spans="1:44" s="115" customFormat="1" ht="36" customHeight="1">
      <c r="A20" s="131">
        <v>45232</v>
      </c>
      <c r="B20" s="16" t="s">
        <v>1233</v>
      </c>
      <c r="C20" s="439" t="s">
        <v>1415</v>
      </c>
      <c r="D20" s="18" t="s">
        <v>1669</v>
      </c>
      <c r="E20" s="617" t="s">
        <v>1895</v>
      </c>
      <c r="F20" s="33" t="s">
        <v>52</v>
      </c>
      <c r="G20" s="58">
        <v>145</v>
      </c>
      <c r="H20" s="33" t="s">
        <v>1149</v>
      </c>
      <c r="I20" s="28" t="s">
        <v>1884</v>
      </c>
      <c r="J20" s="19" t="s">
        <v>49</v>
      </c>
      <c r="K20" s="63" t="s">
        <v>53</v>
      </c>
      <c r="L20" s="64" t="s">
        <v>262</v>
      </c>
      <c r="M20" s="383"/>
      <c r="N20" s="103" t="s">
        <v>54</v>
      </c>
      <c r="O20" s="100" t="s">
        <v>55</v>
      </c>
      <c r="P20" s="29">
        <v>43836</v>
      </c>
      <c r="Q20" s="117">
        <v>45518</v>
      </c>
      <c r="R20" s="22" t="s">
        <v>49</v>
      </c>
      <c r="S20" s="24">
        <v>125</v>
      </c>
      <c r="T20" s="24">
        <v>82</v>
      </c>
      <c r="U20" s="24">
        <v>46</v>
      </c>
      <c r="V20" s="24">
        <v>1</v>
      </c>
      <c r="W20" s="48">
        <f t="shared" ref="W20:W25" si="1">ROUND(G20/V20,2)</f>
        <v>145</v>
      </c>
      <c r="X20" s="116">
        <f t="shared" ref="X20:X25" si="2">40*W20</f>
        <v>5800</v>
      </c>
      <c r="Y20" s="26">
        <f t="shared" ref="Y20:Y25" si="3">ROUND((S20*T20*U20)*0.000001*W20,2)</f>
        <v>68.37</v>
      </c>
      <c r="Z20" s="145">
        <v>208</v>
      </c>
      <c r="AA20" s="66">
        <f t="shared" ref="AA20:AA25" si="4">Z20*G20</f>
        <v>30160</v>
      </c>
      <c r="AB20" s="57" t="s">
        <v>46</v>
      </c>
      <c r="AC20" s="18"/>
      <c r="AD20" s="41"/>
      <c r="AE20" s="117">
        <v>45518</v>
      </c>
      <c r="AF20" s="117">
        <v>45527</v>
      </c>
      <c r="AG20" s="30"/>
      <c r="AH20" s="30"/>
      <c r="AI20" s="322" t="s">
        <v>51</v>
      </c>
      <c r="AJ20" s="599"/>
      <c r="AK20" s="67"/>
      <c r="AL20" s="67"/>
      <c r="AM20" s="67"/>
      <c r="AN20" s="67"/>
      <c r="AO20" s="305"/>
      <c r="AP20" s="67"/>
      <c r="AQ20" s="425" t="s">
        <v>1301</v>
      </c>
      <c r="AR20" s="425" t="s">
        <v>1301</v>
      </c>
    </row>
    <row r="21" spans="1:44" s="115" customFormat="1" ht="35.25" customHeight="1">
      <c r="A21" s="482">
        <v>45232</v>
      </c>
      <c r="B21" s="16" t="s">
        <v>1233</v>
      </c>
      <c r="C21" s="439" t="s">
        <v>1416</v>
      </c>
      <c r="D21" s="18"/>
      <c r="E21" s="125" t="s">
        <v>1895</v>
      </c>
      <c r="F21" s="396" t="s">
        <v>52</v>
      </c>
      <c r="G21" s="58">
        <v>145</v>
      </c>
      <c r="H21" s="33" t="s">
        <v>1149</v>
      </c>
      <c r="I21" s="28" t="s">
        <v>1884</v>
      </c>
      <c r="J21" s="19" t="s">
        <v>49</v>
      </c>
      <c r="K21" s="63" t="s">
        <v>53</v>
      </c>
      <c r="L21" s="64" t="s">
        <v>262</v>
      </c>
      <c r="M21" s="383"/>
      <c r="N21" s="103" t="s">
        <v>54</v>
      </c>
      <c r="O21" s="100" t="s">
        <v>55</v>
      </c>
      <c r="P21" s="29">
        <v>43836</v>
      </c>
      <c r="Q21" s="71"/>
      <c r="R21" s="22" t="s">
        <v>49</v>
      </c>
      <c r="S21" s="24">
        <v>125</v>
      </c>
      <c r="T21" s="24">
        <v>82</v>
      </c>
      <c r="U21" s="24">
        <v>46</v>
      </c>
      <c r="V21" s="24">
        <v>1</v>
      </c>
      <c r="W21" s="48">
        <f t="shared" si="1"/>
        <v>145</v>
      </c>
      <c r="X21" s="116">
        <f t="shared" si="2"/>
        <v>5800</v>
      </c>
      <c r="Y21" s="26">
        <f t="shared" si="3"/>
        <v>68.37</v>
      </c>
      <c r="Z21" s="145">
        <v>208</v>
      </c>
      <c r="AA21" s="66">
        <f t="shared" si="4"/>
        <v>30160</v>
      </c>
      <c r="AB21" s="57" t="s">
        <v>46</v>
      </c>
      <c r="AC21" s="18"/>
      <c r="AD21" s="41"/>
      <c r="AE21" s="67"/>
      <c r="AF21" s="67"/>
      <c r="AG21" s="30"/>
      <c r="AH21" s="30"/>
      <c r="AI21" s="322" t="s">
        <v>51</v>
      </c>
      <c r="AJ21" s="67"/>
      <c r="AK21" s="67"/>
      <c r="AL21" s="67"/>
      <c r="AM21" s="67"/>
      <c r="AN21" s="67"/>
      <c r="AO21" s="305"/>
      <c r="AP21" s="67"/>
      <c r="AQ21" s="425" t="s">
        <v>1301</v>
      </c>
      <c r="AR21" s="425" t="s">
        <v>1301</v>
      </c>
    </row>
    <row r="22" spans="1:44" s="115" customFormat="1" ht="47.25" customHeight="1">
      <c r="A22" s="131">
        <v>45232</v>
      </c>
      <c r="B22" s="16" t="s">
        <v>1233</v>
      </c>
      <c r="C22" s="70" t="s">
        <v>1417</v>
      </c>
      <c r="D22" s="18"/>
      <c r="E22" s="125" t="s">
        <v>1895</v>
      </c>
      <c r="F22" s="396" t="s">
        <v>52</v>
      </c>
      <c r="G22" s="58">
        <v>145</v>
      </c>
      <c r="H22" s="33" t="s">
        <v>1149</v>
      </c>
      <c r="I22" s="28" t="s">
        <v>1884</v>
      </c>
      <c r="J22" s="19" t="s">
        <v>49</v>
      </c>
      <c r="K22" s="63" t="s">
        <v>53</v>
      </c>
      <c r="L22" s="64" t="s">
        <v>262</v>
      </c>
      <c r="M22" s="383"/>
      <c r="N22" s="103" t="s">
        <v>54</v>
      </c>
      <c r="O22" s="100" t="s">
        <v>55</v>
      </c>
      <c r="P22" s="29">
        <v>43836</v>
      </c>
      <c r="Q22" s="71"/>
      <c r="R22" s="22" t="s">
        <v>49</v>
      </c>
      <c r="S22" s="24">
        <v>125</v>
      </c>
      <c r="T22" s="24">
        <v>82</v>
      </c>
      <c r="U22" s="24">
        <v>46</v>
      </c>
      <c r="V22" s="24">
        <v>1</v>
      </c>
      <c r="W22" s="48">
        <f t="shared" si="1"/>
        <v>145</v>
      </c>
      <c r="X22" s="116">
        <f t="shared" si="2"/>
        <v>5800</v>
      </c>
      <c r="Y22" s="26">
        <f t="shared" si="3"/>
        <v>68.37</v>
      </c>
      <c r="Z22" s="145">
        <v>208</v>
      </c>
      <c r="AA22" s="66">
        <f t="shared" si="4"/>
        <v>30160</v>
      </c>
      <c r="AB22" s="57" t="s">
        <v>46</v>
      </c>
      <c r="AC22" s="18"/>
      <c r="AD22" s="41"/>
      <c r="AE22" s="67"/>
      <c r="AF22" s="67"/>
      <c r="AG22" s="30"/>
      <c r="AH22" s="30"/>
      <c r="AI22" s="322" t="s">
        <v>51</v>
      </c>
      <c r="AJ22" s="67"/>
      <c r="AK22" s="67"/>
      <c r="AL22" s="67"/>
      <c r="AM22" s="67"/>
      <c r="AN22" s="67"/>
      <c r="AO22" s="305"/>
      <c r="AP22" s="67"/>
      <c r="AQ22" s="357"/>
      <c r="AR22" s="357"/>
    </row>
    <row r="23" spans="1:44" s="115" customFormat="1" ht="36" customHeight="1">
      <c r="A23" s="131">
        <v>45232</v>
      </c>
      <c r="B23" s="16" t="s">
        <v>1233</v>
      </c>
      <c r="C23" s="70" t="s">
        <v>1418</v>
      </c>
      <c r="D23" s="18"/>
      <c r="E23" s="125" t="s">
        <v>1895</v>
      </c>
      <c r="F23" s="396" t="s">
        <v>52</v>
      </c>
      <c r="G23" s="58">
        <v>145</v>
      </c>
      <c r="H23" s="33" t="s">
        <v>1149</v>
      </c>
      <c r="I23" s="28" t="s">
        <v>1884</v>
      </c>
      <c r="J23" s="19" t="s">
        <v>49</v>
      </c>
      <c r="K23" s="63" t="s">
        <v>53</v>
      </c>
      <c r="L23" s="64" t="s">
        <v>262</v>
      </c>
      <c r="M23" s="383">
        <v>45797</v>
      </c>
      <c r="N23" s="103" t="s">
        <v>54</v>
      </c>
      <c r="O23" s="100" t="s">
        <v>55</v>
      </c>
      <c r="P23" s="29">
        <v>43836</v>
      </c>
      <c r="Q23" s="71"/>
      <c r="R23" s="22" t="s">
        <v>49</v>
      </c>
      <c r="S23" s="24">
        <v>125</v>
      </c>
      <c r="T23" s="24">
        <v>82</v>
      </c>
      <c r="U23" s="24">
        <v>46</v>
      </c>
      <c r="V23" s="24">
        <v>1</v>
      </c>
      <c r="W23" s="48">
        <f t="shared" si="1"/>
        <v>145</v>
      </c>
      <c r="X23" s="116">
        <f t="shared" si="2"/>
        <v>5800</v>
      </c>
      <c r="Y23" s="26">
        <f t="shared" si="3"/>
        <v>68.37</v>
      </c>
      <c r="Z23" s="145">
        <v>208</v>
      </c>
      <c r="AA23" s="66">
        <f t="shared" si="4"/>
        <v>30160</v>
      </c>
      <c r="AB23" s="57" t="s">
        <v>46</v>
      </c>
      <c r="AC23" s="18"/>
      <c r="AD23" s="41"/>
      <c r="AE23" s="67"/>
      <c r="AF23" s="67"/>
      <c r="AG23" s="30"/>
      <c r="AH23" s="30"/>
      <c r="AI23" s="322" t="s">
        <v>51</v>
      </c>
      <c r="AJ23" s="67"/>
      <c r="AK23" s="67"/>
      <c r="AL23" s="67"/>
      <c r="AM23" s="67"/>
      <c r="AN23" s="67"/>
      <c r="AO23" s="305"/>
      <c r="AP23" s="67"/>
      <c r="AQ23" s="357"/>
      <c r="AR23" s="357"/>
    </row>
    <row r="24" spans="1:44" s="115" customFormat="1" ht="30" customHeight="1">
      <c r="A24" s="131">
        <v>45232</v>
      </c>
      <c r="B24" s="16" t="s">
        <v>1233</v>
      </c>
      <c r="C24" s="70" t="s">
        <v>1419</v>
      </c>
      <c r="D24" s="18"/>
      <c r="E24" s="125" t="s">
        <v>1895</v>
      </c>
      <c r="F24" s="396" t="s">
        <v>52</v>
      </c>
      <c r="G24" s="58">
        <v>145</v>
      </c>
      <c r="H24" s="33" t="s">
        <v>1149</v>
      </c>
      <c r="I24" s="28" t="s">
        <v>1884</v>
      </c>
      <c r="J24" s="19" t="s">
        <v>49</v>
      </c>
      <c r="K24" s="63" t="s">
        <v>53</v>
      </c>
      <c r="L24" s="64" t="s">
        <v>262</v>
      </c>
      <c r="M24" s="383">
        <v>45805</v>
      </c>
      <c r="N24" s="103" t="s">
        <v>54</v>
      </c>
      <c r="O24" s="100" t="s">
        <v>55</v>
      </c>
      <c r="P24" s="29">
        <v>43836</v>
      </c>
      <c r="Q24" s="71"/>
      <c r="R24" s="22" t="s">
        <v>49</v>
      </c>
      <c r="S24" s="24">
        <v>125</v>
      </c>
      <c r="T24" s="24">
        <v>82</v>
      </c>
      <c r="U24" s="24">
        <v>46</v>
      </c>
      <c r="V24" s="24">
        <v>1</v>
      </c>
      <c r="W24" s="48">
        <f t="shared" si="1"/>
        <v>145</v>
      </c>
      <c r="X24" s="116">
        <f t="shared" si="2"/>
        <v>5800</v>
      </c>
      <c r="Y24" s="26">
        <f t="shared" si="3"/>
        <v>68.37</v>
      </c>
      <c r="Z24" s="145">
        <v>208</v>
      </c>
      <c r="AA24" s="66">
        <f t="shared" si="4"/>
        <v>30160</v>
      </c>
      <c r="AB24" s="57" t="s">
        <v>46</v>
      </c>
      <c r="AC24" s="18"/>
      <c r="AD24" s="41"/>
      <c r="AE24" s="67"/>
      <c r="AF24" s="67"/>
      <c r="AG24" s="30"/>
      <c r="AH24" s="30"/>
      <c r="AI24" s="322" t="s">
        <v>51</v>
      </c>
      <c r="AJ24" s="67"/>
      <c r="AK24" s="67"/>
      <c r="AL24" s="67"/>
      <c r="AM24" s="67"/>
      <c r="AN24" s="67"/>
      <c r="AO24" s="305"/>
      <c r="AP24" s="67"/>
      <c r="AQ24" s="357"/>
      <c r="AR24" s="357"/>
    </row>
    <row r="25" spans="1:44" s="115" customFormat="1" ht="32.25" customHeight="1">
      <c r="A25" s="131">
        <v>45232</v>
      </c>
      <c r="B25" s="16" t="s">
        <v>1233</v>
      </c>
      <c r="C25" s="70" t="s">
        <v>1420</v>
      </c>
      <c r="D25" s="18"/>
      <c r="E25" s="125" t="s">
        <v>1895</v>
      </c>
      <c r="F25" s="396" t="s">
        <v>52</v>
      </c>
      <c r="G25" s="58">
        <v>85</v>
      </c>
      <c r="H25" s="33" t="s">
        <v>1149</v>
      </c>
      <c r="I25" s="28" t="s">
        <v>1884</v>
      </c>
      <c r="J25" s="19" t="s">
        <v>49</v>
      </c>
      <c r="K25" s="63" t="s">
        <v>53</v>
      </c>
      <c r="L25" s="64" t="s">
        <v>262</v>
      </c>
      <c r="M25" s="383">
        <v>45805</v>
      </c>
      <c r="N25" s="103" t="s">
        <v>54</v>
      </c>
      <c r="O25" s="100" t="s">
        <v>55</v>
      </c>
      <c r="P25" s="29">
        <v>43836</v>
      </c>
      <c r="Q25" s="71"/>
      <c r="R25" s="22" t="s">
        <v>49</v>
      </c>
      <c r="S25" s="24">
        <v>125</v>
      </c>
      <c r="T25" s="24">
        <v>82</v>
      </c>
      <c r="U25" s="24">
        <v>46</v>
      </c>
      <c r="V25" s="24">
        <v>1</v>
      </c>
      <c r="W25" s="48">
        <f t="shared" si="1"/>
        <v>85</v>
      </c>
      <c r="X25" s="116">
        <f t="shared" si="2"/>
        <v>3400</v>
      </c>
      <c r="Y25" s="26">
        <f t="shared" si="3"/>
        <v>40.08</v>
      </c>
      <c r="Z25" s="145">
        <v>208</v>
      </c>
      <c r="AA25" s="66">
        <f t="shared" si="4"/>
        <v>17680</v>
      </c>
      <c r="AB25" s="57" t="s">
        <v>46</v>
      </c>
      <c r="AC25" s="18"/>
      <c r="AD25" s="41"/>
      <c r="AE25" s="67"/>
      <c r="AF25" s="67"/>
      <c r="AG25" s="30"/>
      <c r="AH25" s="30"/>
      <c r="AI25" s="322" t="s">
        <v>51</v>
      </c>
      <c r="AJ25" s="67"/>
      <c r="AK25" s="67"/>
      <c r="AL25" s="67"/>
      <c r="AM25" s="67"/>
      <c r="AN25" s="67"/>
      <c r="AO25" s="305"/>
      <c r="AP25" s="67"/>
      <c r="AQ25" s="357"/>
      <c r="AR25" s="357"/>
    </row>
    <row r="26" spans="1:44" ht="23.25" customHeight="1">
      <c r="A26" s="42"/>
      <c r="B26" s="2"/>
      <c r="C26" s="3"/>
      <c r="D26" s="4"/>
      <c r="E26" s="5"/>
      <c r="F26" s="5"/>
      <c r="G26" s="43">
        <f>SUM(G20:G25)</f>
        <v>810</v>
      </c>
      <c r="H26" s="5"/>
      <c r="I26" s="5"/>
      <c r="J26" s="5"/>
      <c r="K26" s="5"/>
      <c r="L26" s="6"/>
      <c r="M26" s="3"/>
      <c r="N26" s="3"/>
      <c r="O26" s="13"/>
      <c r="P26" s="14"/>
      <c r="Q26" s="13"/>
      <c r="R26" s="7"/>
      <c r="S26" s="8"/>
      <c r="T26" s="8"/>
      <c r="U26" s="8"/>
      <c r="V26" s="8"/>
      <c r="W26" s="9"/>
      <c r="X26" s="10"/>
      <c r="Y26" s="144">
        <f>SUM(Y24:Y25)</f>
        <v>108.45</v>
      </c>
      <c r="Z26" s="10"/>
      <c r="AA26" s="12"/>
      <c r="AB26" s="3"/>
      <c r="AC26" s="3"/>
      <c r="AD26" s="7"/>
      <c r="AE26" s="13"/>
      <c r="AF26" s="14"/>
      <c r="AG26" s="13"/>
      <c r="AH26" s="14"/>
      <c r="AI26" s="13"/>
      <c r="AJ26" s="14"/>
      <c r="AK26" s="14"/>
      <c r="AL26" s="14"/>
      <c r="AM26" s="14"/>
      <c r="AN26" s="14"/>
      <c r="AO26" s="14"/>
      <c r="AP26" s="14"/>
      <c r="AQ26" s="338"/>
      <c r="AR26" s="338"/>
    </row>
    <row r="27" spans="1:44" ht="30" customHeight="1">
      <c r="A27" s="552" t="s">
        <v>2117</v>
      </c>
      <c r="B27" s="553"/>
      <c r="C27" s="554"/>
      <c r="D27" s="551"/>
      <c r="E27" s="555" t="s">
        <v>2050</v>
      </c>
      <c r="F27" s="555" t="s">
        <v>2118</v>
      </c>
      <c r="G27" s="555"/>
      <c r="H27" s="341"/>
      <c r="I27" s="334"/>
      <c r="J27" s="334"/>
      <c r="K27" s="334"/>
      <c r="L27" s="336"/>
      <c r="M27" s="332"/>
      <c r="N27" s="332"/>
      <c r="O27" s="337"/>
      <c r="P27" s="338"/>
      <c r="Q27" s="337"/>
      <c r="R27" s="339"/>
      <c r="S27" s="340"/>
      <c r="T27" s="340"/>
      <c r="U27" s="340"/>
      <c r="V27" s="340"/>
      <c r="W27" s="341"/>
      <c r="X27" s="342"/>
      <c r="Y27" s="350"/>
      <c r="Z27" s="342"/>
      <c r="AA27" s="344"/>
      <c r="AB27" s="332"/>
      <c r="AC27" s="332"/>
      <c r="AD27" s="339"/>
      <c r="AE27" s="337"/>
      <c r="AF27" s="338"/>
      <c r="AG27" s="337"/>
      <c r="AH27" s="338"/>
      <c r="AI27" s="337"/>
      <c r="AJ27" s="338"/>
      <c r="AK27" s="338"/>
      <c r="AL27" s="338"/>
      <c r="AM27" s="338"/>
      <c r="AN27" s="338"/>
      <c r="AO27" s="338"/>
      <c r="AP27" s="338"/>
      <c r="AQ27" s="338"/>
      <c r="AR27" s="338"/>
    </row>
    <row r="28" spans="1:44" s="115" customFormat="1" ht="25.5" customHeight="1">
      <c r="A28" s="490">
        <v>45623</v>
      </c>
      <c r="B28" s="483"/>
      <c r="C28" s="437" t="s">
        <v>1860</v>
      </c>
      <c r="D28" s="438"/>
      <c r="E28" s="605"/>
      <c r="F28" s="484" t="s">
        <v>1305</v>
      </c>
      <c r="G28" s="401">
        <v>29</v>
      </c>
      <c r="H28" s="363" t="s">
        <v>1935</v>
      </c>
      <c r="I28" s="393" t="s">
        <v>1818</v>
      </c>
      <c r="J28" s="363" t="s">
        <v>1335</v>
      </c>
      <c r="K28" s="384" t="s">
        <v>1055</v>
      </c>
      <c r="L28" s="638"/>
      <c r="M28" s="383">
        <v>45761</v>
      </c>
      <c r="N28" s="103" t="s">
        <v>1273</v>
      </c>
      <c r="O28" s="382" t="s">
        <v>1859</v>
      </c>
      <c r="P28" s="425">
        <v>45706</v>
      </c>
      <c r="Q28" s="348"/>
      <c r="R28" s="395" t="s">
        <v>1729</v>
      </c>
      <c r="S28" s="543">
        <v>63</v>
      </c>
      <c r="T28" s="543">
        <v>37</v>
      </c>
      <c r="U28" s="543">
        <v>70</v>
      </c>
      <c r="V28" s="543">
        <v>5</v>
      </c>
      <c r="W28" s="528">
        <f t="shared" ref="W28:W33" si="5">ROUND(G28/V28,2)</f>
        <v>5.8</v>
      </c>
      <c r="X28" s="420">
        <f>10.1*W28</f>
        <v>58.58</v>
      </c>
      <c r="Y28" s="408">
        <f t="shared" ref="Y28:Y33" si="6">ROUND((S28*T28*U28)*0.000001*W28,2)</f>
        <v>0.95</v>
      </c>
      <c r="Z28" s="606">
        <v>33</v>
      </c>
      <c r="AA28" s="360">
        <f t="shared" ref="AA28:AA33" si="7">Z28*G28</f>
        <v>957</v>
      </c>
      <c r="AB28" s="346" t="s">
        <v>46</v>
      </c>
      <c r="AC28" s="361"/>
      <c r="AD28" s="362"/>
      <c r="AE28" s="357"/>
      <c r="AF28" s="357"/>
      <c r="AG28" s="345"/>
      <c r="AH28" s="357"/>
      <c r="AI28" s="357"/>
      <c r="AJ28" s="345"/>
      <c r="AK28" s="357"/>
      <c r="AL28" s="357"/>
      <c r="AM28" s="357"/>
      <c r="AN28" s="329" t="s">
        <v>51</v>
      </c>
      <c r="AO28" s="329" t="s">
        <v>51</v>
      </c>
      <c r="AP28" s="329" t="s">
        <v>51</v>
      </c>
      <c r="AQ28" s="345"/>
      <c r="AR28" s="547"/>
    </row>
    <row r="29" spans="1:44" s="115" customFormat="1" ht="25.5" customHeight="1">
      <c r="A29" s="490">
        <v>45623</v>
      </c>
      <c r="B29" s="483"/>
      <c r="C29" s="437" t="s">
        <v>1861</v>
      </c>
      <c r="D29" s="438"/>
      <c r="E29" s="605"/>
      <c r="F29" s="484" t="s">
        <v>1305</v>
      </c>
      <c r="G29" s="401">
        <v>30</v>
      </c>
      <c r="H29" s="363" t="s">
        <v>1936</v>
      </c>
      <c r="I29" s="393" t="s">
        <v>1819</v>
      </c>
      <c r="J29" s="363" t="s">
        <v>1335</v>
      </c>
      <c r="K29" s="384" t="s">
        <v>1055</v>
      </c>
      <c r="L29" s="638"/>
      <c r="M29" s="383">
        <v>45761</v>
      </c>
      <c r="N29" s="394"/>
      <c r="O29" s="382" t="s">
        <v>1859</v>
      </c>
      <c r="P29" s="425">
        <v>45706</v>
      </c>
      <c r="Q29" s="348"/>
      <c r="R29" s="395" t="s">
        <v>1729</v>
      </c>
      <c r="S29" s="543">
        <v>63</v>
      </c>
      <c r="T29" s="543">
        <v>37</v>
      </c>
      <c r="U29" s="543">
        <v>70</v>
      </c>
      <c r="V29" s="543">
        <v>5</v>
      </c>
      <c r="W29" s="528">
        <f t="shared" si="5"/>
        <v>6</v>
      </c>
      <c r="X29" s="420">
        <f>15*W29</f>
        <v>90</v>
      </c>
      <c r="Y29" s="408">
        <f t="shared" si="6"/>
        <v>0.98</v>
      </c>
      <c r="Z29" s="606">
        <v>39</v>
      </c>
      <c r="AA29" s="360">
        <f t="shared" si="7"/>
        <v>1170</v>
      </c>
      <c r="AB29" s="346" t="s">
        <v>46</v>
      </c>
      <c r="AC29" s="361"/>
      <c r="AD29" s="362"/>
      <c r="AE29" s="357"/>
      <c r="AF29" s="357"/>
      <c r="AG29" s="345"/>
      <c r="AH29" s="357"/>
      <c r="AI29" s="357"/>
      <c r="AJ29" s="345"/>
      <c r="AK29" s="357"/>
      <c r="AL29" s="357"/>
      <c r="AM29" s="357"/>
      <c r="AN29" s="329" t="s">
        <v>51</v>
      </c>
      <c r="AO29" s="329" t="s">
        <v>51</v>
      </c>
      <c r="AP29" s="329" t="s">
        <v>51</v>
      </c>
      <c r="AQ29" s="345"/>
      <c r="AR29" s="547"/>
    </row>
    <row r="30" spans="1:44" s="115" customFormat="1" ht="25.5" customHeight="1">
      <c r="A30" s="490">
        <v>45623</v>
      </c>
      <c r="B30" s="483"/>
      <c r="C30" s="437" t="s">
        <v>1862</v>
      </c>
      <c r="D30" s="438"/>
      <c r="E30" s="605"/>
      <c r="F30" s="484" t="s">
        <v>1305</v>
      </c>
      <c r="G30" s="401">
        <v>44</v>
      </c>
      <c r="H30" s="363" t="s">
        <v>1937</v>
      </c>
      <c r="I30" s="393" t="s">
        <v>1820</v>
      </c>
      <c r="J30" s="363" t="s">
        <v>1335</v>
      </c>
      <c r="K30" s="384" t="s">
        <v>1055</v>
      </c>
      <c r="L30" s="638"/>
      <c r="M30" s="383">
        <v>45761</v>
      </c>
      <c r="N30" s="394"/>
      <c r="O30" s="382" t="s">
        <v>1859</v>
      </c>
      <c r="P30" s="425">
        <v>45706</v>
      </c>
      <c r="Q30" s="348"/>
      <c r="R30" s="395" t="s">
        <v>1729</v>
      </c>
      <c r="S30" s="543">
        <v>65</v>
      </c>
      <c r="T30" s="543">
        <v>50</v>
      </c>
      <c r="U30" s="543">
        <v>70</v>
      </c>
      <c r="V30" s="543">
        <v>5</v>
      </c>
      <c r="W30" s="528">
        <f t="shared" si="5"/>
        <v>8.8000000000000007</v>
      </c>
      <c r="X30" s="420">
        <f>13.5*W30</f>
        <v>118.80000000000001</v>
      </c>
      <c r="Y30" s="408">
        <f t="shared" si="6"/>
        <v>2</v>
      </c>
      <c r="Z30" s="606">
        <v>42</v>
      </c>
      <c r="AA30" s="360">
        <f t="shared" si="7"/>
        <v>1848</v>
      </c>
      <c r="AB30" s="346" t="s">
        <v>46</v>
      </c>
      <c r="AC30" s="361"/>
      <c r="AD30" s="362"/>
      <c r="AE30" s="357"/>
      <c r="AF30" s="357"/>
      <c r="AG30" s="345"/>
      <c r="AH30" s="357"/>
      <c r="AI30" s="345"/>
      <c r="AJ30" s="357"/>
      <c r="AK30" s="357"/>
      <c r="AL30" s="357"/>
      <c r="AM30" s="357"/>
      <c r="AN30" s="329" t="s">
        <v>51</v>
      </c>
      <c r="AO30" s="329" t="s">
        <v>51</v>
      </c>
      <c r="AP30" s="329" t="s">
        <v>51</v>
      </c>
      <c r="AQ30" s="345"/>
      <c r="AR30" s="547"/>
    </row>
    <row r="31" spans="1:44" s="115" customFormat="1" ht="25.5" customHeight="1">
      <c r="A31" s="490">
        <v>45623</v>
      </c>
      <c r="B31" s="483"/>
      <c r="C31" s="437" t="s">
        <v>1863</v>
      </c>
      <c r="D31" s="438"/>
      <c r="E31" s="605"/>
      <c r="F31" s="484" t="s">
        <v>1305</v>
      </c>
      <c r="G31" s="401">
        <v>60</v>
      </c>
      <c r="H31" s="363" t="s">
        <v>1938</v>
      </c>
      <c r="I31" s="393" t="s">
        <v>1817</v>
      </c>
      <c r="J31" s="363" t="s">
        <v>1335</v>
      </c>
      <c r="K31" s="384" t="s">
        <v>1055</v>
      </c>
      <c r="L31" s="638"/>
      <c r="M31" s="383">
        <v>45761</v>
      </c>
      <c r="N31" s="394"/>
      <c r="O31" s="382" t="s">
        <v>1859</v>
      </c>
      <c r="P31" s="425">
        <v>45706</v>
      </c>
      <c r="Q31" s="348"/>
      <c r="R31" s="395" t="s">
        <v>1729</v>
      </c>
      <c r="S31" s="543">
        <v>68</v>
      </c>
      <c r="T31" s="543">
        <v>56</v>
      </c>
      <c r="U31" s="543">
        <v>70</v>
      </c>
      <c r="V31" s="543">
        <v>5</v>
      </c>
      <c r="W31" s="528">
        <f t="shared" si="5"/>
        <v>12</v>
      </c>
      <c r="X31" s="420">
        <f>18*W31</f>
        <v>216</v>
      </c>
      <c r="Y31" s="408">
        <f t="shared" si="6"/>
        <v>3.2</v>
      </c>
      <c r="Z31" s="606">
        <v>45</v>
      </c>
      <c r="AA31" s="360">
        <f t="shared" si="7"/>
        <v>2700</v>
      </c>
      <c r="AB31" s="346" t="s">
        <v>46</v>
      </c>
      <c r="AC31" s="361"/>
      <c r="AD31" s="362"/>
      <c r="AE31" s="357"/>
      <c r="AF31" s="357"/>
      <c r="AG31" s="345"/>
      <c r="AH31" s="357"/>
      <c r="AI31" s="345"/>
      <c r="AJ31" s="357"/>
      <c r="AK31" s="357"/>
      <c r="AL31" s="357"/>
      <c r="AM31" s="357"/>
      <c r="AN31" s="329"/>
      <c r="AO31" s="329"/>
      <c r="AP31" s="329"/>
      <c r="AQ31" s="345"/>
      <c r="AR31" s="547"/>
    </row>
    <row r="32" spans="1:44" s="115" customFormat="1" ht="28.5" customHeight="1">
      <c r="A32" s="490">
        <v>45623</v>
      </c>
      <c r="B32" s="483"/>
      <c r="C32" s="437" t="s">
        <v>1864</v>
      </c>
      <c r="D32" s="438"/>
      <c r="E32" s="605"/>
      <c r="F32" s="484" t="s">
        <v>1305</v>
      </c>
      <c r="G32" s="401">
        <v>79</v>
      </c>
      <c r="H32" s="363" t="s">
        <v>1883</v>
      </c>
      <c r="I32" s="393" t="s">
        <v>1821</v>
      </c>
      <c r="J32" s="363" t="s">
        <v>1335</v>
      </c>
      <c r="K32" s="384" t="s">
        <v>1055</v>
      </c>
      <c r="L32" s="638"/>
      <c r="M32" s="383">
        <v>45761</v>
      </c>
      <c r="N32" s="394"/>
      <c r="O32" s="382" t="s">
        <v>1859</v>
      </c>
      <c r="P32" s="425">
        <v>45706</v>
      </c>
      <c r="Q32" s="348"/>
      <c r="R32" s="395" t="s">
        <v>1729</v>
      </c>
      <c r="S32" s="543">
        <v>70</v>
      </c>
      <c r="T32" s="543">
        <v>63</v>
      </c>
      <c r="U32" s="543">
        <v>70</v>
      </c>
      <c r="V32" s="543">
        <v>5</v>
      </c>
      <c r="W32" s="528">
        <f t="shared" si="5"/>
        <v>15.8</v>
      </c>
      <c r="X32" s="420">
        <f>15.1*W32</f>
        <v>238.58</v>
      </c>
      <c r="Y32" s="408">
        <f t="shared" si="6"/>
        <v>4.88</v>
      </c>
      <c r="Z32" s="606">
        <v>50.86</v>
      </c>
      <c r="AA32" s="360">
        <f t="shared" si="7"/>
        <v>4017.94</v>
      </c>
      <c r="AB32" s="346" t="s">
        <v>46</v>
      </c>
      <c r="AC32" s="361"/>
      <c r="AD32" s="362"/>
      <c r="AE32" s="357"/>
      <c r="AF32" s="357"/>
      <c r="AG32" s="345"/>
      <c r="AH32" s="357"/>
      <c r="AI32" s="345"/>
      <c r="AJ32" s="357"/>
      <c r="AK32" s="357"/>
      <c r="AL32" s="357"/>
      <c r="AM32" s="357"/>
      <c r="AN32" s="329"/>
      <c r="AO32" s="329"/>
      <c r="AP32" s="329"/>
      <c r="AQ32" s="345"/>
      <c r="AR32" s="547"/>
    </row>
    <row r="33" spans="1:47" s="115" customFormat="1" ht="28.5" customHeight="1">
      <c r="A33" s="490">
        <v>45700</v>
      </c>
      <c r="B33" s="483"/>
      <c r="C33" s="437" t="s">
        <v>2006</v>
      </c>
      <c r="D33" s="438"/>
      <c r="E33" s="605"/>
      <c r="F33" s="484" t="s">
        <v>1305</v>
      </c>
      <c r="G33" s="401">
        <v>20</v>
      </c>
      <c r="H33" s="363" t="s">
        <v>2030</v>
      </c>
      <c r="I33" s="393" t="s">
        <v>1994</v>
      </c>
      <c r="J33" s="363" t="s">
        <v>1335</v>
      </c>
      <c r="K33" s="384" t="s">
        <v>1055</v>
      </c>
      <c r="L33" s="636"/>
      <c r="M33" s="383">
        <v>45761</v>
      </c>
      <c r="N33" s="394"/>
      <c r="O33" s="382" t="s">
        <v>1859</v>
      </c>
      <c r="P33" s="425">
        <v>45706</v>
      </c>
      <c r="Q33" s="348"/>
      <c r="R33" s="395" t="s">
        <v>1729</v>
      </c>
      <c r="S33" s="543">
        <v>70</v>
      </c>
      <c r="T33" s="543">
        <v>72</v>
      </c>
      <c r="U33" s="543">
        <v>70</v>
      </c>
      <c r="V33" s="543">
        <v>5</v>
      </c>
      <c r="W33" s="528">
        <f t="shared" si="5"/>
        <v>4</v>
      </c>
      <c r="X33" s="420">
        <f>15.1*W33</f>
        <v>60.4</v>
      </c>
      <c r="Y33" s="408">
        <f t="shared" si="6"/>
        <v>1.41</v>
      </c>
      <c r="Z33" s="606">
        <v>58.67</v>
      </c>
      <c r="AA33" s="360">
        <f t="shared" si="7"/>
        <v>1173.4000000000001</v>
      </c>
      <c r="AB33" s="346" t="s">
        <v>46</v>
      </c>
      <c r="AC33" s="361"/>
      <c r="AD33" s="362"/>
      <c r="AE33" s="357"/>
      <c r="AF33" s="357"/>
      <c r="AG33" s="345"/>
      <c r="AH33" s="357"/>
      <c r="AI33" s="345"/>
      <c r="AJ33" s="357"/>
      <c r="AK33" s="357"/>
      <c r="AL33" s="357"/>
      <c r="AM33" s="357"/>
      <c r="AN33" s="329"/>
      <c r="AO33" s="329"/>
      <c r="AP33" s="329"/>
      <c r="AQ33" s="345"/>
      <c r="AR33" s="547"/>
    </row>
    <row r="34" spans="1:47" ht="24.75" customHeight="1">
      <c r="A34" s="330"/>
      <c r="B34" s="331"/>
      <c r="C34" s="332"/>
      <c r="D34" s="333"/>
      <c r="E34" s="334"/>
      <c r="F34" s="334"/>
      <c r="G34" s="335">
        <f>SUM(G28:G33)</f>
        <v>262</v>
      </c>
      <c r="H34" s="334"/>
      <c r="I34" s="334"/>
      <c r="J34" s="334"/>
      <c r="K34" s="334"/>
      <c r="L34" s="336"/>
      <c r="M34" s="332"/>
      <c r="N34" s="332"/>
      <c r="O34" s="337"/>
      <c r="P34" s="338"/>
      <c r="Q34" s="337"/>
      <c r="R34" s="339"/>
      <c r="S34" s="340"/>
      <c r="T34" s="340"/>
      <c r="U34" s="340"/>
      <c r="V34" s="340"/>
      <c r="W34" s="341"/>
      <c r="X34" s="342"/>
      <c r="Y34" s="343">
        <f>SUM(Y28:Y33)</f>
        <v>13.42</v>
      </c>
      <c r="Z34" s="342"/>
      <c r="AA34" s="344"/>
      <c r="AB34" s="332"/>
      <c r="AC34" s="332"/>
      <c r="AD34" s="339"/>
      <c r="AE34" s="337"/>
      <c r="AF34" s="338"/>
      <c r="AG34" s="337"/>
      <c r="AH34" s="338"/>
      <c r="AI34" s="337"/>
      <c r="AJ34" s="338"/>
      <c r="AK34" s="338"/>
      <c r="AL34" s="338"/>
      <c r="AM34" s="338"/>
      <c r="AN34" s="338"/>
      <c r="AO34" s="338"/>
      <c r="AP34" s="338"/>
      <c r="AQ34" s="338"/>
      <c r="AR34" s="338"/>
    </row>
    <row r="35" spans="1:47" ht="30" customHeight="1">
      <c r="A35" s="552" t="s">
        <v>2025</v>
      </c>
      <c r="B35" s="553"/>
      <c r="C35" s="554"/>
      <c r="D35" s="551"/>
      <c r="E35" s="555"/>
      <c r="F35" s="555"/>
      <c r="G35" s="555"/>
      <c r="H35" s="341"/>
      <c r="I35" s="334"/>
      <c r="J35" s="334"/>
      <c r="K35" s="334"/>
      <c r="L35" s="336"/>
      <c r="M35" s="332"/>
      <c r="N35" s="332"/>
      <c r="O35" s="337"/>
      <c r="P35" s="338"/>
      <c r="Q35" s="337"/>
      <c r="R35" s="339"/>
      <c r="S35" s="340"/>
      <c r="T35" s="340"/>
      <c r="U35" s="340"/>
      <c r="V35" s="340"/>
      <c r="W35" s="341"/>
      <c r="X35" s="342"/>
      <c r="Y35" s="350"/>
      <c r="Z35" s="342"/>
      <c r="AA35" s="344"/>
      <c r="AB35" s="332"/>
      <c r="AC35" s="332"/>
      <c r="AD35" s="339"/>
      <c r="AE35" s="337"/>
      <c r="AF35" s="338"/>
      <c r="AG35" s="337"/>
      <c r="AH35" s="338"/>
      <c r="AI35" s="337"/>
      <c r="AJ35" s="338"/>
      <c r="AK35" s="338"/>
      <c r="AL35" s="338"/>
      <c r="AM35" s="338"/>
      <c r="AN35" s="338"/>
      <c r="AO35" s="338"/>
      <c r="AP35" s="338"/>
      <c r="AQ35" s="338"/>
      <c r="AR35" s="338"/>
    </row>
    <row r="36" spans="1:47" s="115" customFormat="1" ht="35.25" customHeight="1">
      <c r="A36" s="490">
        <v>45712</v>
      </c>
      <c r="B36" s="483" t="s">
        <v>1877</v>
      </c>
      <c r="C36" s="326" t="s">
        <v>1882</v>
      </c>
      <c r="D36" s="438"/>
      <c r="E36" s="610" t="s">
        <v>1876</v>
      </c>
      <c r="F36" s="367" t="s">
        <v>1305</v>
      </c>
      <c r="G36" s="428">
        <v>300</v>
      </c>
      <c r="H36" s="393" t="s">
        <v>1883</v>
      </c>
      <c r="I36" s="358" t="s">
        <v>1875</v>
      </c>
      <c r="J36" s="327" t="s">
        <v>1263</v>
      </c>
      <c r="K36" s="601" t="s">
        <v>1498</v>
      </c>
      <c r="L36" s="638" t="s">
        <v>48</v>
      </c>
      <c r="M36" s="383" t="s">
        <v>2029</v>
      </c>
      <c r="N36" s="602" t="s">
        <v>1273</v>
      </c>
      <c r="O36" s="382" t="s">
        <v>1874</v>
      </c>
      <c r="P36" s="348"/>
      <c r="Q36" s="348"/>
      <c r="R36" s="395" t="s">
        <v>1873</v>
      </c>
      <c r="S36" s="407"/>
      <c r="T36" s="407"/>
      <c r="U36" s="407"/>
      <c r="V36" s="407">
        <v>5</v>
      </c>
      <c r="W36" s="528">
        <f>ROUND(G36/V36,2)</f>
        <v>60</v>
      </c>
      <c r="X36" s="420">
        <f>18*W36</f>
        <v>1080</v>
      </c>
      <c r="Y36" s="408">
        <f>ROUND((S36*T36*U36)*0.000001*W36,2)</f>
        <v>0</v>
      </c>
      <c r="Z36" s="608"/>
      <c r="AA36" s="360">
        <f>Z36*G36</f>
        <v>0</v>
      </c>
      <c r="AB36" s="346" t="s">
        <v>46</v>
      </c>
      <c r="AC36" s="361"/>
      <c r="AD36" s="362"/>
      <c r="AE36" s="357"/>
      <c r="AF36" s="357"/>
      <c r="AG36" s="329" t="s">
        <v>51</v>
      </c>
      <c r="AH36" s="357"/>
      <c r="AI36" s="329" t="s">
        <v>51</v>
      </c>
      <c r="AJ36" s="357"/>
      <c r="AK36" s="357"/>
      <c r="AL36" s="357"/>
      <c r="AM36" s="357"/>
      <c r="AN36" s="329" t="s">
        <v>51</v>
      </c>
      <c r="AO36" s="329" t="s">
        <v>51</v>
      </c>
      <c r="AP36" s="329" t="s">
        <v>51</v>
      </c>
      <c r="AQ36" s="345"/>
      <c r="AR36" s="357"/>
    </row>
    <row r="37" spans="1:47" ht="30" customHeight="1">
      <c r="A37" s="552" t="s">
        <v>2026</v>
      </c>
      <c r="B37" s="553"/>
      <c r="C37" s="554"/>
      <c r="D37" s="551"/>
      <c r="E37" s="555"/>
      <c r="F37" s="555"/>
      <c r="G37" s="555"/>
      <c r="H37" s="341"/>
      <c r="I37" s="334"/>
      <c r="J37" s="334"/>
      <c r="K37" s="334"/>
      <c r="L37" s="336"/>
      <c r="M37" s="332"/>
      <c r="N37" s="332"/>
      <c r="O37" s="337"/>
      <c r="P37" s="338"/>
      <c r="Q37" s="337"/>
      <c r="R37" s="339"/>
      <c r="S37" s="340"/>
      <c r="T37" s="340"/>
      <c r="U37" s="340"/>
      <c r="V37" s="340"/>
      <c r="W37" s="341"/>
      <c r="X37" s="342"/>
      <c r="Y37" s="350"/>
      <c r="Z37" s="342"/>
      <c r="AA37" s="344"/>
      <c r="AB37" s="332"/>
      <c r="AC37" s="332"/>
      <c r="AD37" s="339"/>
      <c r="AE37" s="337"/>
      <c r="AF37" s="338"/>
      <c r="AG37" s="337"/>
      <c r="AH37" s="338"/>
      <c r="AI37" s="337"/>
      <c r="AJ37" s="338"/>
      <c r="AK37" s="338"/>
      <c r="AL37" s="338"/>
      <c r="AM37" s="338"/>
      <c r="AN37" s="338"/>
      <c r="AO37" s="338"/>
      <c r="AP37" s="338"/>
      <c r="AQ37" s="338"/>
      <c r="AR37" s="338"/>
    </row>
    <row r="38" spans="1:47" s="115" customFormat="1" ht="35.25" customHeight="1">
      <c r="A38" s="490">
        <v>45712</v>
      </c>
      <c r="B38" s="483" t="s">
        <v>1877</v>
      </c>
      <c r="C38" s="326"/>
      <c r="D38" s="438"/>
      <c r="E38" s="610" t="s">
        <v>1876</v>
      </c>
      <c r="F38" s="367" t="s">
        <v>1305</v>
      </c>
      <c r="G38" s="428">
        <v>150</v>
      </c>
      <c r="H38" s="393" t="s">
        <v>2015</v>
      </c>
      <c r="I38" s="358" t="s">
        <v>2027</v>
      </c>
      <c r="J38" s="327" t="s">
        <v>1263</v>
      </c>
      <c r="K38" s="601" t="s">
        <v>1498</v>
      </c>
      <c r="L38" s="638" t="s">
        <v>48</v>
      </c>
      <c r="M38" s="383" t="s">
        <v>2028</v>
      </c>
      <c r="N38" s="602" t="s">
        <v>1273</v>
      </c>
      <c r="O38" s="382" t="s">
        <v>1874</v>
      </c>
      <c r="P38" s="348"/>
      <c r="Q38" s="348"/>
      <c r="R38" s="395" t="s">
        <v>1873</v>
      </c>
      <c r="S38" s="407"/>
      <c r="T38" s="407"/>
      <c r="U38" s="407"/>
      <c r="V38" s="407">
        <v>5</v>
      </c>
      <c r="W38" s="528">
        <f>ROUND(G38/V38,2)</f>
        <v>30</v>
      </c>
      <c r="X38" s="420">
        <f>18*W38</f>
        <v>540</v>
      </c>
      <c r="Y38" s="408">
        <f>ROUND((S38*T38*U38)*0.000001*W38,2)</f>
        <v>0</v>
      </c>
      <c r="Z38" s="608"/>
      <c r="AA38" s="360">
        <f>Z38*G38</f>
        <v>0</v>
      </c>
      <c r="AB38" s="346" t="s">
        <v>46</v>
      </c>
      <c r="AC38" s="361"/>
      <c r="AD38" s="362"/>
      <c r="AE38" s="357"/>
      <c r="AF38" s="357"/>
      <c r="AG38" s="329" t="s">
        <v>51</v>
      </c>
      <c r="AH38" s="357"/>
      <c r="AI38" s="329" t="s">
        <v>51</v>
      </c>
      <c r="AJ38" s="357"/>
      <c r="AK38" s="357"/>
      <c r="AL38" s="357"/>
      <c r="AM38" s="357"/>
      <c r="AN38" s="329" t="s">
        <v>51</v>
      </c>
      <c r="AO38" s="329" t="s">
        <v>51</v>
      </c>
      <c r="AP38" s="329" t="s">
        <v>51</v>
      </c>
      <c r="AQ38" s="345"/>
      <c r="AR38" s="357"/>
    </row>
    <row r="39" spans="1:47" ht="21.75" customHeight="1">
      <c r="A39" s="330"/>
      <c r="B39" s="331"/>
      <c r="C39" s="332"/>
      <c r="D39" s="333"/>
      <c r="E39" s="334"/>
      <c r="F39" s="334"/>
      <c r="G39" s="335">
        <f>SUM(G38:G38)</f>
        <v>150</v>
      </c>
      <c r="H39" s="334"/>
      <c r="I39" s="334"/>
      <c r="J39" s="334"/>
      <c r="K39" s="334"/>
      <c r="L39" s="336"/>
      <c r="M39" s="332"/>
      <c r="N39" s="332"/>
      <c r="O39" s="337"/>
      <c r="P39" s="338"/>
      <c r="Q39" s="337"/>
      <c r="R39" s="339"/>
      <c r="S39" s="340"/>
      <c r="T39" s="340"/>
      <c r="U39" s="340"/>
      <c r="V39" s="340"/>
      <c r="W39" s="341"/>
      <c r="X39" s="342"/>
      <c r="Y39" s="343">
        <f>SUM(Y38:Y38)</f>
        <v>0</v>
      </c>
      <c r="Z39" s="342"/>
      <c r="AA39" s="344"/>
      <c r="AB39" s="332"/>
      <c r="AC39" s="332"/>
      <c r="AD39" s="339"/>
      <c r="AE39" s="337"/>
      <c r="AF39" s="338"/>
      <c r="AG39" s="337"/>
      <c r="AH39" s="338"/>
      <c r="AI39" s="337"/>
      <c r="AJ39" s="338"/>
      <c r="AK39" s="338"/>
      <c r="AL39" s="338"/>
      <c r="AM39" s="338"/>
      <c r="AN39" s="338"/>
      <c r="AO39" s="338"/>
      <c r="AP39" s="338"/>
      <c r="AQ39" s="338"/>
      <c r="AR39" s="338"/>
    </row>
    <row r="40" spans="1:47" ht="24.75" customHeight="1">
      <c r="A40" s="552" t="s">
        <v>2032</v>
      </c>
      <c r="B40" s="553"/>
      <c r="C40" s="554"/>
      <c r="D40" s="551"/>
      <c r="E40" s="555"/>
      <c r="F40" s="555"/>
      <c r="G40" s="555"/>
      <c r="H40" s="341"/>
      <c r="I40" s="334"/>
      <c r="J40" s="334"/>
      <c r="K40" s="334"/>
      <c r="L40" s="336"/>
      <c r="M40" s="332"/>
      <c r="N40" s="332"/>
      <c r="O40" s="337"/>
      <c r="P40" s="338"/>
      <c r="Q40" s="337"/>
      <c r="R40" s="339"/>
      <c r="S40" s="340"/>
      <c r="T40" s="340"/>
      <c r="U40" s="340"/>
      <c r="V40" s="340"/>
      <c r="W40" s="341"/>
      <c r="X40" s="342"/>
      <c r="Y40" s="350"/>
      <c r="Z40" s="342"/>
      <c r="AA40" s="344"/>
      <c r="AB40" s="332"/>
      <c r="AC40" s="332"/>
      <c r="AD40" s="339"/>
      <c r="AE40" s="337"/>
      <c r="AF40" s="338"/>
      <c r="AG40" s="337"/>
      <c r="AH40" s="338"/>
      <c r="AI40" s="337"/>
      <c r="AJ40" s="338"/>
      <c r="AK40" s="338"/>
      <c r="AL40" s="338"/>
      <c r="AM40" s="338"/>
      <c r="AN40" s="338"/>
      <c r="AO40" s="338"/>
      <c r="AP40" s="338"/>
      <c r="AQ40" s="338"/>
      <c r="AR40" s="338"/>
    </row>
    <row r="41" spans="1:47" s="115" customFormat="1" ht="25.5" customHeight="1">
      <c r="A41" s="490">
        <v>45710</v>
      </c>
      <c r="B41" s="483" t="s">
        <v>2033</v>
      </c>
      <c r="C41" s="326" t="s">
        <v>2034</v>
      </c>
      <c r="D41" s="438"/>
      <c r="E41" s="605"/>
      <c r="F41" s="484" t="s">
        <v>1305</v>
      </c>
      <c r="G41" s="544">
        <v>30</v>
      </c>
      <c r="H41" s="399" t="s">
        <v>1935</v>
      </c>
      <c r="I41" s="393" t="s">
        <v>1818</v>
      </c>
      <c r="J41" s="363" t="s">
        <v>1335</v>
      </c>
      <c r="K41" s="384" t="s">
        <v>1055</v>
      </c>
      <c r="L41" s="545" t="s">
        <v>60</v>
      </c>
      <c r="M41" s="383">
        <v>45842</v>
      </c>
      <c r="N41" s="103" t="s">
        <v>1273</v>
      </c>
      <c r="O41" s="382" t="s">
        <v>1859</v>
      </c>
      <c r="P41" s="425">
        <v>45706</v>
      </c>
      <c r="Q41" s="348"/>
      <c r="R41" s="395" t="s">
        <v>1729</v>
      </c>
      <c r="S41" s="543">
        <v>40</v>
      </c>
      <c r="T41" s="543">
        <v>40</v>
      </c>
      <c r="U41" s="543"/>
      <c r="V41" s="543">
        <v>5</v>
      </c>
      <c r="W41" s="528">
        <f t="shared" ref="W41:W46" si="8">ROUND(G41/V41,2)</f>
        <v>6</v>
      </c>
      <c r="X41" s="420">
        <f>10.1*W41</f>
        <v>60.599999999999994</v>
      </c>
      <c r="Y41" s="408">
        <f t="shared" ref="Y41:Y46" si="9">ROUND((S41*T41*U41)*0.000001*W41,2)</f>
        <v>0</v>
      </c>
      <c r="Z41" s="606">
        <v>35.68</v>
      </c>
      <c r="AA41" s="360">
        <f t="shared" ref="AA41:AA46" si="10">Z41*G41</f>
        <v>1070.4000000000001</v>
      </c>
      <c r="AB41" s="346" t="s">
        <v>46</v>
      </c>
      <c r="AC41" s="361"/>
      <c r="AD41" s="362"/>
      <c r="AE41" s="357"/>
      <c r="AF41" s="357"/>
      <c r="AG41" s="345"/>
      <c r="AH41" s="357"/>
      <c r="AI41" s="357"/>
      <c r="AJ41" s="345"/>
      <c r="AK41" s="357"/>
      <c r="AL41" s="357"/>
      <c r="AM41" s="357"/>
      <c r="AN41" s="329" t="s">
        <v>51</v>
      </c>
      <c r="AO41" s="329" t="s">
        <v>51</v>
      </c>
      <c r="AP41" s="329" t="s">
        <v>51</v>
      </c>
      <c r="AQ41" s="345"/>
      <c r="AR41" s="547"/>
    </row>
    <row r="42" spans="1:47" s="115" customFormat="1" ht="25.5" customHeight="1">
      <c r="A42" s="490">
        <v>45710</v>
      </c>
      <c r="B42" s="483" t="s">
        <v>2033</v>
      </c>
      <c r="C42" s="326" t="s">
        <v>2035</v>
      </c>
      <c r="D42" s="438"/>
      <c r="E42" s="605"/>
      <c r="F42" s="484" t="s">
        <v>1305</v>
      </c>
      <c r="G42" s="544">
        <v>30</v>
      </c>
      <c r="H42" s="399" t="s">
        <v>1936</v>
      </c>
      <c r="I42" s="393" t="s">
        <v>1819</v>
      </c>
      <c r="J42" s="363" t="s">
        <v>1335</v>
      </c>
      <c r="K42" s="384" t="s">
        <v>1055</v>
      </c>
      <c r="L42" s="545" t="s">
        <v>60</v>
      </c>
      <c r="M42" s="383">
        <v>45842</v>
      </c>
      <c r="N42" s="394"/>
      <c r="O42" s="382" t="s">
        <v>1859</v>
      </c>
      <c r="P42" s="425">
        <v>45706</v>
      </c>
      <c r="Q42" s="348"/>
      <c r="R42" s="395" t="s">
        <v>1729</v>
      </c>
      <c r="S42" s="543">
        <v>51</v>
      </c>
      <c r="T42" s="543">
        <v>35</v>
      </c>
      <c r="U42" s="543"/>
      <c r="V42" s="543">
        <v>5</v>
      </c>
      <c r="W42" s="528">
        <f t="shared" si="8"/>
        <v>6</v>
      </c>
      <c r="X42" s="420">
        <f>15*W42</f>
        <v>90</v>
      </c>
      <c r="Y42" s="408">
        <f t="shared" si="9"/>
        <v>0</v>
      </c>
      <c r="Z42" s="606">
        <v>43.45</v>
      </c>
      <c r="AA42" s="360">
        <f t="shared" si="10"/>
        <v>1303.5</v>
      </c>
      <c r="AB42" s="346" t="s">
        <v>46</v>
      </c>
      <c r="AC42" s="361"/>
      <c r="AD42" s="362"/>
      <c r="AE42" s="357"/>
      <c r="AF42" s="357"/>
      <c r="AG42" s="345"/>
      <c r="AH42" s="357"/>
      <c r="AI42" s="357"/>
      <c r="AJ42" s="345"/>
      <c r="AK42" s="357"/>
      <c r="AL42" s="357"/>
      <c r="AM42" s="357"/>
      <c r="AN42" s="329" t="s">
        <v>51</v>
      </c>
      <c r="AO42" s="329" t="s">
        <v>51</v>
      </c>
      <c r="AP42" s="329" t="s">
        <v>51</v>
      </c>
      <c r="AQ42" s="345"/>
      <c r="AR42" s="547"/>
    </row>
    <row r="43" spans="1:47" s="115" customFormat="1" ht="25.5" customHeight="1">
      <c r="A43" s="490">
        <v>45710</v>
      </c>
      <c r="B43" s="483" t="s">
        <v>2033</v>
      </c>
      <c r="C43" s="326" t="s">
        <v>2036</v>
      </c>
      <c r="D43" s="438"/>
      <c r="E43" s="605"/>
      <c r="F43" s="484" t="s">
        <v>1305</v>
      </c>
      <c r="G43" s="428">
        <v>65</v>
      </c>
      <c r="H43" s="363" t="s">
        <v>1937</v>
      </c>
      <c r="I43" s="393" t="s">
        <v>1820</v>
      </c>
      <c r="J43" s="363" t="s">
        <v>1335</v>
      </c>
      <c r="K43" s="384" t="s">
        <v>1055</v>
      </c>
      <c r="L43" s="636"/>
      <c r="M43" s="383">
        <v>45842</v>
      </c>
      <c r="N43" s="394"/>
      <c r="O43" s="382" t="s">
        <v>1859</v>
      </c>
      <c r="P43" s="425">
        <v>45706</v>
      </c>
      <c r="Q43" s="348"/>
      <c r="R43" s="395" t="s">
        <v>1729</v>
      </c>
      <c r="S43" s="543">
        <v>51</v>
      </c>
      <c r="T43" s="543">
        <v>38</v>
      </c>
      <c r="U43" s="543"/>
      <c r="V43" s="543">
        <v>5</v>
      </c>
      <c r="W43" s="528">
        <f t="shared" si="8"/>
        <v>13</v>
      </c>
      <c r="X43" s="420">
        <f>13.5*W43</f>
        <v>175.5</v>
      </c>
      <c r="Y43" s="408">
        <f t="shared" si="9"/>
        <v>0</v>
      </c>
      <c r="Z43" s="606">
        <v>46.85</v>
      </c>
      <c r="AA43" s="360">
        <f t="shared" si="10"/>
        <v>3045.25</v>
      </c>
      <c r="AB43" s="346" t="s">
        <v>46</v>
      </c>
      <c r="AC43" s="361"/>
      <c r="AD43" s="362"/>
      <c r="AE43" s="357"/>
      <c r="AF43" s="357"/>
      <c r="AG43" s="345"/>
      <c r="AH43" s="357"/>
      <c r="AI43" s="345"/>
      <c r="AJ43" s="357"/>
      <c r="AK43" s="357"/>
      <c r="AL43" s="357"/>
      <c r="AM43" s="357"/>
      <c r="AN43" s="329" t="s">
        <v>51</v>
      </c>
      <c r="AO43" s="329" t="s">
        <v>51</v>
      </c>
      <c r="AP43" s="329" t="s">
        <v>51</v>
      </c>
      <c r="AQ43" s="345"/>
      <c r="AR43" s="547"/>
    </row>
    <row r="44" spans="1:47" s="115" customFormat="1" ht="25.5" customHeight="1">
      <c r="A44" s="490">
        <v>45710</v>
      </c>
      <c r="B44" s="483" t="s">
        <v>2033</v>
      </c>
      <c r="C44" s="326" t="s">
        <v>2037</v>
      </c>
      <c r="D44" s="438"/>
      <c r="E44" s="605"/>
      <c r="F44" s="484" t="s">
        <v>1305</v>
      </c>
      <c r="G44" s="428">
        <v>75</v>
      </c>
      <c r="H44" s="393" t="s">
        <v>1938</v>
      </c>
      <c r="I44" s="393" t="s">
        <v>1817</v>
      </c>
      <c r="J44" s="363" t="s">
        <v>1335</v>
      </c>
      <c r="K44" s="384" t="s">
        <v>1055</v>
      </c>
      <c r="L44" s="636"/>
      <c r="M44" s="383">
        <v>45842</v>
      </c>
      <c r="N44" s="394"/>
      <c r="O44" s="382" t="s">
        <v>1859</v>
      </c>
      <c r="P44" s="425">
        <v>45706</v>
      </c>
      <c r="Q44" s="348"/>
      <c r="R44" s="395" t="s">
        <v>1729</v>
      </c>
      <c r="S44" s="543">
        <v>54</v>
      </c>
      <c r="T44" s="543">
        <v>40</v>
      </c>
      <c r="U44" s="543"/>
      <c r="V44" s="543">
        <v>5</v>
      </c>
      <c r="W44" s="528">
        <f t="shared" si="8"/>
        <v>15</v>
      </c>
      <c r="X44" s="420">
        <f>18*W44</f>
        <v>270</v>
      </c>
      <c r="Y44" s="408">
        <f t="shared" si="9"/>
        <v>0</v>
      </c>
      <c r="Z44" s="606">
        <v>52.59</v>
      </c>
      <c r="AA44" s="360">
        <f t="shared" si="10"/>
        <v>3944.2500000000005</v>
      </c>
      <c r="AB44" s="346" t="s">
        <v>46</v>
      </c>
      <c r="AC44" s="361"/>
      <c r="AD44" s="362"/>
      <c r="AE44" s="357"/>
      <c r="AF44" s="357"/>
      <c r="AG44" s="345"/>
      <c r="AH44" s="357"/>
      <c r="AI44" s="345"/>
      <c r="AJ44" s="357"/>
      <c r="AK44" s="357"/>
      <c r="AL44" s="357"/>
      <c r="AM44" s="357"/>
      <c r="AN44" s="329"/>
      <c r="AO44" s="329"/>
      <c r="AP44" s="329"/>
      <c r="AQ44" s="345"/>
      <c r="AR44" s="547"/>
    </row>
    <row r="45" spans="1:47" s="115" customFormat="1" ht="28.5" customHeight="1">
      <c r="A45" s="490">
        <v>45710</v>
      </c>
      <c r="B45" s="483" t="s">
        <v>2033</v>
      </c>
      <c r="C45" s="326" t="s">
        <v>2038</v>
      </c>
      <c r="D45" s="438"/>
      <c r="E45" s="605"/>
      <c r="F45" s="484" t="s">
        <v>1305</v>
      </c>
      <c r="G45" s="401">
        <v>125</v>
      </c>
      <c r="H45" s="363" t="s">
        <v>1883</v>
      </c>
      <c r="I45" s="393" t="s">
        <v>1821</v>
      </c>
      <c r="J45" s="363" t="s">
        <v>1335</v>
      </c>
      <c r="K45" s="384" t="s">
        <v>1055</v>
      </c>
      <c r="L45" s="636"/>
      <c r="M45" s="383">
        <v>45842</v>
      </c>
      <c r="N45" s="394"/>
      <c r="O45" s="382" t="s">
        <v>1859</v>
      </c>
      <c r="P45" s="425">
        <v>45706</v>
      </c>
      <c r="Q45" s="348"/>
      <c r="R45" s="395" t="s">
        <v>1729</v>
      </c>
      <c r="S45" s="543">
        <v>54</v>
      </c>
      <c r="T45" s="543">
        <v>40</v>
      </c>
      <c r="U45" s="543"/>
      <c r="V45" s="543">
        <v>5</v>
      </c>
      <c r="W45" s="528">
        <f t="shared" si="8"/>
        <v>25</v>
      </c>
      <c r="X45" s="420">
        <f>15.1*W45</f>
        <v>377.5</v>
      </c>
      <c r="Y45" s="408">
        <f t="shared" si="9"/>
        <v>0</v>
      </c>
      <c r="Z45" s="606">
        <v>61.02</v>
      </c>
      <c r="AA45" s="360">
        <f t="shared" si="10"/>
        <v>7627.5</v>
      </c>
      <c r="AB45" s="346" t="s">
        <v>46</v>
      </c>
      <c r="AC45" s="361"/>
      <c r="AD45" s="362"/>
      <c r="AE45" s="357"/>
      <c r="AF45" s="357"/>
      <c r="AG45" s="345"/>
      <c r="AH45" s="357"/>
      <c r="AI45" s="345"/>
      <c r="AJ45" s="357"/>
      <c r="AK45" s="357"/>
      <c r="AL45" s="357"/>
      <c r="AM45" s="357"/>
      <c r="AN45" s="329"/>
      <c r="AO45" s="329"/>
      <c r="AP45" s="329"/>
      <c r="AQ45" s="345"/>
      <c r="AR45" s="547"/>
    </row>
    <row r="46" spans="1:47" s="115" customFormat="1" ht="28.5" customHeight="1">
      <c r="A46" s="490">
        <v>45710</v>
      </c>
      <c r="B46" s="483" t="s">
        <v>2033</v>
      </c>
      <c r="C46" s="326" t="s">
        <v>2039</v>
      </c>
      <c r="D46" s="438"/>
      <c r="E46" s="605"/>
      <c r="F46" s="484" t="s">
        <v>1305</v>
      </c>
      <c r="G46" s="544">
        <v>25</v>
      </c>
      <c r="H46" s="399" t="s">
        <v>2030</v>
      </c>
      <c r="I46" s="393" t="s">
        <v>1994</v>
      </c>
      <c r="J46" s="363" t="s">
        <v>1335</v>
      </c>
      <c r="K46" s="384" t="s">
        <v>1055</v>
      </c>
      <c r="L46" s="545" t="s">
        <v>60</v>
      </c>
      <c r="M46" s="383">
        <v>45842</v>
      </c>
      <c r="N46" s="394"/>
      <c r="O46" s="382" t="s">
        <v>1859</v>
      </c>
      <c r="P46" s="425">
        <v>45706</v>
      </c>
      <c r="Q46" s="348"/>
      <c r="R46" s="395" t="s">
        <v>1729</v>
      </c>
      <c r="S46" s="543">
        <v>54</v>
      </c>
      <c r="T46" s="543">
        <v>40</v>
      </c>
      <c r="U46" s="543"/>
      <c r="V46" s="543">
        <v>5</v>
      </c>
      <c r="W46" s="528">
        <f t="shared" si="8"/>
        <v>5</v>
      </c>
      <c r="X46" s="420">
        <f>15.1*W46</f>
        <v>75.5</v>
      </c>
      <c r="Y46" s="408">
        <f t="shared" si="9"/>
        <v>0</v>
      </c>
      <c r="Z46" s="606"/>
      <c r="AA46" s="360">
        <f t="shared" si="10"/>
        <v>0</v>
      </c>
      <c r="AB46" s="346" t="s">
        <v>46</v>
      </c>
      <c r="AC46" s="361"/>
      <c r="AD46" s="362"/>
      <c r="AE46" s="357"/>
      <c r="AF46" s="357"/>
      <c r="AG46" s="345"/>
      <c r="AH46" s="357"/>
      <c r="AI46" s="357"/>
      <c r="AJ46" s="345"/>
      <c r="AK46" s="357"/>
      <c r="AL46" s="357"/>
      <c r="AM46" s="357"/>
      <c r="AN46" s="329"/>
      <c r="AO46" s="329"/>
      <c r="AP46" s="329"/>
      <c r="AQ46" s="345"/>
      <c r="AR46" s="547"/>
    </row>
    <row r="47" spans="1:47" ht="24.75" customHeight="1">
      <c r="A47" s="330"/>
      <c r="B47" s="331"/>
      <c r="C47" s="332"/>
      <c r="D47" s="333"/>
      <c r="E47" s="334"/>
      <c r="F47" s="334"/>
      <c r="G47" s="335">
        <f>SUM(G41:G46)</f>
        <v>350</v>
      </c>
      <c r="H47" s="334"/>
      <c r="I47" s="334"/>
      <c r="J47" s="334"/>
      <c r="K47" s="334"/>
      <c r="L47" s="336"/>
      <c r="M47" s="332"/>
      <c r="N47" s="332"/>
      <c r="O47" s="337"/>
      <c r="P47" s="338"/>
      <c r="Q47" s="337"/>
      <c r="R47" s="339"/>
      <c r="S47" s="340"/>
      <c r="T47" s="340"/>
      <c r="U47" s="340"/>
      <c r="V47" s="340"/>
      <c r="W47" s="341"/>
      <c r="X47" s="342"/>
      <c r="Y47" s="343">
        <f>SUM(Y41:Y46)</f>
        <v>0</v>
      </c>
      <c r="Z47" s="342"/>
      <c r="AA47" s="344"/>
      <c r="AB47" s="332"/>
      <c r="AC47" s="332"/>
      <c r="AD47" s="339"/>
      <c r="AE47" s="337"/>
      <c r="AF47" s="338"/>
      <c r="AG47" s="337"/>
      <c r="AH47" s="338"/>
      <c r="AI47" s="337"/>
      <c r="AJ47" s="338"/>
      <c r="AK47" s="338"/>
      <c r="AL47" s="338"/>
      <c r="AM47" s="338"/>
      <c r="AN47" s="338"/>
      <c r="AO47" s="338"/>
      <c r="AP47" s="338"/>
      <c r="AQ47" s="338"/>
      <c r="AR47" s="338"/>
    </row>
    <row r="48" spans="1:47" s="115" customFormat="1" ht="38.25">
      <c r="A48" s="646">
        <v>45735</v>
      </c>
      <c r="B48" s="483" t="s">
        <v>2079</v>
      </c>
      <c r="C48" s="640" t="s">
        <v>2081</v>
      </c>
      <c r="D48" s="650"/>
      <c r="E48" s="610" t="s">
        <v>2078</v>
      </c>
      <c r="F48" s="651" t="s">
        <v>52</v>
      </c>
      <c r="G48" s="652">
        <v>145</v>
      </c>
      <c r="H48" s="484" t="s">
        <v>1813</v>
      </c>
      <c r="I48" s="393" t="s">
        <v>1884</v>
      </c>
      <c r="J48" s="363" t="s">
        <v>2077</v>
      </c>
      <c r="K48" s="384" t="s">
        <v>53</v>
      </c>
      <c r="L48" s="394" t="s">
        <v>262</v>
      </c>
      <c r="M48" s="383">
        <v>45838</v>
      </c>
      <c r="N48" s="403" t="s">
        <v>54</v>
      </c>
      <c r="O48" s="382" t="s">
        <v>55</v>
      </c>
      <c r="P48" s="374">
        <v>45663</v>
      </c>
      <c r="Q48" s="348"/>
      <c r="R48" s="395" t="s">
        <v>49</v>
      </c>
      <c r="S48" s="407">
        <v>125</v>
      </c>
      <c r="T48" s="407">
        <v>82</v>
      </c>
      <c r="U48" s="407">
        <v>46</v>
      </c>
      <c r="V48" s="407">
        <v>1</v>
      </c>
      <c r="W48" s="388">
        <f>ROUND(G48/V48,2)</f>
        <v>145</v>
      </c>
      <c r="X48" s="424">
        <f>40*W48</f>
        <v>5800</v>
      </c>
      <c r="Y48" s="408">
        <f>ROUND((S48*T48*U48)*0.000001*W48,2)</f>
        <v>68.37</v>
      </c>
      <c r="Z48" s="376">
        <v>216.3</v>
      </c>
      <c r="AA48" s="360">
        <f>Z48*G48</f>
        <v>31363.5</v>
      </c>
      <c r="AB48" s="346" t="s">
        <v>46</v>
      </c>
      <c r="AC48" s="361"/>
      <c r="AD48" s="362"/>
      <c r="AE48" s="357"/>
      <c r="AF48" s="357"/>
      <c r="AG48" s="329"/>
      <c r="AH48" s="329"/>
      <c r="AI48" s="329" t="s">
        <v>51</v>
      </c>
      <c r="AJ48" s="357"/>
      <c r="AK48" s="357"/>
      <c r="AL48" s="357"/>
      <c r="AM48" s="357"/>
      <c r="AN48" s="357"/>
      <c r="AO48" s="357"/>
      <c r="AP48" s="357"/>
      <c r="AQ48" s="357"/>
      <c r="AR48" s="357"/>
      <c r="AT48" s="338"/>
      <c r="AU48" s="338"/>
    </row>
    <row r="49" spans="1:47" s="115" customFormat="1" ht="38.25">
      <c r="A49" s="646">
        <v>45735</v>
      </c>
      <c r="B49" s="483" t="s">
        <v>2079</v>
      </c>
      <c r="C49" s="640" t="s">
        <v>2082</v>
      </c>
      <c r="D49" s="650"/>
      <c r="E49" s="610" t="s">
        <v>2078</v>
      </c>
      <c r="F49" s="651" t="s">
        <v>52</v>
      </c>
      <c r="G49" s="652">
        <v>145</v>
      </c>
      <c r="H49" s="484" t="s">
        <v>1813</v>
      </c>
      <c r="I49" s="393" t="s">
        <v>1884</v>
      </c>
      <c r="J49" s="363" t="s">
        <v>2077</v>
      </c>
      <c r="K49" s="384" t="s">
        <v>53</v>
      </c>
      <c r="L49" s="394" t="s">
        <v>262</v>
      </c>
      <c r="M49" s="383">
        <v>45853</v>
      </c>
      <c r="N49" s="403" t="s">
        <v>54</v>
      </c>
      <c r="O49" s="382" t="s">
        <v>55</v>
      </c>
      <c r="P49" s="374">
        <v>45663</v>
      </c>
      <c r="Q49" s="348"/>
      <c r="R49" s="395" t="s">
        <v>49</v>
      </c>
      <c r="S49" s="407">
        <v>125</v>
      </c>
      <c r="T49" s="407">
        <v>82</v>
      </c>
      <c r="U49" s="407">
        <v>46</v>
      </c>
      <c r="V49" s="407">
        <v>1</v>
      </c>
      <c r="W49" s="388">
        <f>ROUND(G49/V49,2)</f>
        <v>145</v>
      </c>
      <c r="X49" s="424">
        <f>40*W49</f>
        <v>5800</v>
      </c>
      <c r="Y49" s="408">
        <f>ROUND((S49*T49*U49)*0.000001*W49,2)</f>
        <v>68.37</v>
      </c>
      <c r="Z49" s="376">
        <v>216.3</v>
      </c>
      <c r="AA49" s="360">
        <f>Z49*G49</f>
        <v>31363.5</v>
      </c>
      <c r="AB49" s="346" t="s">
        <v>46</v>
      </c>
      <c r="AC49" s="361"/>
      <c r="AD49" s="362"/>
      <c r="AE49" s="357"/>
      <c r="AF49" s="357"/>
      <c r="AG49" s="329"/>
      <c r="AH49" s="329"/>
      <c r="AI49" s="329" t="s">
        <v>51</v>
      </c>
      <c r="AJ49" s="357"/>
      <c r="AK49" s="357"/>
      <c r="AL49" s="357"/>
      <c r="AM49" s="357"/>
      <c r="AN49" s="357"/>
      <c r="AO49" s="357"/>
      <c r="AP49" s="357"/>
      <c r="AQ49" s="357"/>
      <c r="AR49" s="357"/>
      <c r="AT49" s="338"/>
      <c r="AU49" s="338"/>
    </row>
    <row r="50" spans="1:47" s="115" customFormat="1" ht="38.25">
      <c r="A50" s="646">
        <v>45735</v>
      </c>
      <c r="B50" s="483" t="s">
        <v>2079</v>
      </c>
      <c r="C50" s="640" t="s">
        <v>2083</v>
      </c>
      <c r="D50" s="650"/>
      <c r="E50" s="610" t="s">
        <v>2078</v>
      </c>
      <c r="F50" s="651" t="s">
        <v>52</v>
      </c>
      <c r="G50" s="652">
        <v>145</v>
      </c>
      <c r="H50" s="484" t="s">
        <v>1813</v>
      </c>
      <c r="I50" s="393" t="s">
        <v>1884</v>
      </c>
      <c r="J50" s="363" t="s">
        <v>2077</v>
      </c>
      <c r="K50" s="384" t="s">
        <v>53</v>
      </c>
      <c r="L50" s="394" t="s">
        <v>262</v>
      </c>
      <c r="M50" s="383">
        <v>45867</v>
      </c>
      <c r="N50" s="403" t="s">
        <v>54</v>
      </c>
      <c r="O50" s="382" t="s">
        <v>55</v>
      </c>
      <c r="P50" s="374">
        <v>45663</v>
      </c>
      <c r="Q50" s="348"/>
      <c r="R50" s="395" t="s">
        <v>49</v>
      </c>
      <c r="S50" s="407">
        <v>125</v>
      </c>
      <c r="T50" s="407">
        <v>82</v>
      </c>
      <c r="U50" s="407">
        <v>46</v>
      </c>
      <c r="V50" s="407">
        <v>1</v>
      </c>
      <c r="W50" s="388">
        <f>ROUND(G50/V50,2)</f>
        <v>145</v>
      </c>
      <c r="X50" s="424">
        <f>40*W50</f>
        <v>5800</v>
      </c>
      <c r="Y50" s="408">
        <f>ROUND((S50*T50*U50)*0.000001*W50,2)</f>
        <v>68.37</v>
      </c>
      <c r="Z50" s="376">
        <v>216.3</v>
      </c>
      <c r="AA50" s="360">
        <f>Z50*G50</f>
        <v>31363.5</v>
      </c>
      <c r="AB50" s="346" t="s">
        <v>46</v>
      </c>
      <c r="AC50" s="361"/>
      <c r="AD50" s="362"/>
      <c r="AE50" s="357"/>
      <c r="AF50" s="357"/>
      <c r="AG50" s="329"/>
      <c r="AH50" s="329"/>
      <c r="AI50" s="329" t="s">
        <v>51</v>
      </c>
      <c r="AJ50" s="357"/>
      <c r="AK50" s="357"/>
      <c r="AL50" s="357"/>
      <c r="AM50" s="357"/>
      <c r="AN50" s="357"/>
      <c r="AO50" s="357"/>
      <c r="AP50" s="357"/>
      <c r="AQ50" s="357"/>
      <c r="AR50" s="357"/>
      <c r="AT50" s="329"/>
      <c r="AU50" s="357"/>
    </row>
    <row r="51" spans="1:47" s="115" customFormat="1" ht="38.25">
      <c r="A51" s="646">
        <v>45735</v>
      </c>
      <c r="B51" s="483" t="s">
        <v>2079</v>
      </c>
      <c r="C51" s="640" t="s">
        <v>2084</v>
      </c>
      <c r="D51" s="650"/>
      <c r="E51" s="610" t="s">
        <v>2078</v>
      </c>
      <c r="F51" s="651" t="s">
        <v>52</v>
      </c>
      <c r="G51" s="652">
        <v>145</v>
      </c>
      <c r="H51" s="484" t="s">
        <v>1813</v>
      </c>
      <c r="I51" s="393" t="s">
        <v>1884</v>
      </c>
      <c r="J51" s="363" t="s">
        <v>2077</v>
      </c>
      <c r="K51" s="384" t="s">
        <v>53</v>
      </c>
      <c r="L51" s="394" t="s">
        <v>262</v>
      </c>
      <c r="M51" s="383">
        <v>45883</v>
      </c>
      <c r="N51" s="403" t="s">
        <v>54</v>
      </c>
      <c r="O51" s="382" t="s">
        <v>55</v>
      </c>
      <c r="P51" s="374">
        <v>45663</v>
      </c>
      <c r="Q51" s="348"/>
      <c r="R51" s="395" t="s">
        <v>49</v>
      </c>
      <c r="S51" s="407">
        <v>125</v>
      </c>
      <c r="T51" s="407">
        <v>82</v>
      </c>
      <c r="U51" s="407">
        <v>46</v>
      </c>
      <c r="V51" s="407">
        <v>1</v>
      </c>
      <c r="W51" s="388">
        <f>ROUND(G51/V51,2)</f>
        <v>145</v>
      </c>
      <c r="X51" s="424">
        <f>40*W51</f>
        <v>5800</v>
      </c>
      <c r="Y51" s="408">
        <f>ROUND((S51*T51*U51)*0.000001*W51,2)</f>
        <v>68.37</v>
      </c>
      <c r="Z51" s="376">
        <v>216.3</v>
      </c>
      <c r="AA51" s="360">
        <f>Z51*G51</f>
        <v>31363.5</v>
      </c>
      <c r="AB51" s="346" t="s">
        <v>46</v>
      </c>
      <c r="AC51" s="361"/>
      <c r="AD51" s="362"/>
      <c r="AE51" s="357"/>
      <c r="AF51" s="357"/>
      <c r="AG51" s="329"/>
      <c r="AH51" s="329"/>
      <c r="AI51" s="329" t="s">
        <v>51</v>
      </c>
      <c r="AJ51" s="357"/>
      <c r="AK51" s="357"/>
      <c r="AL51" s="357"/>
      <c r="AM51" s="357"/>
      <c r="AN51" s="357"/>
      <c r="AO51" s="357"/>
      <c r="AP51" s="357"/>
      <c r="AQ51" s="357"/>
      <c r="AR51" s="357"/>
      <c r="AT51" s="338"/>
      <c r="AU51" s="338"/>
    </row>
    <row r="52" spans="1:47" ht="30" customHeight="1">
      <c r="A52" s="351"/>
      <c r="B52" s="331"/>
      <c r="C52" s="332"/>
      <c r="D52" s="333"/>
      <c r="E52" s="334"/>
      <c r="F52" s="334"/>
      <c r="G52" s="649">
        <f>SUM(G48:G51)</f>
        <v>580</v>
      </c>
      <c r="H52" s="341"/>
      <c r="I52" s="334"/>
      <c r="J52" s="334"/>
      <c r="K52" s="334"/>
      <c r="L52" s="336"/>
      <c r="M52" s="332"/>
      <c r="N52" s="332"/>
      <c r="O52" s="337"/>
      <c r="P52" s="338"/>
      <c r="Q52" s="337"/>
      <c r="R52" s="339"/>
      <c r="S52" s="340"/>
      <c r="T52" s="340"/>
      <c r="U52" s="340"/>
      <c r="V52" s="340"/>
      <c r="W52" s="341"/>
      <c r="X52" s="342"/>
      <c r="Y52" s="144">
        <f>SUM(Y50:Y51)</f>
        <v>136.74</v>
      </c>
      <c r="Z52" s="342"/>
      <c r="AA52" s="344"/>
      <c r="AB52" s="332"/>
      <c r="AC52" s="332"/>
      <c r="AD52" s="339"/>
      <c r="AE52" s="337"/>
      <c r="AF52" s="338"/>
      <c r="AG52" s="337"/>
      <c r="AH52" s="338"/>
      <c r="AI52" s="337"/>
      <c r="AJ52" s="338"/>
      <c r="AK52" s="338"/>
      <c r="AL52" s="338"/>
      <c r="AM52" s="338"/>
      <c r="AN52" s="338"/>
      <c r="AO52" s="338"/>
      <c r="AP52" s="338"/>
      <c r="AQ52" s="338"/>
      <c r="AR52" s="338"/>
    </row>
    <row r="53" spans="1:47" ht="30" customHeight="1">
      <c r="A53" s="552" t="s">
        <v>2024</v>
      </c>
      <c r="B53" s="553"/>
      <c r="C53" s="554"/>
      <c r="D53" s="333"/>
      <c r="E53" s="334"/>
      <c r="F53" s="334"/>
      <c r="G53" s="334"/>
      <c r="H53" s="341"/>
      <c r="I53" s="334"/>
      <c r="J53" s="334"/>
      <c r="K53" s="334"/>
      <c r="L53" s="336"/>
      <c r="M53" s="332"/>
      <c r="N53" s="332"/>
      <c r="O53" s="337"/>
      <c r="P53" s="338"/>
      <c r="Q53" s="337"/>
      <c r="R53" s="339"/>
      <c r="S53" s="340"/>
      <c r="T53" s="340"/>
      <c r="U53" s="340"/>
      <c r="V53" s="340"/>
      <c r="W53" s="341"/>
      <c r="X53" s="342"/>
      <c r="Y53" s="350"/>
      <c r="Z53" s="342"/>
      <c r="AA53" s="344"/>
      <c r="AB53" s="332"/>
      <c r="AC53" s="332"/>
      <c r="AD53" s="339"/>
      <c r="AE53" s="337"/>
      <c r="AF53" s="338"/>
      <c r="AG53" s="337"/>
      <c r="AH53" s="338"/>
      <c r="AI53" s="337"/>
      <c r="AJ53" s="338"/>
      <c r="AK53" s="338"/>
      <c r="AL53" s="338"/>
      <c r="AM53" s="338"/>
      <c r="AN53" s="338"/>
      <c r="AO53" s="338"/>
      <c r="AP53" s="338"/>
      <c r="AQ53" s="338"/>
      <c r="AR53" s="338"/>
    </row>
    <row r="54" spans="1:47" ht="51">
      <c r="A54" s="490">
        <v>45640</v>
      </c>
      <c r="B54" s="615" t="s">
        <v>1922</v>
      </c>
      <c r="C54" s="326" t="s">
        <v>1927</v>
      </c>
      <c r="D54" s="438"/>
      <c r="E54" s="556" t="s">
        <v>1921</v>
      </c>
      <c r="F54" s="484" t="s">
        <v>1305</v>
      </c>
      <c r="G54" s="428">
        <v>100</v>
      </c>
      <c r="H54" s="393" t="s">
        <v>1608</v>
      </c>
      <c r="I54" s="393" t="s">
        <v>1483</v>
      </c>
      <c r="J54" s="363" t="s">
        <v>59</v>
      </c>
      <c r="K54" s="384" t="s">
        <v>1498</v>
      </c>
      <c r="L54" s="614"/>
      <c r="M54" s="383">
        <v>45814</v>
      </c>
      <c r="N54" s="103" t="s">
        <v>1273</v>
      </c>
      <c r="O54" s="382" t="s">
        <v>1878</v>
      </c>
      <c r="P54" s="348"/>
      <c r="Q54" s="348"/>
      <c r="R54" s="395" t="s">
        <v>49</v>
      </c>
      <c r="S54" s="543">
        <v>50</v>
      </c>
      <c r="T54" s="543">
        <v>40</v>
      </c>
      <c r="U54" s="639">
        <v>43</v>
      </c>
      <c r="V54" s="543">
        <v>10</v>
      </c>
      <c r="W54" s="528">
        <f t="shared" ref="W54:W65" si="11">ROUND(G54/V54,2)</f>
        <v>10</v>
      </c>
      <c r="X54" s="420">
        <f>13*W54</f>
        <v>130</v>
      </c>
      <c r="Y54" s="408">
        <f t="shared" ref="Y54:Y65" si="12">ROUND((S54*T54*U54)*0.000001*W54,2)</f>
        <v>0.86</v>
      </c>
      <c r="Z54" s="612">
        <v>14.48</v>
      </c>
      <c r="AA54" s="360">
        <f t="shared" ref="AA54:AA65" si="13">Z54*G54</f>
        <v>1448</v>
      </c>
      <c r="AB54" s="346" t="s">
        <v>46</v>
      </c>
      <c r="AC54" s="361"/>
      <c r="AD54" s="362"/>
      <c r="AE54" s="357"/>
      <c r="AF54" s="357"/>
      <c r="AG54" s="329" t="s">
        <v>51</v>
      </c>
      <c r="AH54" s="329" t="s">
        <v>51</v>
      </c>
      <c r="AI54" s="329" t="s">
        <v>51</v>
      </c>
      <c r="AJ54" s="357"/>
      <c r="AK54" s="357"/>
      <c r="AL54" s="357"/>
      <c r="AM54" s="357"/>
      <c r="AN54" s="329" t="s">
        <v>51</v>
      </c>
      <c r="AO54" s="329" t="s">
        <v>51</v>
      </c>
      <c r="AP54" s="329" t="s">
        <v>51</v>
      </c>
      <c r="AQ54" s="345"/>
      <c r="AR54" s="357"/>
    </row>
    <row r="55" spans="1:47" ht="51">
      <c r="A55" s="490">
        <v>45640</v>
      </c>
      <c r="B55" s="615" t="s">
        <v>1922</v>
      </c>
      <c r="C55" s="326" t="s">
        <v>1928</v>
      </c>
      <c r="D55" s="438"/>
      <c r="E55" s="556" t="s">
        <v>1921</v>
      </c>
      <c r="F55" s="484" t="s">
        <v>1305</v>
      </c>
      <c r="G55" s="428">
        <v>100</v>
      </c>
      <c r="H55" s="393" t="s">
        <v>1609</v>
      </c>
      <c r="I55" s="393" t="s">
        <v>1487</v>
      </c>
      <c r="J55" s="363" t="s">
        <v>59</v>
      </c>
      <c r="K55" s="384" t="s">
        <v>1498</v>
      </c>
      <c r="L55" s="535"/>
      <c r="M55" s="383">
        <v>45814</v>
      </c>
      <c r="N55" s="394"/>
      <c r="O55" s="382" t="s">
        <v>1878</v>
      </c>
      <c r="P55" s="425">
        <v>45506</v>
      </c>
      <c r="Q55" s="348"/>
      <c r="R55" s="395" t="s">
        <v>49</v>
      </c>
      <c r="S55" s="543">
        <v>50</v>
      </c>
      <c r="T55" s="543">
        <v>40</v>
      </c>
      <c r="U55" s="639">
        <v>43</v>
      </c>
      <c r="V55" s="543">
        <v>10</v>
      </c>
      <c r="W55" s="528">
        <f t="shared" si="11"/>
        <v>10</v>
      </c>
      <c r="X55" s="420">
        <f>15*W55</f>
        <v>150</v>
      </c>
      <c r="Y55" s="408">
        <f t="shared" si="12"/>
        <v>0.86</v>
      </c>
      <c r="Z55" s="612">
        <v>16.899999999999999</v>
      </c>
      <c r="AA55" s="360">
        <f t="shared" si="13"/>
        <v>1689.9999999999998</v>
      </c>
      <c r="AB55" s="346" t="s">
        <v>46</v>
      </c>
      <c r="AC55" s="361"/>
      <c r="AD55" s="362"/>
      <c r="AE55" s="357"/>
      <c r="AF55" s="357"/>
      <c r="AG55" s="329" t="s">
        <v>51</v>
      </c>
      <c r="AH55" s="329" t="s">
        <v>51</v>
      </c>
      <c r="AI55" s="329" t="s">
        <v>51</v>
      </c>
      <c r="AJ55" s="357"/>
      <c r="AK55" s="357"/>
      <c r="AL55" s="357"/>
      <c r="AM55" s="357"/>
      <c r="AN55" s="329" t="s">
        <v>51</v>
      </c>
      <c r="AO55" s="329" t="s">
        <v>51</v>
      </c>
      <c r="AP55" s="329" t="s">
        <v>51</v>
      </c>
      <c r="AQ55" s="345"/>
      <c r="AR55" s="357"/>
    </row>
    <row r="56" spans="1:47" ht="51">
      <c r="A56" s="490">
        <v>45640</v>
      </c>
      <c r="B56" s="615" t="s">
        <v>1922</v>
      </c>
      <c r="C56" s="326" t="s">
        <v>1929</v>
      </c>
      <c r="D56" s="438"/>
      <c r="E56" s="556" t="s">
        <v>1921</v>
      </c>
      <c r="F56" s="484" t="s">
        <v>1305</v>
      </c>
      <c r="G56" s="428">
        <v>100</v>
      </c>
      <c r="H56" s="363" t="s">
        <v>1610</v>
      </c>
      <c r="I56" s="393" t="s">
        <v>1490</v>
      </c>
      <c r="J56" s="363" t="s">
        <v>59</v>
      </c>
      <c r="K56" s="384" t="s">
        <v>1498</v>
      </c>
      <c r="L56" s="535"/>
      <c r="M56" s="383">
        <v>45814</v>
      </c>
      <c r="N56" s="394"/>
      <c r="O56" s="382" t="s">
        <v>1878</v>
      </c>
      <c r="P56" s="425">
        <v>45506</v>
      </c>
      <c r="Q56" s="348"/>
      <c r="R56" s="395" t="s">
        <v>49</v>
      </c>
      <c r="S56" s="543">
        <v>50</v>
      </c>
      <c r="T56" s="543">
        <v>40</v>
      </c>
      <c r="U56" s="639">
        <v>43</v>
      </c>
      <c r="V56" s="543">
        <v>10</v>
      </c>
      <c r="W56" s="528">
        <f t="shared" si="11"/>
        <v>10</v>
      </c>
      <c r="X56" s="420">
        <f>17*W56</f>
        <v>170</v>
      </c>
      <c r="Y56" s="408">
        <f t="shared" si="12"/>
        <v>0.86</v>
      </c>
      <c r="Z56" s="612">
        <v>18.7</v>
      </c>
      <c r="AA56" s="360">
        <f t="shared" si="13"/>
        <v>1870</v>
      </c>
      <c r="AB56" s="346" t="s">
        <v>46</v>
      </c>
      <c r="AC56" s="361"/>
      <c r="AD56" s="362"/>
      <c r="AE56" s="357"/>
      <c r="AF56" s="357"/>
      <c r="AG56" s="329" t="s">
        <v>51</v>
      </c>
      <c r="AH56" s="329" t="s">
        <v>51</v>
      </c>
      <c r="AI56" s="329" t="s">
        <v>51</v>
      </c>
      <c r="AJ56" s="357"/>
      <c r="AK56" s="357"/>
      <c r="AL56" s="357"/>
      <c r="AM56" s="357"/>
      <c r="AN56" s="329" t="s">
        <v>51</v>
      </c>
      <c r="AO56" s="329" t="s">
        <v>51</v>
      </c>
      <c r="AP56" s="329" t="s">
        <v>51</v>
      </c>
      <c r="AQ56" s="345"/>
      <c r="AR56" s="357"/>
    </row>
    <row r="57" spans="1:47" ht="51">
      <c r="A57" s="490">
        <v>45640</v>
      </c>
      <c r="B57" s="615" t="s">
        <v>1922</v>
      </c>
      <c r="C57" s="326" t="s">
        <v>1930</v>
      </c>
      <c r="D57" s="438"/>
      <c r="E57" s="556" t="s">
        <v>1921</v>
      </c>
      <c r="F57" s="484" t="s">
        <v>1305</v>
      </c>
      <c r="G57" s="428">
        <v>100</v>
      </c>
      <c r="H57" s="393" t="s">
        <v>1611</v>
      </c>
      <c r="I57" s="393" t="s">
        <v>1493</v>
      </c>
      <c r="J57" s="363" t="s">
        <v>59</v>
      </c>
      <c r="K57" s="384" t="s">
        <v>1498</v>
      </c>
      <c r="L57" s="616"/>
      <c r="M57" s="383">
        <v>45814</v>
      </c>
      <c r="N57" s="394"/>
      <c r="O57" s="382" t="s">
        <v>1878</v>
      </c>
      <c r="P57" s="425">
        <v>45506</v>
      </c>
      <c r="Q57" s="348"/>
      <c r="R57" s="395" t="s">
        <v>49</v>
      </c>
      <c r="S57" s="543">
        <v>50</v>
      </c>
      <c r="T57" s="543">
        <v>40</v>
      </c>
      <c r="U57" s="639">
        <v>43</v>
      </c>
      <c r="V57" s="543">
        <v>10</v>
      </c>
      <c r="W57" s="528">
        <f t="shared" si="11"/>
        <v>10</v>
      </c>
      <c r="X57" s="420">
        <f>18*W57</f>
        <v>180</v>
      </c>
      <c r="Y57" s="408">
        <f t="shared" si="12"/>
        <v>0.86</v>
      </c>
      <c r="Z57" s="612">
        <v>21.05</v>
      </c>
      <c r="AA57" s="360">
        <f t="shared" si="13"/>
        <v>2105</v>
      </c>
      <c r="AB57" s="346" t="s">
        <v>46</v>
      </c>
      <c r="AC57" s="361"/>
      <c r="AD57" s="362"/>
      <c r="AE57" s="357"/>
      <c r="AF57" s="357"/>
      <c r="AG57" s="329"/>
      <c r="AH57" s="329" t="s">
        <v>51</v>
      </c>
      <c r="AI57" s="329"/>
      <c r="AJ57" s="357"/>
      <c r="AK57" s="357"/>
      <c r="AL57" s="357"/>
      <c r="AM57" s="357"/>
      <c r="AN57" s="329"/>
      <c r="AO57" s="329"/>
      <c r="AP57" s="329"/>
      <c r="AQ57" s="345"/>
      <c r="AR57" s="357"/>
    </row>
    <row r="58" spans="1:47" ht="51">
      <c r="A58" s="490">
        <v>45640</v>
      </c>
      <c r="B58" s="615" t="s">
        <v>1922</v>
      </c>
      <c r="C58" s="326" t="s">
        <v>1880</v>
      </c>
      <c r="D58" s="438"/>
      <c r="E58" s="556" t="s">
        <v>1921</v>
      </c>
      <c r="F58" s="484" t="s">
        <v>1305</v>
      </c>
      <c r="G58" s="428">
        <v>100</v>
      </c>
      <c r="H58" s="393" t="s">
        <v>1612</v>
      </c>
      <c r="I58" s="393" t="s">
        <v>1496</v>
      </c>
      <c r="J58" s="363" t="s">
        <v>59</v>
      </c>
      <c r="K58" s="384" t="s">
        <v>1498</v>
      </c>
      <c r="L58" s="614"/>
      <c r="M58" s="383">
        <v>45814</v>
      </c>
      <c r="N58" s="394"/>
      <c r="O58" s="382" t="s">
        <v>1878</v>
      </c>
      <c r="P58" s="425">
        <v>45506</v>
      </c>
      <c r="Q58" s="348"/>
      <c r="R58" s="395" t="s">
        <v>49</v>
      </c>
      <c r="S58" s="543">
        <v>50</v>
      </c>
      <c r="T58" s="543">
        <v>40</v>
      </c>
      <c r="U58" s="639">
        <v>43</v>
      </c>
      <c r="V58" s="543">
        <v>10</v>
      </c>
      <c r="W58" s="528">
        <f t="shared" si="11"/>
        <v>10</v>
      </c>
      <c r="X58" s="420">
        <f>19*W58</f>
        <v>190</v>
      </c>
      <c r="Y58" s="408">
        <f t="shared" si="12"/>
        <v>0.86</v>
      </c>
      <c r="Z58" s="612">
        <v>23.1</v>
      </c>
      <c r="AA58" s="360">
        <f t="shared" si="13"/>
        <v>2310</v>
      </c>
      <c r="AB58" s="346" t="s">
        <v>46</v>
      </c>
      <c r="AC58" s="361"/>
      <c r="AD58" s="362"/>
      <c r="AE58" s="357"/>
      <c r="AF58" s="357"/>
      <c r="AG58" s="329"/>
      <c r="AH58" s="329" t="s">
        <v>51</v>
      </c>
      <c r="AI58" s="329"/>
      <c r="AJ58" s="357"/>
      <c r="AK58" s="357"/>
      <c r="AL58" s="357"/>
      <c r="AM58" s="357"/>
      <c r="AN58" s="329"/>
      <c r="AO58" s="329"/>
      <c r="AP58" s="329"/>
      <c r="AQ58" s="345"/>
      <c r="AR58" s="357"/>
    </row>
    <row r="59" spans="1:47" ht="51">
      <c r="A59" s="490">
        <v>45698</v>
      </c>
      <c r="B59" s="615" t="s">
        <v>1922</v>
      </c>
      <c r="C59" s="326" t="s">
        <v>2001</v>
      </c>
      <c r="D59" s="438"/>
      <c r="E59" s="556" t="s">
        <v>1921</v>
      </c>
      <c r="F59" s="484" t="s">
        <v>1305</v>
      </c>
      <c r="G59" s="428">
        <v>100</v>
      </c>
      <c r="H59" s="393" t="s">
        <v>2003</v>
      </c>
      <c r="I59" s="393" t="s">
        <v>2004</v>
      </c>
      <c r="J59" s="363" t="s">
        <v>59</v>
      </c>
      <c r="K59" s="384" t="s">
        <v>1498</v>
      </c>
      <c r="L59" s="614"/>
      <c r="M59" s="383">
        <v>45814</v>
      </c>
      <c r="N59" s="394"/>
      <c r="O59" s="382" t="s">
        <v>1878</v>
      </c>
      <c r="P59" s="348"/>
      <c r="Q59" s="348"/>
      <c r="R59" s="395" t="s">
        <v>49</v>
      </c>
      <c r="S59" s="543">
        <v>50</v>
      </c>
      <c r="T59" s="543">
        <v>40</v>
      </c>
      <c r="U59" s="639">
        <v>43</v>
      </c>
      <c r="V59" s="543">
        <v>10</v>
      </c>
      <c r="W59" s="528">
        <f t="shared" si="11"/>
        <v>10</v>
      </c>
      <c r="X59" s="420">
        <f>19*W59</f>
        <v>190</v>
      </c>
      <c r="Y59" s="408">
        <f t="shared" si="12"/>
        <v>0.86</v>
      </c>
      <c r="Z59" s="612"/>
      <c r="AA59" s="360">
        <f t="shared" si="13"/>
        <v>0</v>
      </c>
      <c r="AB59" s="346" t="s">
        <v>46</v>
      </c>
      <c r="AC59" s="361"/>
      <c r="AD59" s="362"/>
      <c r="AE59" s="357"/>
      <c r="AF59" s="357"/>
      <c r="AG59" s="329"/>
      <c r="AH59" s="329" t="s">
        <v>51</v>
      </c>
      <c r="AI59" s="329"/>
      <c r="AJ59" s="357"/>
      <c r="AK59" s="357"/>
      <c r="AL59" s="357"/>
      <c r="AM59" s="357"/>
      <c r="AN59" s="329"/>
      <c r="AO59" s="329"/>
      <c r="AP59" s="329"/>
      <c r="AQ59" s="345"/>
      <c r="AR59" s="357"/>
    </row>
    <row r="60" spans="1:47" ht="51">
      <c r="A60" s="490">
        <v>45640</v>
      </c>
      <c r="B60" s="615" t="s">
        <v>1922</v>
      </c>
      <c r="C60" s="326" t="s">
        <v>1931</v>
      </c>
      <c r="D60" s="438"/>
      <c r="E60" s="556" t="s">
        <v>1921</v>
      </c>
      <c r="F60" s="484" t="s">
        <v>1305</v>
      </c>
      <c r="G60" s="428">
        <v>100</v>
      </c>
      <c r="H60" s="393" t="s">
        <v>1926</v>
      </c>
      <c r="I60" s="393" t="s">
        <v>1483</v>
      </c>
      <c r="J60" s="363" t="s">
        <v>59</v>
      </c>
      <c r="K60" s="384" t="s">
        <v>1773</v>
      </c>
      <c r="L60" s="614"/>
      <c r="M60" s="383">
        <v>45814</v>
      </c>
      <c r="N60" s="394"/>
      <c r="O60" s="382" t="s">
        <v>1878</v>
      </c>
      <c r="P60" s="425">
        <v>45506</v>
      </c>
      <c r="Q60" s="348"/>
      <c r="R60" s="395" t="s">
        <v>49</v>
      </c>
      <c r="S60" s="543">
        <v>50</v>
      </c>
      <c r="T60" s="543">
        <v>40</v>
      </c>
      <c r="U60" s="639">
        <v>43</v>
      </c>
      <c r="V60" s="543">
        <v>10</v>
      </c>
      <c r="W60" s="528">
        <f t="shared" si="11"/>
        <v>10</v>
      </c>
      <c r="X60" s="420">
        <f>13*W60</f>
        <v>130</v>
      </c>
      <c r="Y60" s="408">
        <f t="shared" si="12"/>
        <v>0.86</v>
      </c>
      <c r="Z60" s="612">
        <v>14.48</v>
      </c>
      <c r="AA60" s="360">
        <f t="shared" si="13"/>
        <v>1448</v>
      </c>
      <c r="AB60" s="346" t="s">
        <v>46</v>
      </c>
      <c r="AC60" s="361"/>
      <c r="AD60" s="362"/>
      <c r="AE60" s="357"/>
      <c r="AF60" s="357"/>
      <c r="AG60" s="329" t="s">
        <v>51</v>
      </c>
      <c r="AH60" s="329" t="s">
        <v>51</v>
      </c>
      <c r="AI60" s="329" t="s">
        <v>51</v>
      </c>
      <c r="AJ60" s="357"/>
      <c r="AK60" s="357"/>
      <c r="AL60" s="357"/>
      <c r="AM60" s="357"/>
      <c r="AN60" s="329" t="s">
        <v>51</v>
      </c>
      <c r="AO60" s="329" t="s">
        <v>51</v>
      </c>
      <c r="AP60" s="329" t="s">
        <v>51</v>
      </c>
      <c r="AQ60" s="345"/>
      <c r="AR60" s="357"/>
    </row>
    <row r="61" spans="1:47" ht="51">
      <c r="A61" s="490">
        <v>45640</v>
      </c>
      <c r="B61" s="615" t="s">
        <v>1922</v>
      </c>
      <c r="C61" s="326" t="s">
        <v>1932</v>
      </c>
      <c r="D61" s="438"/>
      <c r="E61" s="556" t="s">
        <v>1921</v>
      </c>
      <c r="F61" s="484" t="s">
        <v>1305</v>
      </c>
      <c r="G61" s="428">
        <v>100</v>
      </c>
      <c r="H61" s="393" t="s">
        <v>1925</v>
      </c>
      <c r="I61" s="393" t="s">
        <v>1487</v>
      </c>
      <c r="J61" s="363" t="s">
        <v>59</v>
      </c>
      <c r="K61" s="384" t="s">
        <v>1773</v>
      </c>
      <c r="L61" s="535"/>
      <c r="M61" s="383">
        <v>45814</v>
      </c>
      <c r="N61" s="394"/>
      <c r="O61" s="382" t="s">
        <v>1878</v>
      </c>
      <c r="P61" s="425">
        <v>45506</v>
      </c>
      <c r="Q61" s="348"/>
      <c r="R61" s="395" t="s">
        <v>49</v>
      </c>
      <c r="S61" s="543">
        <v>50</v>
      </c>
      <c r="T61" s="543">
        <v>40</v>
      </c>
      <c r="U61" s="639">
        <v>43</v>
      </c>
      <c r="V61" s="543">
        <v>10</v>
      </c>
      <c r="W61" s="528">
        <f t="shared" si="11"/>
        <v>10</v>
      </c>
      <c r="X61" s="420">
        <f>15*W61</f>
        <v>150</v>
      </c>
      <c r="Y61" s="408">
        <f t="shared" si="12"/>
        <v>0.86</v>
      </c>
      <c r="Z61" s="612">
        <v>16.899999999999999</v>
      </c>
      <c r="AA61" s="360">
        <f t="shared" si="13"/>
        <v>1689.9999999999998</v>
      </c>
      <c r="AB61" s="346" t="s">
        <v>46</v>
      </c>
      <c r="AC61" s="361"/>
      <c r="AD61" s="362"/>
      <c r="AE61" s="357"/>
      <c r="AF61" s="357"/>
      <c r="AG61" s="329" t="s">
        <v>51</v>
      </c>
      <c r="AH61" s="329" t="s">
        <v>51</v>
      </c>
      <c r="AI61" s="329" t="s">
        <v>51</v>
      </c>
      <c r="AJ61" s="357"/>
      <c r="AK61" s="357"/>
      <c r="AL61" s="357"/>
      <c r="AM61" s="357"/>
      <c r="AN61" s="329" t="s">
        <v>51</v>
      </c>
      <c r="AO61" s="329" t="s">
        <v>51</v>
      </c>
      <c r="AP61" s="329" t="s">
        <v>51</v>
      </c>
      <c r="AQ61" s="345"/>
      <c r="AR61" s="357"/>
    </row>
    <row r="62" spans="1:47" ht="51">
      <c r="A62" s="490">
        <v>45640</v>
      </c>
      <c r="B62" s="615" t="s">
        <v>1922</v>
      </c>
      <c r="C62" s="326" t="s">
        <v>1933</v>
      </c>
      <c r="D62" s="438"/>
      <c r="E62" s="556" t="s">
        <v>1921</v>
      </c>
      <c r="F62" s="484" t="s">
        <v>1305</v>
      </c>
      <c r="G62" s="428">
        <v>100</v>
      </c>
      <c r="H62" s="363" t="s">
        <v>1924</v>
      </c>
      <c r="I62" s="393" t="s">
        <v>1490</v>
      </c>
      <c r="J62" s="363" t="s">
        <v>59</v>
      </c>
      <c r="K62" s="384" t="s">
        <v>1773</v>
      </c>
      <c r="L62" s="535"/>
      <c r="M62" s="383">
        <v>45814</v>
      </c>
      <c r="N62" s="394"/>
      <c r="O62" s="382" t="s">
        <v>1878</v>
      </c>
      <c r="P62" s="425">
        <v>45506</v>
      </c>
      <c r="Q62" s="348"/>
      <c r="R62" s="395" t="s">
        <v>49</v>
      </c>
      <c r="S62" s="543">
        <v>50</v>
      </c>
      <c r="T62" s="543">
        <v>40</v>
      </c>
      <c r="U62" s="639">
        <v>43</v>
      </c>
      <c r="V62" s="543">
        <v>10</v>
      </c>
      <c r="W62" s="528">
        <f t="shared" si="11"/>
        <v>10</v>
      </c>
      <c r="X62" s="420">
        <f>17*W62</f>
        <v>170</v>
      </c>
      <c r="Y62" s="408">
        <f t="shared" si="12"/>
        <v>0.86</v>
      </c>
      <c r="Z62" s="612">
        <v>18.7</v>
      </c>
      <c r="AA62" s="360">
        <f t="shared" si="13"/>
        <v>1870</v>
      </c>
      <c r="AB62" s="346" t="s">
        <v>46</v>
      </c>
      <c r="AC62" s="361"/>
      <c r="AD62" s="362"/>
      <c r="AE62" s="357"/>
      <c r="AF62" s="357"/>
      <c r="AG62" s="329" t="s">
        <v>51</v>
      </c>
      <c r="AH62" s="329" t="s">
        <v>51</v>
      </c>
      <c r="AI62" s="329" t="s">
        <v>51</v>
      </c>
      <c r="AJ62" s="357"/>
      <c r="AK62" s="357"/>
      <c r="AL62" s="357"/>
      <c r="AM62" s="357"/>
      <c r="AN62" s="329" t="s">
        <v>51</v>
      </c>
      <c r="AO62" s="329" t="s">
        <v>51</v>
      </c>
      <c r="AP62" s="329" t="s">
        <v>51</v>
      </c>
      <c r="AQ62" s="345"/>
      <c r="AR62" s="357"/>
    </row>
    <row r="63" spans="1:47" ht="51">
      <c r="A63" s="490">
        <v>45640</v>
      </c>
      <c r="B63" s="615" t="s">
        <v>1922</v>
      </c>
      <c r="C63" s="326" t="s">
        <v>1934</v>
      </c>
      <c r="D63" s="438"/>
      <c r="E63" s="556" t="s">
        <v>1921</v>
      </c>
      <c r="F63" s="484" t="s">
        <v>1305</v>
      </c>
      <c r="G63" s="428">
        <v>100</v>
      </c>
      <c r="H63" s="393" t="s">
        <v>1923</v>
      </c>
      <c r="I63" s="393" t="s">
        <v>1493</v>
      </c>
      <c r="J63" s="363" t="s">
        <v>59</v>
      </c>
      <c r="K63" s="384" t="s">
        <v>1773</v>
      </c>
      <c r="L63" s="616"/>
      <c r="M63" s="383">
        <v>45814</v>
      </c>
      <c r="N63" s="394"/>
      <c r="O63" s="382" t="s">
        <v>1878</v>
      </c>
      <c r="P63" s="425">
        <v>45506</v>
      </c>
      <c r="Q63" s="348"/>
      <c r="R63" s="395" t="s">
        <v>49</v>
      </c>
      <c r="S63" s="543">
        <v>50</v>
      </c>
      <c r="T63" s="543">
        <v>40</v>
      </c>
      <c r="U63" s="639">
        <v>43</v>
      </c>
      <c r="V63" s="543">
        <v>10</v>
      </c>
      <c r="W63" s="528">
        <f t="shared" si="11"/>
        <v>10</v>
      </c>
      <c r="X63" s="420">
        <f>18*W63</f>
        <v>180</v>
      </c>
      <c r="Y63" s="408">
        <f t="shared" si="12"/>
        <v>0.86</v>
      </c>
      <c r="Z63" s="612">
        <v>21.05</v>
      </c>
      <c r="AA63" s="360">
        <f t="shared" si="13"/>
        <v>2105</v>
      </c>
      <c r="AB63" s="346" t="s">
        <v>46</v>
      </c>
      <c r="AC63" s="361"/>
      <c r="AD63" s="362"/>
      <c r="AE63" s="357"/>
      <c r="AF63" s="357"/>
      <c r="AG63" s="329"/>
      <c r="AH63" s="329" t="s">
        <v>51</v>
      </c>
      <c r="AI63" s="329"/>
      <c r="AJ63" s="357"/>
      <c r="AK63" s="357"/>
      <c r="AL63" s="357"/>
      <c r="AM63" s="357"/>
      <c r="AN63" s="329"/>
      <c r="AO63" s="329"/>
      <c r="AP63" s="329"/>
      <c r="AQ63" s="345"/>
      <c r="AR63" s="357"/>
    </row>
    <row r="64" spans="1:47" ht="51">
      <c r="A64" s="490">
        <v>45640</v>
      </c>
      <c r="B64" s="615" t="s">
        <v>1922</v>
      </c>
      <c r="C64" s="326" t="s">
        <v>1881</v>
      </c>
      <c r="D64" s="438"/>
      <c r="E64" s="556" t="s">
        <v>1921</v>
      </c>
      <c r="F64" s="484" t="s">
        <v>1305</v>
      </c>
      <c r="G64" s="428">
        <v>100</v>
      </c>
      <c r="H64" s="393" t="s">
        <v>1879</v>
      </c>
      <c r="I64" s="393" t="s">
        <v>1496</v>
      </c>
      <c r="J64" s="363" t="s">
        <v>59</v>
      </c>
      <c r="K64" s="384" t="s">
        <v>1773</v>
      </c>
      <c r="L64" s="614"/>
      <c r="M64" s="383">
        <v>45814</v>
      </c>
      <c r="N64" s="394"/>
      <c r="O64" s="382" t="s">
        <v>1878</v>
      </c>
      <c r="P64" s="425">
        <v>45506</v>
      </c>
      <c r="Q64" s="348"/>
      <c r="R64" s="395" t="s">
        <v>49</v>
      </c>
      <c r="S64" s="543">
        <v>50</v>
      </c>
      <c r="T64" s="543">
        <v>40</v>
      </c>
      <c r="U64" s="639">
        <v>43</v>
      </c>
      <c r="V64" s="543">
        <v>10</v>
      </c>
      <c r="W64" s="528">
        <f t="shared" si="11"/>
        <v>10</v>
      </c>
      <c r="X64" s="420">
        <f>19*W64</f>
        <v>190</v>
      </c>
      <c r="Y64" s="408">
        <f t="shared" si="12"/>
        <v>0.86</v>
      </c>
      <c r="Z64" s="612">
        <v>23.1</v>
      </c>
      <c r="AA64" s="360">
        <f t="shared" si="13"/>
        <v>2310</v>
      </c>
      <c r="AB64" s="346" t="s">
        <v>46</v>
      </c>
      <c r="AC64" s="361"/>
      <c r="AD64" s="362"/>
      <c r="AE64" s="357"/>
      <c r="AF64" s="357"/>
      <c r="AG64" s="329"/>
      <c r="AH64" s="329" t="s">
        <v>51</v>
      </c>
      <c r="AI64" s="329"/>
      <c r="AJ64" s="357"/>
      <c r="AK64" s="357"/>
      <c r="AL64" s="357"/>
      <c r="AM64" s="357"/>
      <c r="AN64" s="329"/>
      <c r="AO64" s="329"/>
      <c r="AP64" s="329"/>
      <c r="AQ64" s="345"/>
      <c r="AR64" s="357"/>
    </row>
    <row r="65" spans="1:44" ht="51">
      <c r="A65" s="490">
        <v>45698</v>
      </c>
      <c r="B65" s="615" t="s">
        <v>1922</v>
      </c>
      <c r="C65" s="326" t="s">
        <v>2005</v>
      </c>
      <c r="D65" s="438"/>
      <c r="E65" s="556" t="s">
        <v>1921</v>
      </c>
      <c r="F65" s="484" t="s">
        <v>1305</v>
      </c>
      <c r="G65" s="428">
        <v>100</v>
      </c>
      <c r="H65" s="393" t="s">
        <v>2007</v>
      </c>
      <c r="I65" s="393" t="s">
        <v>2004</v>
      </c>
      <c r="J65" s="363" t="s">
        <v>59</v>
      </c>
      <c r="K65" s="384" t="s">
        <v>1773</v>
      </c>
      <c r="L65" s="614"/>
      <c r="M65" s="383">
        <v>45814</v>
      </c>
      <c r="N65" s="394"/>
      <c r="O65" s="382" t="s">
        <v>1878</v>
      </c>
      <c r="P65" s="348"/>
      <c r="Q65" s="348"/>
      <c r="R65" s="395" t="s">
        <v>49</v>
      </c>
      <c r="S65" s="543">
        <v>50</v>
      </c>
      <c r="T65" s="543">
        <v>40</v>
      </c>
      <c r="U65" s="639">
        <v>43</v>
      </c>
      <c r="V65" s="543">
        <v>10</v>
      </c>
      <c r="W65" s="528">
        <f t="shared" si="11"/>
        <v>10</v>
      </c>
      <c r="X65" s="420">
        <f>19*W65</f>
        <v>190</v>
      </c>
      <c r="Y65" s="408">
        <f t="shared" si="12"/>
        <v>0.86</v>
      </c>
      <c r="Z65" s="612"/>
      <c r="AA65" s="360">
        <f t="shared" si="13"/>
        <v>0</v>
      </c>
      <c r="AB65" s="346" t="s">
        <v>46</v>
      </c>
      <c r="AC65" s="361"/>
      <c r="AD65" s="362"/>
      <c r="AE65" s="357"/>
      <c r="AF65" s="357"/>
      <c r="AG65" s="329"/>
      <c r="AH65" s="329" t="s">
        <v>51</v>
      </c>
      <c r="AI65" s="329"/>
      <c r="AJ65" s="357"/>
      <c r="AK65" s="357"/>
      <c r="AL65" s="357"/>
      <c r="AM65" s="357"/>
      <c r="AN65" s="329"/>
      <c r="AO65" s="329"/>
      <c r="AP65" s="329"/>
      <c r="AQ65" s="345"/>
      <c r="AR65" s="357"/>
    </row>
    <row r="66" spans="1:44" ht="30" customHeight="1">
      <c r="A66" s="330"/>
      <c r="B66" s="331"/>
      <c r="C66" s="332"/>
      <c r="D66" s="333"/>
      <c r="E66" s="334"/>
      <c r="F66" s="334"/>
      <c r="G66" s="335">
        <f>SUM(G54:G65)</f>
        <v>1200</v>
      </c>
      <c r="H66" s="334"/>
      <c r="I66" s="334"/>
      <c r="J66" s="334"/>
      <c r="K66" s="334"/>
      <c r="L66" s="336"/>
      <c r="M66" s="332"/>
      <c r="N66" s="332"/>
      <c r="O66" s="337"/>
      <c r="P66" s="338"/>
      <c r="Q66" s="337"/>
      <c r="R66" s="339"/>
      <c r="S66" s="340"/>
      <c r="T66" s="340"/>
      <c r="U66" s="340"/>
      <c r="V66" s="340"/>
      <c r="W66" s="341"/>
      <c r="X66" s="342"/>
      <c r="Y66" s="343">
        <f>SUM(Y54:Y65)</f>
        <v>10.32</v>
      </c>
      <c r="Z66" s="342"/>
      <c r="AA66" s="344"/>
      <c r="AB66" s="332"/>
      <c r="AC66" s="332"/>
      <c r="AD66" s="339"/>
      <c r="AE66" s="337"/>
      <c r="AF66" s="338"/>
      <c r="AG66" s="337"/>
      <c r="AH66" s="338"/>
      <c r="AI66" s="337"/>
      <c r="AJ66" s="338"/>
      <c r="AK66" s="338"/>
      <c r="AL66" s="338"/>
      <c r="AM66" s="338"/>
      <c r="AN66" s="338"/>
      <c r="AO66" s="338"/>
      <c r="AP66" s="338"/>
      <c r="AQ66" s="338"/>
      <c r="AR66" s="338"/>
    </row>
    <row r="67" spans="1:44" s="104" customFormat="1" ht="30" customHeight="1">
      <c r="A67" s="487">
        <v>45772</v>
      </c>
      <c r="B67" s="445" t="s">
        <v>2153</v>
      </c>
      <c r="C67" s="326" t="s">
        <v>2149</v>
      </c>
      <c r="D67" s="361"/>
      <c r="E67" s="353" t="s">
        <v>2152</v>
      </c>
      <c r="F67" s="660" t="s">
        <v>52</v>
      </c>
      <c r="G67" s="486">
        <v>150</v>
      </c>
      <c r="H67" s="363" t="s">
        <v>1448</v>
      </c>
      <c r="I67" s="644" t="s">
        <v>1384</v>
      </c>
      <c r="J67" s="393" t="s">
        <v>2151</v>
      </c>
      <c r="K67" s="363" t="s">
        <v>1308</v>
      </c>
      <c r="L67" s="637"/>
      <c r="M67" s="659">
        <v>45807</v>
      </c>
      <c r="N67" s="355"/>
      <c r="O67" s="628" t="s">
        <v>1832</v>
      </c>
      <c r="P67" s="409" t="s">
        <v>48</v>
      </c>
      <c r="Q67" s="658"/>
      <c r="R67" s="381" t="s">
        <v>45</v>
      </c>
      <c r="S67" s="380">
        <v>79</v>
      </c>
      <c r="T67" s="380">
        <v>49</v>
      </c>
      <c r="U67" s="380">
        <v>24</v>
      </c>
      <c r="V67" s="368">
        <v>2</v>
      </c>
      <c r="W67" s="414">
        <f>ROUND(G67/V67,2)</f>
        <v>75</v>
      </c>
      <c r="X67" s="386">
        <f>7*W67</f>
        <v>525</v>
      </c>
      <c r="Y67" s="414">
        <f>ROUND((S67*T67*U67)*0.000001*W67,2)</f>
        <v>6.97</v>
      </c>
      <c r="Z67" s="657">
        <v>51.26</v>
      </c>
      <c r="AA67" s="360">
        <f>Z67*G67</f>
        <v>7689</v>
      </c>
      <c r="AB67" s="346" t="s">
        <v>46</v>
      </c>
      <c r="AC67" s="362" t="s">
        <v>48</v>
      </c>
      <c r="AD67" s="327"/>
      <c r="AE67" s="375"/>
      <c r="AF67" s="375"/>
      <c r="AG67" s="357"/>
      <c r="AH67" s="375"/>
      <c r="AI67" s="345"/>
      <c r="AJ67" s="375"/>
      <c r="AK67" s="375"/>
      <c r="AL67" s="375"/>
      <c r="AM67" s="375"/>
      <c r="AN67" s="345"/>
      <c r="AO67" s="345"/>
      <c r="AP67" s="357"/>
      <c r="AQ67" s="357"/>
      <c r="AR67" s="375"/>
    </row>
    <row r="68" spans="1:44" ht="30" customHeight="1">
      <c r="A68" s="552" t="s">
        <v>1954</v>
      </c>
      <c r="B68" s="553"/>
      <c r="C68" s="554"/>
      <c r="D68" s="551"/>
      <c r="E68" s="555"/>
      <c r="F68" s="555"/>
      <c r="G68" s="555"/>
      <c r="H68" s="341"/>
      <c r="I68" s="334"/>
      <c r="J68" s="334"/>
      <c r="K68" s="334"/>
      <c r="L68" s="336"/>
      <c r="M68" s="332"/>
      <c r="N68" s="332"/>
      <c r="O68" s="337"/>
      <c r="P68" s="338"/>
      <c r="Q68" s="337"/>
      <c r="R68" s="339"/>
      <c r="S68" s="340"/>
      <c r="T68" s="340"/>
      <c r="U68" s="340"/>
      <c r="V68" s="340"/>
      <c r="W68" s="341"/>
      <c r="X68" s="342"/>
      <c r="Y68" s="350"/>
      <c r="Z68" s="342"/>
      <c r="AA68" s="344"/>
      <c r="AB68" s="332"/>
      <c r="AC68" s="332"/>
      <c r="AD68" s="339"/>
      <c r="AE68" s="337"/>
      <c r="AF68" s="338"/>
      <c r="AG68" s="337"/>
      <c r="AH68" s="338"/>
      <c r="AI68" s="337"/>
      <c r="AJ68" s="338"/>
      <c r="AK68" s="338"/>
      <c r="AL68" s="338"/>
      <c r="AM68" s="338"/>
      <c r="AN68" s="338"/>
      <c r="AO68" s="338"/>
      <c r="AP68" s="338"/>
      <c r="AQ68" s="338"/>
      <c r="AR68" s="338"/>
    </row>
    <row r="69" spans="1:44" ht="31.5" customHeight="1">
      <c r="A69" s="490">
        <v>45645</v>
      </c>
      <c r="B69" s="615" t="s">
        <v>1922</v>
      </c>
      <c r="C69" s="326"/>
      <c r="D69" s="438"/>
      <c r="E69" s="556"/>
      <c r="F69" s="484" t="s">
        <v>1640</v>
      </c>
      <c r="G69" s="428">
        <v>3024</v>
      </c>
      <c r="H69" s="609" t="s">
        <v>1955</v>
      </c>
      <c r="I69" s="393" t="s">
        <v>1953</v>
      </c>
      <c r="J69" s="363" t="s">
        <v>1951</v>
      </c>
      <c r="K69" s="384" t="s">
        <v>578</v>
      </c>
      <c r="L69" s="614"/>
      <c r="M69" s="613"/>
      <c r="N69" s="655"/>
      <c r="O69" s="382" t="s">
        <v>1952</v>
      </c>
      <c r="P69" s="425"/>
      <c r="Q69" s="348"/>
      <c r="R69" s="363" t="s">
        <v>1951</v>
      </c>
      <c r="S69" s="543">
        <v>60</v>
      </c>
      <c r="T69" s="543">
        <v>52</v>
      </c>
      <c r="U69" s="543">
        <v>75</v>
      </c>
      <c r="V69" s="543">
        <v>12</v>
      </c>
      <c r="W69" s="528">
        <f>G69/V69</f>
        <v>252</v>
      </c>
      <c r="X69" s="420">
        <f>3.2*W69</f>
        <v>806.40000000000009</v>
      </c>
      <c r="Y69" s="359">
        <f>ROUND((S69*T69*U69)*0.000001*W69,2)</f>
        <v>58.97</v>
      </c>
      <c r="Z69" s="612"/>
      <c r="AA69" s="360">
        <f>Z69*G69</f>
        <v>0</v>
      </c>
      <c r="AB69" s="346" t="s">
        <v>46</v>
      </c>
      <c r="AC69" s="361"/>
      <c r="AD69" s="362"/>
      <c r="AE69" s="357"/>
      <c r="AF69" s="357"/>
      <c r="AG69" s="329"/>
      <c r="AH69" s="329"/>
      <c r="AI69" s="329"/>
      <c r="AJ69" s="357"/>
      <c r="AK69" s="357"/>
      <c r="AL69" s="357"/>
      <c r="AM69" s="357"/>
      <c r="AN69" s="329" t="s">
        <v>51</v>
      </c>
      <c r="AO69" s="329" t="s">
        <v>51</v>
      </c>
      <c r="AP69" s="329" t="s">
        <v>51</v>
      </c>
      <c r="AQ69" s="345"/>
      <c r="AR69" s="357"/>
    </row>
    <row r="70" spans="1:44" ht="30" customHeight="1">
      <c r="A70" s="330"/>
      <c r="B70" s="331"/>
      <c r="C70" s="332"/>
      <c r="D70" s="333"/>
      <c r="E70" s="334"/>
      <c r="F70" s="334"/>
      <c r="G70" s="335">
        <f>SUM(G69)</f>
        <v>3024</v>
      </c>
      <c r="H70" s="334"/>
      <c r="I70" s="334"/>
      <c r="J70" s="334"/>
      <c r="K70" s="334"/>
      <c r="L70" s="336"/>
      <c r="M70" s="332"/>
      <c r="N70" s="332"/>
      <c r="O70" s="337"/>
      <c r="P70" s="338"/>
      <c r="Q70" s="337"/>
      <c r="R70" s="339"/>
      <c r="S70" s="340"/>
      <c r="T70" s="340"/>
      <c r="U70" s="340"/>
      <c r="V70" s="340"/>
      <c r="W70" s="341"/>
      <c r="X70" s="342"/>
      <c r="Y70" s="343">
        <f>SUM(Y69)</f>
        <v>58.97</v>
      </c>
      <c r="Z70" s="342"/>
      <c r="AA70" s="344"/>
      <c r="AB70" s="332"/>
      <c r="AC70" s="332"/>
      <c r="AD70" s="339"/>
      <c r="AE70" s="337"/>
      <c r="AF70" s="338"/>
      <c r="AG70" s="337"/>
      <c r="AH70" s="338"/>
      <c r="AI70" s="337"/>
      <c r="AJ70" s="338"/>
      <c r="AK70" s="338"/>
      <c r="AL70" s="338"/>
      <c r="AM70" s="338"/>
      <c r="AN70" s="338"/>
      <c r="AO70" s="338"/>
      <c r="AP70" s="338"/>
      <c r="AQ70" s="338"/>
      <c r="AR70" s="338"/>
    </row>
    <row r="71" spans="1:44" ht="17.25" customHeight="1">
      <c r="A71" s="1" t="s">
        <v>1315</v>
      </c>
      <c r="B71" s="2"/>
      <c r="C71" s="3"/>
      <c r="D71" s="4"/>
      <c r="E71" s="5"/>
      <c r="F71" s="5"/>
      <c r="G71" s="43"/>
      <c r="H71" s="5"/>
      <c r="I71" s="5"/>
      <c r="J71" s="5"/>
      <c r="K71" s="5"/>
      <c r="L71" s="6"/>
      <c r="M71" s="3"/>
      <c r="N71" s="3"/>
      <c r="O71" s="13"/>
      <c r="P71" s="14"/>
      <c r="Q71" s="13"/>
      <c r="R71" s="7"/>
      <c r="S71" s="8"/>
      <c r="T71" s="8"/>
      <c r="U71" s="8"/>
      <c r="V71" s="8"/>
      <c r="W71" s="9"/>
      <c r="X71" s="10"/>
      <c r="Y71" s="144"/>
      <c r="Z71" s="10"/>
      <c r="AA71" s="12"/>
      <c r="AB71" s="3"/>
      <c r="AC71" s="3"/>
      <c r="AD71" s="7"/>
      <c r="AE71" s="13"/>
      <c r="AF71" s="14"/>
      <c r="AG71" s="13"/>
      <c r="AH71" s="14"/>
      <c r="AI71" s="13"/>
      <c r="AJ71" s="14"/>
      <c r="AK71" s="14"/>
      <c r="AL71" s="14"/>
      <c r="AM71" s="14"/>
      <c r="AN71" s="14"/>
      <c r="AO71" s="14"/>
      <c r="AP71" s="14"/>
      <c r="AQ71" s="338"/>
      <c r="AR71" s="338"/>
    </row>
    <row r="72" spans="1:44" s="104" customFormat="1" ht="26.25" customHeight="1">
      <c r="A72" s="131">
        <v>45216</v>
      </c>
      <c r="B72" s="75"/>
      <c r="C72" s="70" t="s">
        <v>1220</v>
      </c>
      <c r="D72" s="37"/>
      <c r="E72" s="125" t="s">
        <v>1297</v>
      </c>
      <c r="F72" s="33" t="s">
        <v>1202</v>
      </c>
      <c r="G72" s="44">
        <v>100</v>
      </c>
      <c r="H72" s="33" t="s">
        <v>1222</v>
      </c>
      <c r="I72" s="19" t="s">
        <v>1223</v>
      </c>
      <c r="J72" s="19" t="s">
        <v>1224</v>
      </c>
      <c r="K72" s="79"/>
      <c r="L72" s="21" t="s">
        <v>1275</v>
      </c>
      <c r="M72" s="21">
        <v>45381</v>
      </c>
      <c r="N72" s="317" t="s">
        <v>99</v>
      </c>
      <c r="O72" s="118" t="s">
        <v>602</v>
      </c>
      <c r="P72" s="71"/>
      <c r="Q72" s="71"/>
      <c r="R72" s="19" t="s">
        <v>636</v>
      </c>
      <c r="S72" s="319"/>
      <c r="T72" s="319"/>
      <c r="U72" s="319"/>
      <c r="V72" s="319"/>
      <c r="W72" s="320"/>
      <c r="X72" s="319"/>
      <c r="Y72" s="318"/>
      <c r="Z72" s="59">
        <v>8.89</v>
      </c>
      <c r="AA72" s="66">
        <f>Z72*G72</f>
        <v>889</v>
      </c>
      <c r="AB72" s="57" t="s">
        <v>46</v>
      </c>
      <c r="AC72" s="41"/>
      <c r="AD72" s="19"/>
      <c r="AE72" s="67"/>
      <c r="AF72" s="67"/>
      <c r="AG72" s="102"/>
      <c r="AH72" s="67"/>
      <c r="AI72" s="102"/>
      <c r="AJ72" s="67"/>
      <c r="AK72" s="67"/>
      <c r="AL72" s="67"/>
      <c r="AM72" s="67"/>
      <c r="AN72" s="102"/>
      <c r="AO72" s="102"/>
      <c r="AP72" s="102"/>
      <c r="AQ72" s="405"/>
      <c r="AR72" s="357">
        <v>45373</v>
      </c>
    </row>
    <row r="73" spans="1:44" ht="16.5">
      <c r="A73" s="42"/>
      <c r="B73" s="2"/>
      <c r="C73" s="3"/>
      <c r="D73" s="4"/>
      <c r="E73" s="5"/>
      <c r="F73" s="5"/>
      <c r="G73" s="43">
        <f>SUM(G72:G72)</f>
        <v>100</v>
      </c>
      <c r="H73" s="5"/>
      <c r="I73" s="5"/>
      <c r="J73" s="5"/>
      <c r="K73" s="5"/>
      <c r="L73" s="6"/>
      <c r="M73" s="3"/>
      <c r="N73" s="3"/>
      <c r="O73" s="13"/>
      <c r="P73" s="14"/>
      <c r="Q73" s="13"/>
      <c r="R73" s="7"/>
      <c r="S73" s="8"/>
      <c r="T73" s="8"/>
      <c r="U73" s="8"/>
      <c r="V73" s="8"/>
      <c r="W73" s="9"/>
      <c r="X73" s="10"/>
      <c r="Y73" s="144">
        <f>SUM(Y72:Y72)</f>
        <v>0</v>
      </c>
      <c r="Z73" s="10"/>
      <c r="AA73" s="12"/>
      <c r="AB73" s="3"/>
      <c r="AC73" s="3"/>
      <c r="AD73" s="7"/>
      <c r="AE73" s="13"/>
      <c r="AF73" s="14"/>
      <c r="AG73" s="13"/>
      <c r="AH73" s="14"/>
      <c r="AI73" s="13"/>
      <c r="AJ73" s="14"/>
      <c r="AK73" s="14"/>
      <c r="AL73" s="14"/>
      <c r="AM73" s="14"/>
      <c r="AN73" s="14"/>
      <c r="AO73" s="14"/>
      <c r="AP73" s="14"/>
      <c r="AQ73" s="338"/>
      <c r="AR73" s="338"/>
    </row>
    <row r="74" spans="1:44" ht="30.75" customHeight="1">
      <c r="A74" s="691">
        <v>45954</v>
      </c>
      <c r="B74" s="445" t="s">
        <v>2309</v>
      </c>
      <c r="C74" s="678" t="s">
        <v>2308</v>
      </c>
      <c r="D74" s="361"/>
      <c r="E74" s="399" t="s">
        <v>2344</v>
      </c>
      <c r="F74" s="396" t="s">
        <v>52</v>
      </c>
      <c r="G74" s="428">
        <v>300</v>
      </c>
      <c r="H74" s="710" t="s">
        <v>1199</v>
      </c>
      <c r="I74" s="711" t="s">
        <v>2307</v>
      </c>
      <c r="J74" s="418" t="s">
        <v>52</v>
      </c>
      <c r="K74" s="709" t="s">
        <v>1039</v>
      </c>
      <c r="L74" s="427" t="s">
        <v>2076</v>
      </c>
      <c r="M74" s="328">
        <v>46043</v>
      </c>
      <c r="N74" s="677"/>
      <c r="O74" s="707" t="s">
        <v>88</v>
      </c>
      <c r="P74" s="708">
        <v>45278</v>
      </c>
      <c r="Q74" s="348"/>
      <c r="R74" s="355" t="s">
        <v>2147</v>
      </c>
      <c r="S74" s="368">
        <v>50</v>
      </c>
      <c r="T74" s="368">
        <v>40</v>
      </c>
      <c r="U74" s="368">
        <v>25</v>
      </c>
      <c r="V74" s="368">
        <v>50</v>
      </c>
      <c r="W74" s="347">
        <f>ROUND(G74/V74,2)</f>
        <v>6</v>
      </c>
      <c r="X74" s="377">
        <f>15*W74</f>
        <v>90</v>
      </c>
      <c r="Y74" s="347">
        <f>ROUND((S74*T74*U74)*0.000001*W74,2)</f>
        <v>0.3</v>
      </c>
      <c r="Z74" s="706">
        <v>5.65</v>
      </c>
      <c r="AA74" s="360">
        <f>Z74*G74</f>
        <v>1695</v>
      </c>
      <c r="AB74" s="346" t="s">
        <v>46</v>
      </c>
      <c r="AC74" s="362"/>
      <c r="AD74" s="327"/>
      <c r="AE74" s="375"/>
      <c r="AF74" s="375"/>
      <c r="AG74" s="345"/>
      <c r="AH74" s="375"/>
      <c r="AI74" s="345"/>
      <c r="AJ74" s="375"/>
      <c r="AK74" s="375"/>
      <c r="AL74" s="375"/>
      <c r="AM74" s="375"/>
      <c r="AN74" s="375"/>
      <c r="AO74" s="345"/>
      <c r="AP74" s="345"/>
      <c r="AQ74" s="345"/>
      <c r="AR74" s="375" t="s">
        <v>2334</v>
      </c>
    </row>
    <row r="75" spans="1:44" ht="21" customHeight="1">
      <c r="A75" s="487">
        <v>46106</v>
      </c>
      <c r="B75" s="445" t="s">
        <v>2817</v>
      </c>
      <c r="C75" s="326" t="s">
        <v>2816</v>
      </c>
      <c r="D75" s="361"/>
      <c r="E75" s="736"/>
      <c r="F75" s="396" t="s">
        <v>52</v>
      </c>
      <c r="G75" s="401">
        <v>500</v>
      </c>
      <c r="H75" s="393" t="s">
        <v>2441</v>
      </c>
      <c r="I75" s="484" t="s">
        <v>2440</v>
      </c>
      <c r="J75" s="404" t="s">
        <v>49</v>
      </c>
      <c r="K75" s="387" t="s">
        <v>53</v>
      </c>
      <c r="L75" s="637"/>
      <c r="M75" s="383"/>
      <c r="N75" s="733"/>
      <c r="O75" s="382" t="s">
        <v>55</v>
      </c>
      <c r="P75" s="679">
        <v>43875</v>
      </c>
      <c r="Q75" s="348"/>
      <c r="R75" s="395" t="s">
        <v>49</v>
      </c>
      <c r="S75" s="422">
        <v>78</v>
      </c>
      <c r="T75" s="422">
        <v>40</v>
      </c>
      <c r="U75" s="422">
        <v>20</v>
      </c>
      <c r="V75" s="549">
        <v>10</v>
      </c>
      <c r="W75" s="386">
        <f>ROUND(G75/V75,2)</f>
        <v>50</v>
      </c>
      <c r="X75" s="388">
        <f>18*W75</f>
        <v>900</v>
      </c>
      <c r="Y75" s="408">
        <f>ROUND((S75*T75*U75)*0.000001*W75,2)</f>
        <v>3.12</v>
      </c>
      <c r="Z75" s="627">
        <v>14.27</v>
      </c>
      <c r="AA75" s="360">
        <f>Z75*G75</f>
        <v>7135</v>
      </c>
      <c r="AB75" s="419" t="s">
        <v>46</v>
      </c>
      <c r="AD75" s="327"/>
      <c r="AE75" s="375"/>
      <c r="AF75" s="375"/>
      <c r="AG75" s="345"/>
      <c r="AH75" s="345"/>
      <c r="AI75" s="345"/>
      <c r="AJ75" s="375"/>
      <c r="AK75" s="375"/>
      <c r="AL75" s="375"/>
      <c r="AM75" s="375"/>
      <c r="AN75" s="375"/>
      <c r="AO75" s="345"/>
      <c r="AP75" s="345"/>
      <c r="AQ75" s="345"/>
      <c r="AR75" s="375"/>
    </row>
    <row r="76" spans="1:44" ht="30" customHeight="1">
      <c r="A76" s="487">
        <v>46155</v>
      </c>
      <c r="B76" s="445" t="s">
        <v>3346</v>
      </c>
      <c r="C76" s="326" t="s">
        <v>3345</v>
      </c>
      <c r="D76" s="361"/>
      <c r="E76" s="488"/>
      <c r="F76" s="396" t="s">
        <v>52</v>
      </c>
      <c r="G76" s="401">
        <v>300</v>
      </c>
      <c r="H76" s="486" t="s">
        <v>3344</v>
      </c>
      <c r="I76" s="486" t="s">
        <v>3343</v>
      </c>
      <c r="J76" s="392" t="s">
        <v>3342</v>
      </c>
      <c r="K76" s="958" t="s">
        <v>56</v>
      </c>
      <c r="L76" s="967"/>
      <c r="M76" s="383"/>
      <c r="N76" s="505"/>
      <c r="O76" s="369" t="s">
        <v>55</v>
      </c>
      <c r="P76" s="369">
        <v>44177</v>
      </c>
      <c r="Q76" s="348"/>
      <c r="R76" s="327" t="s">
        <v>3341</v>
      </c>
      <c r="S76" s="695">
        <v>120</v>
      </c>
      <c r="T76" s="695">
        <v>100</v>
      </c>
      <c r="U76" s="695">
        <v>120</v>
      </c>
      <c r="V76" s="695">
        <v>50</v>
      </c>
      <c r="W76" s="385">
        <f>ROUND(G76/V76,2)</f>
        <v>6</v>
      </c>
      <c r="X76" s="366">
        <f>246*W76</f>
        <v>1476</v>
      </c>
      <c r="Y76" s="408">
        <f>ROUND((S76*T76*U76)*0.000001*W76,2)</f>
        <v>8.64</v>
      </c>
      <c r="Z76" s="698">
        <v>35.01</v>
      </c>
      <c r="AA76" s="360">
        <f>Z76*G76</f>
        <v>10503</v>
      </c>
      <c r="AB76" s="346" t="s">
        <v>46</v>
      </c>
      <c r="AC76" s="355"/>
      <c r="AD76" s="327"/>
      <c r="AE76" s="375"/>
      <c r="AF76" s="375"/>
      <c r="AG76" s="345"/>
      <c r="AH76" s="375"/>
      <c r="AI76" s="345"/>
      <c r="AJ76" s="375"/>
      <c r="AK76" s="375"/>
      <c r="AL76" s="375"/>
      <c r="AM76" s="375"/>
      <c r="AN76" s="345"/>
      <c r="AO76" s="345"/>
      <c r="AP76" s="375"/>
      <c r="AQ76" s="375"/>
      <c r="AR76" s="375"/>
    </row>
    <row r="77" spans="1:44" ht="30" customHeight="1">
      <c r="A77" s="487">
        <v>46155</v>
      </c>
      <c r="B77" s="445" t="s">
        <v>3362</v>
      </c>
      <c r="C77" s="326" t="s">
        <v>3361</v>
      </c>
      <c r="D77" s="361"/>
      <c r="E77" s="957" t="s">
        <v>3360</v>
      </c>
      <c r="F77" s="396" t="s">
        <v>52</v>
      </c>
      <c r="G77" s="396">
        <v>200</v>
      </c>
      <c r="H77" s="393" t="s">
        <v>3359</v>
      </c>
      <c r="I77" s="393" t="s">
        <v>429</v>
      </c>
      <c r="J77" s="393" t="s">
        <v>2383</v>
      </c>
      <c r="K77" s="392" t="s">
        <v>63</v>
      </c>
      <c r="L77" s="967"/>
      <c r="M77" s="383"/>
      <c r="N77" s="505"/>
      <c r="O77" s="745" t="s">
        <v>85</v>
      </c>
      <c r="P77" s="328"/>
      <c r="Q77" s="348"/>
      <c r="R77" s="381" t="s">
        <v>1729</v>
      </c>
      <c r="S77" s="368">
        <v>56</v>
      </c>
      <c r="T77" s="368">
        <v>25</v>
      </c>
      <c r="U77" s="368">
        <v>40</v>
      </c>
      <c r="V77" s="379" t="s">
        <v>2382</v>
      </c>
      <c r="W77" s="385">
        <f>ROUND(G77/V77,2)</f>
        <v>10</v>
      </c>
      <c r="X77" s="365">
        <f>12*W77</f>
        <v>120</v>
      </c>
      <c r="Y77" s="371">
        <f>ROUND((S77*T77*U77)*0.000001*W77,2)</f>
        <v>0.56000000000000005</v>
      </c>
      <c r="Z77" s="376">
        <v>7.25</v>
      </c>
      <c r="AA77" s="360">
        <f>Z77*G77</f>
        <v>1450</v>
      </c>
      <c r="AB77" s="373" t="s">
        <v>46</v>
      </c>
      <c r="AC77" s="355"/>
      <c r="AD77" s="327"/>
      <c r="AE77" s="375"/>
      <c r="AF77" s="375"/>
      <c r="AG77" s="345"/>
      <c r="AH77" s="375"/>
      <c r="AI77" s="345"/>
      <c r="AJ77" s="375"/>
      <c r="AK77" s="375"/>
      <c r="AL77" s="375"/>
      <c r="AM77" s="375"/>
      <c r="AN77" s="345"/>
      <c r="AO77" s="345"/>
      <c r="AP77" s="345"/>
      <c r="AQ77" s="345"/>
      <c r="AR77" s="375"/>
    </row>
  </sheetData>
  <protectedRanges>
    <protectedRange sqref="E4" name="Range1_19_3_1_1_2_1_1_1_1_1_1_1_1_1_3_1_3_1_3_1_2_1_1_1_2_1_1_1_2"/>
  </protectedRanges>
  <mergeCells count="38">
    <mergeCell ref="F1:F2"/>
    <mergeCell ref="A1:A2"/>
    <mergeCell ref="B1:B2"/>
    <mergeCell ref="C1:C2"/>
    <mergeCell ref="D1:D2"/>
    <mergeCell ref="E1:E2"/>
    <mergeCell ref="R1:R2"/>
    <mergeCell ref="G1:G2"/>
    <mergeCell ref="H1:H2"/>
    <mergeCell ref="I1:I2"/>
    <mergeCell ref="J1:J2"/>
    <mergeCell ref="K1:K2"/>
    <mergeCell ref="L1:L2"/>
    <mergeCell ref="M1:M2"/>
    <mergeCell ref="N1:N2"/>
    <mergeCell ref="O1:O2"/>
    <mergeCell ref="P1:P2"/>
    <mergeCell ref="Q1:Q2"/>
    <mergeCell ref="AH1:AH2"/>
    <mergeCell ref="S1:U1"/>
    <mergeCell ref="V1:V2"/>
    <mergeCell ref="W1:W2"/>
    <mergeCell ref="X1:X2"/>
    <mergeCell ref="Y1:Y2"/>
    <mergeCell ref="Z1:AB1"/>
    <mergeCell ref="AC1:AC2"/>
    <mergeCell ref="AD1:AD2"/>
    <mergeCell ref="AE1:AE2"/>
    <mergeCell ref="AF1:AF2"/>
    <mergeCell ref="AG1:AG2"/>
    <mergeCell ref="AO1:AO2"/>
    <mergeCell ref="AP1:AP2"/>
    <mergeCell ref="AI1:AI2"/>
    <mergeCell ref="AJ1:AJ2"/>
    <mergeCell ref="AK1:AK2"/>
    <mergeCell ref="AL1:AL2"/>
    <mergeCell ref="AM1:AM2"/>
    <mergeCell ref="AN1:AN2"/>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 LIST</vt:lpstr>
      <vt:lpstr>Sample list</vt:lpstr>
      <vt:lpstr>Finish sample</vt:lpstr>
      <vt:lpstr>QUOTATION </vt:lpstr>
      <vt:lpstr>HOLDING PO</vt:lpstr>
      <vt:lpstr>CANCEL PO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August Huynh</dc:creator>
  <cp:lastModifiedBy>user638</cp:lastModifiedBy>
  <cp:lastPrinted>2026-05-11T05:55:29Z</cp:lastPrinted>
  <dcterms:created xsi:type="dcterms:W3CDTF">2022-04-26T02:37:03Z</dcterms:created>
  <dcterms:modified xsi:type="dcterms:W3CDTF">2026-05-19T09:49:53Z</dcterms:modified>
</cp:coreProperties>
</file>