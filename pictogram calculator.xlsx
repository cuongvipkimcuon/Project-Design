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SynologyNAS\DANGROUPASIA\data-sharework\share\SALES\EMG SALES\LABEL\PICTOGRAM\"/>
    </mc:Choice>
  </mc:AlternateContent>
  <xr:revisionPtr revIDLastSave="0" documentId="13_ncr:1_{2006E687-9310-4A95-A462-AD2B281EEA5D}" xr6:coauthVersionLast="47" xr6:coauthVersionMax="47" xr10:uidLastSave="{00000000-0000-0000-0000-000000000000}"/>
  <bookViews>
    <workbookView xWindow="-120" yWindow="-120" windowWidth="29040" windowHeight="15840" activeTab="6" xr2:uid="{1F7C9413-757E-47BF-97F4-48FA4A43B09E}"/>
  </bookViews>
  <sheets>
    <sheet name="MUC LUC" sheetId="1" r:id="rId1"/>
    <sheet name="1" sheetId="2" r:id="rId2"/>
    <sheet name="1 (2)" sheetId="3" r:id="rId3"/>
    <sheet name="1 (3)" sheetId="4" r:id="rId4"/>
    <sheet name="1 (4)" sheetId="5" r:id="rId5"/>
    <sheet name="1 (5)" sheetId="6" r:id="rId6"/>
    <sheet name="1 (6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7" l="1"/>
  <c r="N5" i="7" s="1"/>
  <c r="K5" i="7"/>
  <c r="L4" i="7"/>
  <c r="N4" i="7" s="1"/>
  <c r="L3" i="7"/>
  <c r="N3" i="7" s="1"/>
  <c r="K3" i="7"/>
  <c r="H3" i="7"/>
  <c r="K5" i="6"/>
  <c r="K4" i="6"/>
  <c r="K3" i="6"/>
  <c r="P5" i="6"/>
  <c r="P4" i="6"/>
  <c r="O4" i="6"/>
  <c r="O5" i="6"/>
  <c r="N4" i="6"/>
  <c r="N5" i="6"/>
  <c r="N3" i="6"/>
  <c r="L3" i="6"/>
  <c r="L5" i="6"/>
  <c r="L4" i="6"/>
  <c r="H5" i="6"/>
  <c r="H6" i="6"/>
  <c r="H7" i="6"/>
  <c r="H8" i="6"/>
  <c r="H4" i="6"/>
  <c r="H3" i="6"/>
  <c r="H4" i="5"/>
  <c r="L4" i="5" s="1"/>
  <c r="M4" i="5" s="1"/>
  <c r="H3" i="5"/>
  <c r="L3" i="5" s="1"/>
  <c r="M3" i="5" s="1"/>
  <c r="M7" i="4"/>
  <c r="M8" i="4"/>
  <c r="H8" i="4"/>
  <c r="L8" i="4" s="1"/>
  <c r="H7" i="4"/>
  <c r="L7" i="4" s="1"/>
  <c r="H6" i="4"/>
  <c r="L6" i="4" s="1"/>
  <c r="H5" i="4"/>
  <c r="L5" i="4" s="1"/>
  <c r="H4" i="4"/>
  <c r="L4" i="4" s="1"/>
  <c r="H3" i="4"/>
  <c r="L3" i="4" s="1"/>
  <c r="L4" i="3"/>
  <c r="L5" i="3"/>
  <c r="L6" i="3"/>
  <c r="L3" i="3"/>
  <c r="M3" i="3" s="1"/>
  <c r="M4" i="3"/>
  <c r="M5" i="3"/>
  <c r="M6" i="3"/>
  <c r="H4" i="3"/>
  <c r="H5" i="3"/>
  <c r="H6" i="3"/>
  <c r="H3" i="3"/>
  <c r="O5" i="7" l="1"/>
  <c r="P5" i="7"/>
  <c r="O4" i="7"/>
  <c r="P4" i="7"/>
  <c r="O3" i="7"/>
  <c r="P3" i="7"/>
  <c r="P6" i="7" s="1"/>
  <c r="P3" i="6"/>
  <c r="P6" i="6" s="1"/>
  <c r="O3" i="6"/>
  <c r="N4" i="5"/>
  <c r="I4" i="5"/>
  <c r="I3" i="5"/>
  <c r="I5" i="5" s="1"/>
  <c r="N3" i="5"/>
  <c r="I7" i="4"/>
  <c r="N7" i="4"/>
  <c r="I8" i="4"/>
  <c r="N8" i="4"/>
  <c r="M5" i="4"/>
  <c r="M6" i="4"/>
  <c r="M4" i="4"/>
  <c r="M3" i="4"/>
  <c r="I4" i="3"/>
  <c r="N4" i="3"/>
  <c r="N5" i="3"/>
  <c r="I5" i="3"/>
  <c r="I6" i="3"/>
  <c r="N6" i="3"/>
  <c r="I3" i="3"/>
  <c r="I7" i="3" s="1"/>
  <c r="N3" i="3"/>
  <c r="N5" i="4" l="1"/>
  <c r="I5" i="4"/>
  <c r="I6" i="4"/>
  <c r="N6" i="4"/>
  <c r="I4" i="4"/>
  <c r="N4" i="4"/>
  <c r="N3" i="4"/>
  <c r="I3" i="4"/>
  <c r="I9" i="4" s="1"/>
</calcChain>
</file>

<file path=xl/sharedStrings.xml><?xml version="1.0" encoding="utf-8"?>
<sst xmlns="http://schemas.openxmlformats.org/spreadsheetml/2006/main" count="201" uniqueCount="77">
  <si>
    <t>O No</t>
  </si>
  <si>
    <t>Quantity</t>
  </si>
  <si>
    <t>Product code</t>
  </si>
  <si>
    <t>Product name</t>
  </si>
  <si>
    <t>Logo</t>
  </si>
  <si>
    <t>Color</t>
  </si>
  <si>
    <t>Size</t>
  </si>
  <si>
    <t>BẢNG KÊ TÍNH TOÁN ĐỊNH MỨC CHO NHÃN PICTOGRAM</t>
  </si>
  <si>
    <t>O-05292-01</t>
  </si>
  <si>
    <t>C-176-2619-2-001</t>
  </si>
  <si>
    <t>Square Tool bag(USA Version)</t>
  </si>
  <si>
    <t>SIEMENS GAMESA Renewable Energy</t>
  </si>
  <si>
    <t>Orange</t>
  </si>
  <si>
    <t>O-05293-01</t>
  </si>
  <si>
    <t>C-176-2601-2-001</t>
  </si>
  <si>
    <t>Small service tote bag - Long straps (USA version)</t>
  </si>
  <si>
    <t>O-05294-01</t>
  </si>
  <si>
    <t>C-176-4487-2-002</t>
  </si>
  <si>
    <t>Square tool bag (USA version)</t>
  </si>
  <si>
    <t>SIEMENS Gamesa Renewable Energy</t>
  </si>
  <si>
    <t>O-05294-02</t>
  </si>
  <si>
    <t>L</t>
  </si>
  <si>
    <t>M</t>
  </si>
  <si>
    <t>Pictogram Size</t>
  </si>
  <si>
    <t>TỔNG CỘNG</t>
  </si>
  <si>
    <t>Số lượng mong muốn</t>
  </si>
  <si>
    <t>Số lượng tem/hàng</t>
  </si>
  <si>
    <t>Số hàng tối thiểu</t>
  </si>
  <si>
    <t>Số tem thực tế</t>
  </si>
  <si>
    <t>Consumption (m)</t>
  </si>
  <si>
    <t>O-05324-01</t>
  </si>
  <si>
    <t>O-05325-01</t>
  </si>
  <si>
    <t>O-05326-01</t>
  </si>
  <si>
    <t>O-05327-01</t>
  </si>
  <si>
    <t>O-05328-01</t>
  </si>
  <si>
    <t>O-05329-01</t>
  </si>
  <si>
    <t>C-176-4467-2-002</t>
  </si>
  <si>
    <t>C-176-4487-2-003</t>
  </si>
  <si>
    <t>C-176-5327-2-002</t>
  </si>
  <si>
    <t>C-176-3982-2-001</t>
  </si>
  <si>
    <t>C-176-4626-2-003</t>
  </si>
  <si>
    <t>C-176-1225-2-002</t>
  </si>
  <si>
    <t>Industrial pallet lifting bag USA</t>
  </si>
  <si>
    <t>Shoulder bag for rope access (USA)</t>
  </si>
  <si>
    <t>Small Tool Bag (USA)</t>
  </si>
  <si>
    <t>-</t>
  </si>
  <si>
    <t>Black</t>
  </si>
  <si>
    <t>S</t>
  </si>
  <si>
    <t>C-176-2787-4-002</t>
  </si>
  <si>
    <t>Backpack for rope - 250m (US version without upright)</t>
  </si>
  <si>
    <t>O-05365-01</t>
  </si>
  <si>
    <t>O-05365-02</t>
  </si>
  <si>
    <t>O-05478-01</t>
  </si>
  <si>
    <t>O-05479-01</t>
  </si>
  <si>
    <t>O-05480-01</t>
  </si>
  <si>
    <t>O-05481-01</t>
  </si>
  <si>
    <t>O-05482-01</t>
  </si>
  <si>
    <t>O-05459-01</t>
  </si>
  <si>
    <t>C-176-44165-2-001</t>
  </si>
  <si>
    <t>C-176-2604-2-003</t>
  </si>
  <si>
    <t>C-176-3610-2-001</t>
  </si>
  <si>
    <t>Lifting bag for elevator platform based on 4467 ( USA )</t>
  </si>
  <si>
    <t>Cylinder tool bag for filter with hard cover (USA version)</t>
  </si>
  <si>
    <t>Heat Seal Square Tool bag (USA version)</t>
  </si>
  <si>
    <t>No logo</t>
  </si>
  <si>
    <t>RED</t>
  </si>
  <si>
    <t>Loại tem</t>
  </si>
  <si>
    <t>BẢNG KÊ  KHAI NHÃN PICTOGRAM</t>
  </si>
  <si>
    <t>BẢNG KÊ  TÍNH NHÃN PICTOGRAM</t>
  </si>
  <si>
    <t>Tỗng tem</t>
  </si>
  <si>
    <t>Tem/hàng</t>
  </si>
  <si>
    <t>Min hàng</t>
  </si>
  <si>
    <t>Điều chỉnh</t>
  </si>
  <si>
    <t>CHỐT</t>
  </si>
  <si>
    <t>Số vải (M)</t>
  </si>
  <si>
    <t>Thực tế</t>
  </si>
  <si>
    <t>O-05836-01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</si>
</sst>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B_F_-;\-* #,##0\ _B_F_-;_-* &quot;-&quot;\ _B_F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Helv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 readingOrder="1"/>
    </xf>
    <xf numFmtId="0" fontId="4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4" borderId="1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164" fontId="7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4">
    <cellStyle name="Normal" xfId="0" builtinId="0"/>
    <cellStyle name="Style 1 2 5" xfId="1" xr:uid="{73406418-D338-4464-9BD8-99F1BDD5883E}"/>
    <cellStyle name="Style 1 2 5 2" xfId="2" xr:uid="{3CD2CC0A-074B-4259-BC71-09F9F6495169}"/>
    <cellStyle name="Style 1 5" xfId="3" xr:uid="{4E853B31-D0D9-4D63-B510-D08E6B2D0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DDB2-A588-4872-9C8F-6E32F4B26814}">
  <sheetPr codeName="Sheet1"/>
  <dimension ref="A1"/>
  <sheetViews>
    <sheetView workbookViewId="0">
      <selection activeCell="I21" sqref="I2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0AE7-4EE7-42DB-8ECE-034EDE2177D5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3-6696-4356-8C2D-70A0200A9633}">
  <sheetPr codeName="Sheet3"/>
  <dimension ref="A1:N28"/>
  <sheetViews>
    <sheetView workbookViewId="0">
      <selection activeCell="K12" sqref="K12"/>
    </sheetView>
  </sheetViews>
  <sheetFormatPr defaultRowHeight="15" x14ac:dyDescent="0.25"/>
  <cols>
    <col min="1" max="1" width="18.42578125" customWidth="1"/>
    <col min="2" max="2" width="16" customWidth="1"/>
    <col min="3" max="3" width="19.42578125" customWidth="1"/>
    <col min="4" max="4" width="24.140625" customWidth="1"/>
    <col min="5" max="5" width="21.42578125" customWidth="1"/>
    <col min="6" max="6" width="13.7109375" customWidth="1"/>
    <col min="7" max="7" width="12.85546875" customWidth="1"/>
    <col min="8" max="8" width="15" customWidth="1"/>
    <col min="9" max="9" width="18.5703125" customWidth="1"/>
    <col min="11" max="11" width="21.42578125" customWidth="1"/>
    <col min="12" max="12" width="18.85546875" customWidth="1"/>
    <col min="13" max="13" width="17.5703125" customWidth="1"/>
    <col min="14" max="14" width="18" customWidth="1"/>
  </cols>
  <sheetData>
    <row r="1" spans="1:14" ht="29.25" customHeight="1" x14ac:dyDescent="0.25">
      <c r="A1" s="36" t="s">
        <v>7</v>
      </c>
      <c r="B1" s="36"/>
      <c r="C1" s="36"/>
      <c r="D1" s="36"/>
      <c r="E1" s="36"/>
      <c r="F1" s="36"/>
      <c r="G1" s="36"/>
      <c r="H1" s="36"/>
      <c r="I1" s="36"/>
    </row>
    <row r="2" spans="1:14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23</v>
      </c>
      <c r="I2" s="3" t="s">
        <v>29</v>
      </c>
      <c r="K2" s="3" t="s">
        <v>25</v>
      </c>
      <c r="L2" s="3" t="s">
        <v>26</v>
      </c>
      <c r="M2" s="3" t="s">
        <v>27</v>
      </c>
      <c r="N2" s="3" t="s">
        <v>28</v>
      </c>
    </row>
    <row r="3" spans="1:14" ht="25.5" x14ac:dyDescent="0.25">
      <c r="A3" s="7" t="s">
        <v>8</v>
      </c>
      <c r="B3" s="4">
        <v>400</v>
      </c>
      <c r="C3" s="4" t="s">
        <v>9</v>
      </c>
      <c r="D3" s="4" t="s">
        <v>10</v>
      </c>
      <c r="E3" s="5" t="s">
        <v>11</v>
      </c>
      <c r="F3" s="6" t="s">
        <v>12</v>
      </c>
      <c r="G3" s="9" t="s">
        <v>21</v>
      </c>
      <c r="H3" s="9">
        <f>IF(G3="L",17,IF(G3="M",12,10))</f>
        <v>17</v>
      </c>
      <c r="I3" s="10">
        <f>M3*H3/100</f>
        <v>9.69</v>
      </c>
      <c r="K3" s="9">
        <v>450</v>
      </c>
      <c r="L3" s="1">
        <f>INT(145/H3)</f>
        <v>8</v>
      </c>
      <c r="M3" s="1">
        <f>ROUNDUP(K3/L3,0)</f>
        <v>57</v>
      </c>
      <c r="N3" s="11">
        <f>M3*L3</f>
        <v>456</v>
      </c>
    </row>
    <row r="4" spans="1:14" ht="25.5" x14ac:dyDescent="0.25">
      <c r="A4" s="7" t="s">
        <v>13</v>
      </c>
      <c r="B4" s="7">
        <v>400</v>
      </c>
      <c r="C4" s="4" t="s">
        <v>14</v>
      </c>
      <c r="D4" s="4" t="s">
        <v>15</v>
      </c>
      <c r="E4" s="5" t="s">
        <v>11</v>
      </c>
      <c r="F4" s="4" t="s">
        <v>12</v>
      </c>
      <c r="G4" s="9" t="s">
        <v>22</v>
      </c>
      <c r="H4" s="9">
        <f t="shared" ref="H4:H6" si="0">IF(G4="L",17,IF(G4="M",12,10))</f>
        <v>12</v>
      </c>
      <c r="I4" s="10">
        <f t="shared" ref="I4:I6" si="1">M4*H4/100</f>
        <v>5.04</v>
      </c>
      <c r="K4" s="9">
        <v>500</v>
      </c>
      <c r="L4" s="1">
        <f t="shared" ref="L4:L6" si="2">INT(145/H4)</f>
        <v>12</v>
      </c>
      <c r="M4" s="1">
        <f t="shared" ref="M4:M6" si="3">ROUNDUP(K4/L4,0)</f>
        <v>42</v>
      </c>
      <c r="N4" s="11">
        <f t="shared" ref="N4:N6" si="4">M4*L4</f>
        <v>504</v>
      </c>
    </row>
    <row r="5" spans="1:14" ht="25.5" x14ac:dyDescent="0.25">
      <c r="A5" s="7" t="s">
        <v>16</v>
      </c>
      <c r="B5" s="7">
        <v>200</v>
      </c>
      <c r="C5" s="5" t="s">
        <v>17</v>
      </c>
      <c r="D5" s="5" t="s">
        <v>18</v>
      </c>
      <c r="E5" s="5" t="s">
        <v>19</v>
      </c>
      <c r="F5" s="8" t="s">
        <v>12</v>
      </c>
      <c r="G5" s="9" t="s">
        <v>21</v>
      </c>
      <c r="H5" s="9">
        <f t="shared" si="0"/>
        <v>17</v>
      </c>
      <c r="I5" s="10">
        <f t="shared" si="1"/>
        <v>4.93</v>
      </c>
      <c r="K5" s="9">
        <v>225</v>
      </c>
      <c r="L5" s="1">
        <f t="shared" si="2"/>
        <v>8</v>
      </c>
      <c r="M5" s="1">
        <f t="shared" si="3"/>
        <v>29</v>
      </c>
      <c r="N5" s="11">
        <f t="shared" si="4"/>
        <v>232</v>
      </c>
    </row>
    <row r="6" spans="1:14" ht="25.5" x14ac:dyDescent="0.25">
      <c r="A6" s="7" t="s">
        <v>20</v>
      </c>
      <c r="B6" s="7">
        <v>200</v>
      </c>
      <c r="C6" s="5" t="s">
        <v>17</v>
      </c>
      <c r="D6" s="5" t="s">
        <v>18</v>
      </c>
      <c r="E6" s="5" t="s">
        <v>19</v>
      </c>
      <c r="F6" s="8" t="s">
        <v>12</v>
      </c>
      <c r="G6" s="9" t="s">
        <v>21</v>
      </c>
      <c r="H6" s="9">
        <f t="shared" si="0"/>
        <v>17</v>
      </c>
      <c r="I6" s="10">
        <f t="shared" si="1"/>
        <v>4.93</v>
      </c>
      <c r="K6" s="9">
        <v>225</v>
      </c>
      <c r="L6" s="1">
        <f t="shared" si="2"/>
        <v>8</v>
      </c>
      <c r="M6" s="1">
        <f t="shared" si="3"/>
        <v>29</v>
      </c>
      <c r="N6" s="11">
        <f t="shared" si="4"/>
        <v>232</v>
      </c>
    </row>
    <row r="7" spans="1:14" x14ac:dyDescent="0.25">
      <c r="A7" s="40" t="s">
        <v>24</v>
      </c>
      <c r="B7" s="41"/>
      <c r="C7" s="41"/>
      <c r="D7" s="41"/>
      <c r="E7" s="41"/>
      <c r="F7" s="41"/>
      <c r="G7" s="41"/>
      <c r="H7" s="42"/>
      <c r="I7" s="10">
        <f>SUM(I3:I6)</f>
        <v>24.59</v>
      </c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4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4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4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4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</sheetData>
  <mergeCells count="2">
    <mergeCell ref="A1:I1"/>
    <mergeCell ref="A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8B7F-DF5A-42F9-BE1F-EA989AB556A1}">
  <sheetPr codeName="Sheet4"/>
  <dimension ref="A1:N30"/>
  <sheetViews>
    <sheetView workbookViewId="0">
      <selection activeCell="F15" sqref="F15"/>
    </sheetView>
  </sheetViews>
  <sheetFormatPr defaultRowHeight="15" x14ac:dyDescent="0.25"/>
  <cols>
    <col min="1" max="1" width="18.42578125" customWidth="1"/>
    <col min="2" max="2" width="16" customWidth="1"/>
    <col min="3" max="3" width="19.42578125" customWidth="1"/>
    <col min="4" max="4" width="24.140625" customWidth="1"/>
    <col min="5" max="5" width="21.42578125" customWidth="1"/>
    <col min="6" max="6" width="13.7109375" customWidth="1"/>
    <col min="7" max="7" width="12.85546875" customWidth="1"/>
    <col min="8" max="8" width="15" customWidth="1"/>
    <col min="9" max="9" width="18.5703125" customWidth="1"/>
    <col min="11" max="11" width="21.42578125" customWidth="1"/>
    <col min="12" max="12" width="18.85546875" customWidth="1"/>
    <col min="13" max="13" width="17.5703125" customWidth="1"/>
    <col min="14" max="14" width="18" customWidth="1"/>
  </cols>
  <sheetData>
    <row r="1" spans="1:14" ht="29.25" customHeight="1" x14ac:dyDescent="0.25">
      <c r="A1" s="36" t="s">
        <v>7</v>
      </c>
      <c r="B1" s="36"/>
      <c r="C1" s="36"/>
      <c r="D1" s="36"/>
      <c r="E1" s="36"/>
      <c r="F1" s="36"/>
      <c r="G1" s="36"/>
      <c r="H1" s="36"/>
      <c r="I1" s="36"/>
    </row>
    <row r="2" spans="1:14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23</v>
      </c>
      <c r="I2" s="3" t="s">
        <v>29</v>
      </c>
      <c r="K2" s="3" t="s">
        <v>25</v>
      </c>
      <c r="L2" s="3" t="s">
        <v>26</v>
      </c>
      <c r="M2" s="3" t="s">
        <v>27</v>
      </c>
      <c r="N2" s="3" t="s">
        <v>28</v>
      </c>
    </row>
    <row r="3" spans="1:14" ht="24.95" customHeight="1" x14ac:dyDescent="0.25">
      <c r="A3" s="15" t="s">
        <v>30</v>
      </c>
      <c r="B3" s="4">
        <v>110</v>
      </c>
      <c r="C3" s="12" t="s">
        <v>36</v>
      </c>
      <c r="D3" s="12" t="s">
        <v>42</v>
      </c>
      <c r="E3" s="5" t="s">
        <v>45</v>
      </c>
      <c r="F3" s="6" t="s">
        <v>12</v>
      </c>
      <c r="G3" s="9" t="s">
        <v>47</v>
      </c>
      <c r="H3" s="9">
        <f>IF(G3="L",17,IF(G3="M",12,10))</f>
        <v>10</v>
      </c>
      <c r="I3" s="10">
        <f>M3*H3/100</f>
        <v>1.2</v>
      </c>
      <c r="K3" s="9">
        <v>160</v>
      </c>
      <c r="L3" s="1">
        <f>INT(145/H3)</f>
        <v>14</v>
      </c>
      <c r="M3" s="1">
        <f>ROUNDUP(K3/L3,0)</f>
        <v>12</v>
      </c>
      <c r="N3" s="11">
        <f>M3*L3</f>
        <v>168</v>
      </c>
    </row>
    <row r="4" spans="1:14" ht="24.95" customHeight="1" x14ac:dyDescent="0.25">
      <c r="A4" s="15" t="s">
        <v>31</v>
      </c>
      <c r="B4" s="7">
        <v>100</v>
      </c>
      <c r="C4" s="13" t="s">
        <v>37</v>
      </c>
      <c r="D4" s="13" t="s">
        <v>18</v>
      </c>
      <c r="E4" s="5" t="s">
        <v>45</v>
      </c>
      <c r="F4" s="4" t="s">
        <v>12</v>
      </c>
      <c r="G4" s="9" t="s">
        <v>21</v>
      </c>
      <c r="H4" s="9">
        <f t="shared" ref="H4:H8" si="0">IF(G4="L",17,IF(G4="M",12,10))</f>
        <v>17</v>
      </c>
      <c r="I4" s="10">
        <f t="shared" ref="I4:I8" si="1">M4*H4/100</f>
        <v>3.23</v>
      </c>
      <c r="K4" s="9">
        <v>150</v>
      </c>
      <c r="L4" s="1">
        <f t="shared" ref="L4:L8" si="2">INT(145/H4)</f>
        <v>8</v>
      </c>
      <c r="M4" s="1">
        <f t="shared" ref="M4:M8" si="3">ROUNDUP(K4/L4,0)</f>
        <v>19</v>
      </c>
      <c r="N4" s="11">
        <f t="shared" ref="N4:N8" si="4">M4*L4</f>
        <v>152</v>
      </c>
    </row>
    <row r="5" spans="1:14" ht="24.95" customHeight="1" x14ac:dyDescent="0.25">
      <c r="A5" s="15" t="s">
        <v>32</v>
      </c>
      <c r="B5" s="7">
        <v>100</v>
      </c>
      <c r="C5" s="14" t="s">
        <v>38</v>
      </c>
      <c r="D5" s="5" t="s">
        <v>18</v>
      </c>
      <c r="E5" s="5" t="s">
        <v>45</v>
      </c>
      <c r="F5" s="8" t="s">
        <v>12</v>
      </c>
      <c r="G5" s="9" t="s">
        <v>21</v>
      </c>
      <c r="H5" s="9">
        <f t="shared" si="0"/>
        <v>17</v>
      </c>
      <c r="I5" s="10">
        <f t="shared" si="1"/>
        <v>3.23</v>
      </c>
      <c r="K5" s="9">
        <v>150</v>
      </c>
      <c r="L5" s="1">
        <f t="shared" si="2"/>
        <v>8</v>
      </c>
      <c r="M5" s="1">
        <f t="shared" si="3"/>
        <v>19</v>
      </c>
      <c r="N5" s="11">
        <f t="shared" si="4"/>
        <v>152</v>
      </c>
    </row>
    <row r="6" spans="1:14" ht="24.95" customHeight="1" x14ac:dyDescent="0.25">
      <c r="A6" s="15" t="s">
        <v>33</v>
      </c>
      <c r="B6" s="7">
        <v>100</v>
      </c>
      <c r="C6" s="14" t="s">
        <v>39</v>
      </c>
      <c r="D6" s="5" t="s">
        <v>18</v>
      </c>
      <c r="E6" s="5" t="s">
        <v>45</v>
      </c>
      <c r="F6" s="8" t="s">
        <v>12</v>
      </c>
      <c r="G6" s="9" t="s">
        <v>22</v>
      </c>
      <c r="H6" s="9">
        <f t="shared" si="0"/>
        <v>12</v>
      </c>
      <c r="I6" s="10">
        <f t="shared" si="1"/>
        <v>1.56</v>
      </c>
      <c r="K6" s="9">
        <v>150</v>
      </c>
      <c r="L6" s="1">
        <f t="shared" si="2"/>
        <v>12</v>
      </c>
      <c r="M6" s="1">
        <f t="shared" si="3"/>
        <v>13</v>
      </c>
      <c r="N6" s="11">
        <f t="shared" si="4"/>
        <v>156</v>
      </c>
    </row>
    <row r="7" spans="1:14" ht="24.95" customHeight="1" x14ac:dyDescent="0.25">
      <c r="A7" s="15" t="s">
        <v>34</v>
      </c>
      <c r="B7" s="7">
        <v>100</v>
      </c>
      <c r="C7" s="14" t="s">
        <v>40</v>
      </c>
      <c r="D7" s="12" t="s">
        <v>43</v>
      </c>
      <c r="E7" s="5" t="s">
        <v>45</v>
      </c>
      <c r="F7" s="8" t="s">
        <v>46</v>
      </c>
      <c r="G7" s="9" t="s">
        <v>22</v>
      </c>
      <c r="H7" s="9">
        <f t="shared" si="0"/>
        <v>12</v>
      </c>
      <c r="I7" s="10">
        <f t="shared" si="1"/>
        <v>1.56</v>
      </c>
      <c r="K7" s="9">
        <v>150</v>
      </c>
      <c r="L7" s="1">
        <f t="shared" si="2"/>
        <v>12</v>
      </c>
      <c r="M7" s="1">
        <f t="shared" si="3"/>
        <v>13</v>
      </c>
      <c r="N7" s="11">
        <f t="shared" si="4"/>
        <v>156</v>
      </c>
    </row>
    <row r="8" spans="1:14" ht="24.95" customHeight="1" x14ac:dyDescent="0.25">
      <c r="A8" s="15" t="s">
        <v>35</v>
      </c>
      <c r="B8" s="7">
        <v>100</v>
      </c>
      <c r="C8" s="14" t="s">
        <v>41</v>
      </c>
      <c r="D8" s="12" t="s">
        <v>44</v>
      </c>
      <c r="E8" s="5" t="s">
        <v>45</v>
      </c>
      <c r="F8" s="8" t="s">
        <v>12</v>
      </c>
      <c r="G8" s="9" t="s">
        <v>22</v>
      </c>
      <c r="H8" s="9">
        <f t="shared" si="0"/>
        <v>12</v>
      </c>
      <c r="I8" s="10">
        <f t="shared" si="1"/>
        <v>2.04</v>
      </c>
      <c r="K8" s="9">
        <v>200</v>
      </c>
      <c r="L8" s="1">
        <f t="shared" si="2"/>
        <v>12</v>
      </c>
      <c r="M8" s="1">
        <f t="shared" si="3"/>
        <v>17</v>
      </c>
      <c r="N8" s="11">
        <f t="shared" si="4"/>
        <v>204</v>
      </c>
    </row>
    <row r="9" spans="1:14" x14ac:dyDescent="0.25">
      <c r="A9" s="40" t="s">
        <v>24</v>
      </c>
      <c r="B9" s="41"/>
      <c r="C9" s="41"/>
      <c r="D9" s="41"/>
      <c r="E9" s="41"/>
      <c r="F9" s="41"/>
      <c r="G9" s="41"/>
      <c r="H9" s="42"/>
      <c r="I9" s="10">
        <f>SUM(I3:I8)</f>
        <v>12.82</v>
      </c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4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4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4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4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</sheetData>
  <mergeCells count="2">
    <mergeCell ref="A1:I1"/>
    <mergeCell ref="A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11F3-2342-4FB0-BA19-099F30DBA05C}">
  <sheetPr codeName="Sheet5"/>
  <dimension ref="A1:N26"/>
  <sheetViews>
    <sheetView workbookViewId="0">
      <selection activeCell="I4" sqref="I4"/>
    </sheetView>
  </sheetViews>
  <sheetFormatPr defaultRowHeight="15" x14ac:dyDescent="0.25"/>
  <cols>
    <col min="1" max="1" width="18.42578125" customWidth="1"/>
    <col min="2" max="2" width="16" customWidth="1"/>
    <col min="3" max="3" width="19.42578125" customWidth="1"/>
    <col min="4" max="4" width="24.140625" customWidth="1"/>
    <col min="5" max="5" width="21.42578125" customWidth="1"/>
    <col min="6" max="6" width="13.7109375" customWidth="1"/>
    <col min="7" max="7" width="12.85546875" customWidth="1"/>
    <col min="8" max="8" width="15" customWidth="1"/>
    <col min="9" max="9" width="18.5703125" customWidth="1"/>
    <col min="11" max="11" width="21.42578125" customWidth="1"/>
    <col min="12" max="12" width="18.85546875" customWidth="1"/>
    <col min="13" max="13" width="17.5703125" customWidth="1"/>
    <col min="14" max="14" width="18" customWidth="1"/>
  </cols>
  <sheetData>
    <row r="1" spans="1:14" ht="29.25" customHeight="1" x14ac:dyDescent="0.25">
      <c r="A1" s="36" t="s">
        <v>7</v>
      </c>
      <c r="B1" s="36"/>
      <c r="C1" s="36"/>
      <c r="D1" s="36"/>
      <c r="E1" s="36"/>
      <c r="F1" s="36"/>
      <c r="G1" s="36"/>
      <c r="H1" s="36"/>
      <c r="I1" s="36"/>
    </row>
    <row r="2" spans="1:14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23</v>
      </c>
      <c r="I2" s="3" t="s">
        <v>29</v>
      </c>
      <c r="K2" s="3" t="s">
        <v>25</v>
      </c>
      <c r="L2" s="3" t="s">
        <v>26</v>
      </c>
      <c r="M2" s="3" t="s">
        <v>27</v>
      </c>
      <c r="N2" s="3" t="s">
        <v>28</v>
      </c>
    </row>
    <row r="3" spans="1:14" ht="36.75" customHeight="1" x14ac:dyDescent="0.25">
      <c r="A3" s="17" t="s">
        <v>50</v>
      </c>
      <c r="B3" s="4">
        <v>500</v>
      </c>
      <c r="C3" s="16" t="s">
        <v>48</v>
      </c>
      <c r="D3" s="12" t="s">
        <v>49</v>
      </c>
      <c r="E3" s="5" t="s">
        <v>45</v>
      </c>
      <c r="F3" s="12" t="s">
        <v>46</v>
      </c>
      <c r="G3" s="9" t="s">
        <v>22</v>
      </c>
      <c r="H3" s="9">
        <f>IF(G3="L",17,IF(G3="M",12,10))</f>
        <v>12</v>
      </c>
      <c r="I3" s="10">
        <f>M3*H3/100</f>
        <v>5.4</v>
      </c>
      <c r="K3" s="9">
        <v>540</v>
      </c>
      <c r="L3" s="1">
        <f>INT(145/H3)</f>
        <v>12</v>
      </c>
      <c r="M3" s="1">
        <f>ROUNDUP(K3/L3,0)</f>
        <v>45</v>
      </c>
      <c r="N3" s="11">
        <f>M3*L3</f>
        <v>540</v>
      </c>
    </row>
    <row r="4" spans="1:14" ht="32.25" customHeight="1" x14ac:dyDescent="0.25">
      <c r="A4" s="17" t="s">
        <v>51</v>
      </c>
      <c r="B4" s="7">
        <v>500</v>
      </c>
      <c r="C4" s="16" t="s">
        <v>48</v>
      </c>
      <c r="D4" s="12" t="s">
        <v>49</v>
      </c>
      <c r="E4" s="5" t="s">
        <v>45</v>
      </c>
      <c r="F4" s="12" t="s">
        <v>46</v>
      </c>
      <c r="G4" s="9" t="s">
        <v>22</v>
      </c>
      <c r="H4" s="9">
        <f t="shared" ref="H4" si="0">IF(G4="L",17,IF(G4="M",12,10))</f>
        <v>12</v>
      </c>
      <c r="I4" s="10">
        <f t="shared" ref="I4" si="1">M4*H4/100</f>
        <v>5.52</v>
      </c>
      <c r="K4" s="9">
        <v>550</v>
      </c>
      <c r="L4" s="1">
        <f t="shared" ref="L4" si="2">INT(145/H4)</f>
        <v>12</v>
      </c>
      <c r="M4" s="1">
        <f t="shared" ref="M4" si="3">ROUNDUP(K4/L4,0)</f>
        <v>46</v>
      </c>
      <c r="N4" s="11">
        <f t="shared" ref="N4" si="4">M4*L4</f>
        <v>552</v>
      </c>
    </row>
    <row r="5" spans="1:14" x14ac:dyDescent="0.25">
      <c r="A5" s="40" t="s">
        <v>24</v>
      </c>
      <c r="B5" s="41"/>
      <c r="C5" s="41"/>
      <c r="D5" s="41"/>
      <c r="E5" s="41"/>
      <c r="F5" s="41"/>
      <c r="G5" s="41"/>
      <c r="H5" s="42"/>
      <c r="I5" s="10">
        <f>SUM(I3:I4)</f>
        <v>10.92</v>
      </c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4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4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4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4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</sheetData>
  <mergeCells count="2">
    <mergeCell ref="A1:I1"/>
    <mergeCell ref="A5:H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3E29-F130-40FC-AE1C-3CE6561D2DF1}">
  <sheetPr codeName="Sheet6"/>
  <dimension ref="A1:P29"/>
  <sheetViews>
    <sheetView workbookViewId="0">
      <selection activeCell="E8" sqref="E8"/>
    </sheetView>
  </sheetViews>
  <sheetFormatPr defaultRowHeight="15" x14ac:dyDescent="0.25"/>
  <cols>
    <col min="1" max="1" width="18.42578125" customWidth="1"/>
    <col min="2" max="2" width="16" customWidth="1"/>
    <col min="3" max="3" width="19.42578125" customWidth="1"/>
    <col min="4" max="4" width="24.140625" customWidth="1"/>
    <col min="5" max="5" width="21.42578125" customWidth="1"/>
    <col min="6" max="6" width="13.7109375" customWidth="1"/>
    <col min="7" max="7" width="12.85546875" customWidth="1"/>
    <col min="8" max="8" width="15" customWidth="1"/>
    <col min="10" max="10" width="21.42578125" customWidth="1"/>
    <col min="11" max="11" width="13.5703125" customWidth="1"/>
    <col min="12" max="12" width="12.5703125" customWidth="1"/>
    <col min="13" max="13" width="12.140625" customWidth="1"/>
    <col min="14" max="14" width="18" customWidth="1"/>
    <col min="15" max="15" width="11.85546875" customWidth="1"/>
    <col min="16" max="16" width="12.140625" customWidth="1"/>
  </cols>
  <sheetData>
    <row r="1" spans="1:16" ht="29.25" customHeight="1" x14ac:dyDescent="0.25">
      <c r="A1" s="36" t="s">
        <v>67</v>
      </c>
      <c r="B1" s="36"/>
      <c r="C1" s="36"/>
      <c r="D1" s="36"/>
      <c r="E1" s="36"/>
      <c r="F1" s="36"/>
      <c r="G1" s="36"/>
      <c r="H1" s="36"/>
      <c r="J1" s="37" t="s">
        <v>68</v>
      </c>
      <c r="K1" s="38"/>
      <c r="L1" s="38"/>
      <c r="M1" s="38"/>
      <c r="N1" s="38"/>
      <c r="O1" s="38"/>
      <c r="P1" s="38"/>
    </row>
    <row r="2" spans="1:1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23</v>
      </c>
      <c r="J2" s="3" t="s">
        <v>66</v>
      </c>
      <c r="K2" s="3" t="s">
        <v>69</v>
      </c>
      <c r="L2" s="3" t="s">
        <v>70</v>
      </c>
      <c r="M2" s="3" t="s">
        <v>72</v>
      </c>
      <c r="N2" s="3" t="s">
        <v>71</v>
      </c>
      <c r="O2" s="3" t="s">
        <v>75</v>
      </c>
      <c r="P2" s="3" t="s">
        <v>74</v>
      </c>
    </row>
    <row r="3" spans="1:16" ht="36.75" customHeight="1" x14ac:dyDescent="0.25">
      <c r="A3" s="15" t="s">
        <v>57</v>
      </c>
      <c r="B3" s="33">
        <v>150</v>
      </c>
      <c r="C3" s="21" t="s">
        <v>58</v>
      </c>
      <c r="D3" s="23" t="s">
        <v>61</v>
      </c>
      <c r="E3" s="13" t="s">
        <v>64</v>
      </c>
      <c r="F3" s="13" t="s">
        <v>12</v>
      </c>
      <c r="G3" s="9" t="s">
        <v>47</v>
      </c>
      <c r="H3" s="9">
        <f>IF(G3="L",17,IF(G3="M",12,10))</f>
        <v>10</v>
      </c>
      <c r="J3" s="28" t="s">
        <v>47</v>
      </c>
      <c r="K3" s="9">
        <f>SUMIF($G$3:$G$150, "S", $B$3:$B$150)</f>
        <v>550</v>
      </c>
      <c r="L3" s="1">
        <f>INT(145/10)</f>
        <v>14</v>
      </c>
      <c r="M3" s="1">
        <v>620</v>
      </c>
      <c r="N3" s="1">
        <f>ROUNDUP(M3/L3,0)</f>
        <v>45</v>
      </c>
      <c r="O3" s="31">
        <f>N3*L3</f>
        <v>630</v>
      </c>
      <c r="P3" s="1">
        <f>N3*10/100</f>
        <v>4.5</v>
      </c>
    </row>
    <row r="4" spans="1:16" ht="32.25" customHeight="1" x14ac:dyDescent="0.25">
      <c r="A4" s="15" t="s">
        <v>52</v>
      </c>
      <c r="B4" s="35">
        <v>400</v>
      </c>
      <c r="C4" s="4" t="s">
        <v>14</v>
      </c>
      <c r="D4" s="4" t="s">
        <v>15</v>
      </c>
      <c r="E4" s="5" t="s">
        <v>11</v>
      </c>
      <c r="F4" s="4" t="s">
        <v>12</v>
      </c>
      <c r="G4" s="9" t="s">
        <v>22</v>
      </c>
      <c r="H4" s="9">
        <f t="shared" ref="H4:H8" si="0">IF(G4="L",17,IF(G4="M",12,10))</f>
        <v>12</v>
      </c>
      <c r="J4" s="28" t="s">
        <v>22</v>
      </c>
      <c r="K4" s="9">
        <f>SUMIF($G$3:$G$150, "M", $B$3:$B$150)</f>
        <v>400</v>
      </c>
      <c r="L4" s="1">
        <f>INT(145/12)</f>
        <v>12</v>
      </c>
      <c r="M4" s="1">
        <v>500</v>
      </c>
      <c r="N4" s="1">
        <f t="shared" ref="N4:N5" si="1">ROUNDUP(M4/L4,0)</f>
        <v>42</v>
      </c>
      <c r="O4" s="31">
        <f t="shared" ref="O4:O5" si="2">N4*L4</f>
        <v>504</v>
      </c>
      <c r="P4" s="1">
        <f>N4*12/100</f>
        <v>5.04</v>
      </c>
    </row>
    <row r="5" spans="1:16" ht="45" customHeight="1" x14ac:dyDescent="0.25">
      <c r="A5" s="15" t="s">
        <v>53</v>
      </c>
      <c r="B5" s="34">
        <v>400</v>
      </c>
      <c r="C5" s="22" t="s">
        <v>59</v>
      </c>
      <c r="D5" s="24" t="s">
        <v>62</v>
      </c>
      <c r="E5" s="24" t="s">
        <v>11</v>
      </c>
      <c r="F5" s="19" t="s">
        <v>12</v>
      </c>
      <c r="G5" s="18" t="s">
        <v>47</v>
      </c>
      <c r="H5" s="9">
        <f t="shared" si="0"/>
        <v>10</v>
      </c>
      <c r="J5" s="28" t="s">
        <v>21</v>
      </c>
      <c r="K5" s="9">
        <f>SUMIF($G$3:$G$150, "L", $B$3:$B$150)</f>
        <v>1000</v>
      </c>
      <c r="L5" s="1">
        <f>INT(145/17)</f>
        <v>8</v>
      </c>
      <c r="M5" s="1">
        <v>1100</v>
      </c>
      <c r="N5" s="1">
        <f t="shared" si="1"/>
        <v>138</v>
      </c>
      <c r="O5" s="31">
        <f t="shared" si="2"/>
        <v>1104</v>
      </c>
      <c r="P5" s="1">
        <f>N5*17/100</f>
        <v>23.46</v>
      </c>
    </row>
    <row r="6" spans="1:16" ht="32.25" customHeight="1" x14ac:dyDescent="0.25">
      <c r="A6" s="15" t="s">
        <v>54</v>
      </c>
      <c r="B6" s="34">
        <v>400</v>
      </c>
      <c r="C6" s="19" t="s">
        <v>9</v>
      </c>
      <c r="D6" s="19" t="s">
        <v>10</v>
      </c>
      <c r="E6" s="24" t="s">
        <v>11</v>
      </c>
      <c r="F6" s="26" t="s">
        <v>12</v>
      </c>
      <c r="G6" s="18" t="s">
        <v>21</v>
      </c>
      <c r="H6" s="9">
        <f t="shared" si="0"/>
        <v>17</v>
      </c>
      <c r="J6" s="39" t="s">
        <v>73</v>
      </c>
      <c r="K6" s="39"/>
      <c r="L6" s="39"/>
      <c r="M6" s="39"/>
      <c r="N6" s="39"/>
      <c r="O6" s="39"/>
      <c r="P6" s="32">
        <f>SUM(P3:P5)</f>
        <v>33</v>
      </c>
    </row>
    <row r="7" spans="1:16" ht="32.25" customHeight="1" x14ac:dyDescent="0.25">
      <c r="A7" s="15" t="s">
        <v>55</v>
      </c>
      <c r="B7" s="7">
        <v>400</v>
      </c>
      <c r="C7" s="5" t="s">
        <v>17</v>
      </c>
      <c r="D7" s="5" t="s">
        <v>18</v>
      </c>
      <c r="E7" s="5" t="s">
        <v>19</v>
      </c>
      <c r="F7" s="8" t="s">
        <v>12</v>
      </c>
      <c r="G7" s="18" t="s">
        <v>21</v>
      </c>
      <c r="H7" s="9">
        <f t="shared" si="0"/>
        <v>17</v>
      </c>
    </row>
    <row r="8" spans="1:16" ht="32.25" customHeight="1" x14ac:dyDescent="0.25">
      <c r="A8" s="15" t="s">
        <v>56</v>
      </c>
      <c r="B8" s="20">
        <v>200</v>
      </c>
      <c r="C8" s="19" t="s">
        <v>60</v>
      </c>
      <c r="D8" s="25" t="s">
        <v>63</v>
      </c>
      <c r="E8" s="24" t="s">
        <v>19</v>
      </c>
      <c r="F8" s="27" t="s">
        <v>65</v>
      </c>
      <c r="G8" s="18" t="s">
        <v>21</v>
      </c>
      <c r="H8" s="9">
        <f t="shared" si="0"/>
        <v>17</v>
      </c>
    </row>
    <row r="9" spans="1:16" x14ac:dyDescent="0.25">
      <c r="A9" s="2"/>
      <c r="B9" s="2"/>
      <c r="C9" s="2"/>
      <c r="D9" s="2"/>
      <c r="E9" s="2"/>
      <c r="F9" s="2"/>
      <c r="G9" s="2"/>
      <c r="H9" s="2"/>
    </row>
    <row r="10" spans="1:16" x14ac:dyDescent="0.25">
      <c r="A10" s="2"/>
      <c r="B10" s="2"/>
      <c r="C10" s="2"/>
      <c r="D10" s="2"/>
      <c r="E10" s="2"/>
      <c r="F10" s="2"/>
      <c r="G10" s="2"/>
      <c r="H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L20" s="29"/>
      <c r="M20" s="29"/>
      <c r="N20" s="30"/>
      <c r="O20" s="30"/>
      <c r="P20" s="29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L21" s="29"/>
      <c r="M21" s="29"/>
      <c r="N21" s="30"/>
      <c r="O21" s="30"/>
      <c r="P21" s="29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L22" s="29"/>
      <c r="M22" s="29"/>
      <c r="N22" s="30"/>
      <c r="O22" s="30"/>
      <c r="P22" s="29"/>
    </row>
    <row r="23" spans="1:16" x14ac:dyDescent="0.25">
      <c r="A23" s="4"/>
      <c r="B23" s="2"/>
      <c r="C23" s="2"/>
      <c r="D23" s="2"/>
      <c r="E23" s="2"/>
      <c r="F23" s="2"/>
      <c r="G23" s="2"/>
      <c r="H23" s="2"/>
    </row>
    <row r="24" spans="1:16" x14ac:dyDescent="0.25">
      <c r="A24" s="4"/>
      <c r="B24" s="2"/>
      <c r="C24" s="2"/>
      <c r="D24" s="2"/>
      <c r="E24" s="2"/>
      <c r="F24" s="2"/>
      <c r="G24" s="2"/>
      <c r="H24" s="2"/>
    </row>
    <row r="25" spans="1:16" x14ac:dyDescent="0.25">
      <c r="A25" s="4"/>
      <c r="B25" s="2"/>
      <c r="C25" s="2"/>
      <c r="D25" s="2"/>
      <c r="E25" s="2"/>
      <c r="F25" s="2"/>
      <c r="G25" s="2"/>
      <c r="H25" s="2"/>
    </row>
    <row r="26" spans="1:16" x14ac:dyDescent="0.25">
      <c r="A26" s="4"/>
      <c r="B26" s="2"/>
      <c r="C26" s="2"/>
      <c r="D26" s="2"/>
      <c r="E26" s="2"/>
      <c r="F26" s="2"/>
      <c r="G26" s="2"/>
      <c r="H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</sheetData>
  <protectedRanges>
    <protectedRange sqref="B3:B8" name="Range1_22_3_3_3_1_1_1_1_1_1_3_2_1_2_1_1_1_1_1_1_1_1_1_1_2_2_1_1_2_1"/>
  </protectedRanges>
  <mergeCells count="3">
    <mergeCell ref="A1:H1"/>
    <mergeCell ref="J1:P1"/>
    <mergeCell ref="J6:O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6B20-4127-4ED5-8872-6F62D858226F}">
  <dimension ref="A1:P29"/>
  <sheetViews>
    <sheetView tabSelected="1" workbookViewId="0">
      <selection activeCell="H8" sqref="H8"/>
    </sheetView>
  </sheetViews>
  <sheetFormatPr defaultRowHeight="15" x14ac:dyDescent="0.25"/>
  <cols>
    <col min="1" max="1" width="18.42578125" customWidth="1"/>
    <col min="2" max="2" width="16" customWidth="1"/>
    <col min="3" max="3" width="19.42578125" customWidth="1"/>
    <col min="4" max="4" width="24.140625" customWidth="1"/>
    <col min="5" max="5" width="21.42578125" customWidth="1"/>
    <col min="6" max="6" width="13.7109375" customWidth="1"/>
    <col min="7" max="7" width="12.85546875" customWidth="1"/>
    <col min="8" max="8" width="15" customWidth="1"/>
    <col min="10" max="10" width="21.42578125" customWidth="1"/>
    <col min="11" max="11" width="13.5703125" customWidth="1"/>
    <col min="12" max="12" width="12.5703125" customWidth="1"/>
    <col min="13" max="13" width="12.140625" customWidth="1"/>
    <col min="14" max="14" width="18" customWidth="1"/>
    <col min="15" max="15" width="11.85546875" customWidth="1"/>
    <col min="16" max="16" width="12.140625" customWidth="1"/>
  </cols>
  <sheetData>
    <row r="1" spans="1:16" ht="29.25" customHeight="1" x14ac:dyDescent="0.25">
      <c r="A1" s="36" t="s">
        <v>67</v>
      </c>
      <c r="B1" s="36"/>
      <c r="C1" s="36"/>
      <c r="D1" s="36"/>
      <c r="E1" s="36"/>
      <c r="F1" s="36"/>
      <c r="G1" s="36"/>
      <c r="H1" s="36"/>
      <c r="J1" s="37" t="s">
        <v>68</v>
      </c>
      <c r="K1" s="38"/>
      <c r="L1" s="38"/>
      <c r="M1" s="38"/>
      <c r="N1" s="38"/>
      <c r="O1" s="38"/>
      <c r="P1" s="38"/>
    </row>
    <row r="2" spans="1:1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23</v>
      </c>
      <c r="J2" s="3" t="s">
        <v>66</v>
      </c>
      <c r="K2" s="3" t="s">
        <v>69</v>
      </c>
      <c r="L2" s="3" t="s">
        <v>70</v>
      </c>
      <c r="M2" s="3" t="s">
        <v>72</v>
      </c>
      <c r="N2" s="3" t="s">
        <v>71</v>
      </c>
      <c r="O2" s="3" t="s">
        <v>75</v>
      </c>
      <c r="P2" s="3" t="s">
        <v>74</v>
      </c>
    </row>
    <row r="3" spans="1:16" ht="36.75" customHeight="1" x14ac:dyDescent="0.25">
      <c r="A3" s="15" t="s">
        <v>76</v>
      </c>
      <c r="B3" s="33">
        <v>500</v>
      </c>
      <c r="C3" s="16" t="s">
        <v>48</v>
      </c>
      <c r="D3" s="12" t="s">
        <v>49</v>
      </c>
      <c r="E3" s="13" t="s">
        <v>64</v>
      </c>
      <c r="F3" s="12" t="s">
        <v>46</v>
      </c>
      <c r="G3" s="9" t="s">
        <v>22</v>
      </c>
      <c r="H3" s="9">
        <f>IF(G3="L",17,IF(G3="M",12,10))</f>
        <v>12</v>
      </c>
      <c r="J3" s="28" t="s">
        <v>47</v>
      </c>
      <c r="K3" s="9">
        <f>SUMIF($G$3:$G$150, "S", $B$3:$B$150)</f>
        <v>0</v>
      </c>
      <c r="L3" s="1">
        <f>INT(145/10)</f>
        <v>14</v>
      </c>
      <c r="M3" s="1">
        <v>0</v>
      </c>
      <c r="N3" s="1">
        <f>ROUNDUP(M3/L3,0)</f>
        <v>0</v>
      </c>
      <c r="O3" s="31">
        <f>N3*L3</f>
        <v>0</v>
      </c>
      <c r="P3" s="1">
        <f>N3*10/100</f>
        <v>0</v>
      </c>
    </row>
    <row r="4" spans="1:16" ht="32.25" customHeight="1" x14ac:dyDescent="0.25">
      <c r="A4" s="15"/>
      <c r="B4" s="35"/>
      <c r="C4" s="4"/>
      <c r="D4" s="4"/>
      <c r="E4" s="5"/>
      <c r="F4" s="4"/>
      <c r="G4" s="9"/>
      <c r="H4" s="9"/>
      <c r="J4" s="28" t="s">
        <v>22</v>
      </c>
      <c r="K4" s="9">
        <v>500</v>
      </c>
      <c r="L4" s="1">
        <f>INT(145/12)</f>
        <v>12</v>
      </c>
      <c r="M4" s="1">
        <v>600</v>
      </c>
      <c r="N4" s="1">
        <f t="shared" ref="N4:N5" si="0">ROUNDUP(M4/L4,0)</f>
        <v>50</v>
      </c>
      <c r="O4" s="31">
        <f t="shared" ref="O4:O5" si="1">N4*L4</f>
        <v>600</v>
      </c>
      <c r="P4" s="1">
        <f>N4*12/100</f>
        <v>6</v>
      </c>
    </row>
    <row r="5" spans="1:16" ht="45" customHeight="1" x14ac:dyDescent="0.25">
      <c r="A5" s="15"/>
      <c r="B5" s="34"/>
      <c r="C5" s="22"/>
      <c r="D5" s="24"/>
      <c r="E5" s="24"/>
      <c r="F5" s="19"/>
      <c r="G5" s="18"/>
      <c r="H5" s="9"/>
      <c r="J5" s="28" t="s">
        <v>21</v>
      </c>
      <c r="K5" s="9">
        <f>SUMIF($G$3:$G$150, "L", $B$3:$B$150)</f>
        <v>0</v>
      </c>
      <c r="L5" s="1">
        <f>INT(145/17)</f>
        <v>8</v>
      </c>
      <c r="M5" s="1">
        <v>0</v>
      </c>
      <c r="N5" s="1">
        <f t="shared" si="0"/>
        <v>0</v>
      </c>
      <c r="O5" s="31">
        <f t="shared" si="1"/>
        <v>0</v>
      </c>
      <c r="P5" s="1">
        <f>N5*17/100</f>
        <v>0</v>
      </c>
    </row>
    <row r="6" spans="1:16" ht="32.25" customHeight="1" x14ac:dyDescent="0.25">
      <c r="A6" s="15"/>
      <c r="B6" s="34"/>
      <c r="C6" s="19"/>
      <c r="D6" s="19"/>
      <c r="E6" s="24"/>
      <c r="F6" s="26"/>
      <c r="G6" s="18"/>
      <c r="H6" s="9"/>
      <c r="J6" s="39" t="s">
        <v>73</v>
      </c>
      <c r="K6" s="39"/>
      <c r="L6" s="39"/>
      <c r="M6" s="39"/>
      <c r="N6" s="39"/>
      <c r="O6" s="39"/>
      <c r="P6" s="32">
        <f>SUM(P3:P5)</f>
        <v>6</v>
      </c>
    </row>
    <row r="7" spans="1:16" ht="32.25" customHeight="1" x14ac:dyDescent="0.25">
      <c r="A7" s="15"/>
      <c r="B7" s="7"/>
      <c r="C7" s="5"/>
      <c r="D7" s="5"/>
      <c r="E7" s="5"/>
      <c r="F7" s="8"/>
      <c r="G7" s="18"/>
      <c r="H7" s="9"/>
    </row>
    <row r="8" spans="1:16" ht="32.25" customHeight="1" x14ac:dyDescent="0.25">
      <c r="A8" s="15"/>
      <c r="B8" s="20"/>
      <c r="C8" s="19"/>
      <c r="D8" s="25"/>
      <c r="E8" s="24"/>
      <c r="F8" s="27"/>
      <c r="G8" s="18"/>
      <c r="H8" s="9"/>
    </row>
    <row r="9" spans="1:16" x14ac:dyDescent="0.25">
      <c r="A9" s="2"/>
      <c r="B9" s="2"/>
      <c r="C9" s="2"/>
      <c r="D9" s="2"/>
      <c r="E9" s="2"/>
      <c r="F9" s="2"/>
      <c r="G9" s="2"/>
      <c r="H9" s="2"/>
    </row>
    <row r="10" spans="1:16" x14ac:dyDescent="0.25">
      <c r="A10" s="2"/>
      <c r="B10" s="2"/>
      <c r="C10" s="2"/>
      <c r="D10" s="2"/>
      <c r="E10" s="2"/>
      <c r="F10" s="2"/>
      <c r="G10" s="2"/>
      <c r="H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L20" s="29"/>
      <c r="M20" s="29"/>
      <c r="N20" s="30"/>
      <c r="O20" s="30"/>
      <c r="P20" s="29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L21" s="29"/>
      <c r="M21" s="29"/>
      <c r="N21" s="30"/>
      <c r="O21" s="30"/>
      <c r="P21" s="29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L22" s="29"/>
      <c r="M22" s="29"/>
      <c r="N22" s="30"/>
      <c r="O22" s="30"/>
      <c r="P22" s="29"/>
    </row>
    <row r="23" spans="1:16" x14ac:dyDescent="0.25">
      <c r="A23" s="4"/>
      <c r="B23" s="2"/>
      <c r="C23" s="2"/>
      <c r="D23" s="2"/>
      <c r="E23" s="2"/>
      <c r="F23" s="2"/>
      <c r="G23" s="2"/>
      <c r="H23" s="2"/>
    </row>
    <row r="24" spans="1:16" x14ac:dyDescent="0.25">
      <c r="A24" s="4"/>
      <c r="B24" s="2"/>
      <c r="C24" s="2"/>
      <c r="D24" s="2"/>
      <c r="E24" s="2"/>
      <c r="F24" s="2"/>
      <c r="G24" s="2"/>
      <c r="H24" s="2"/>
    </row>
    <row r="25" spans="1:16" x14ac:dyDescent="0.25">
      <c r="A25" s="4"/>
      <c r="B25" s="2"/>
      <c r="C25" s="2"/>
      <c r="D25" s="2"/>
      <c r="E25" s="2"/>
      <c r="F25" s="2"/>
      <c r="G25" s="2"/>
      <c r="H25" s="2"/>
    </row>
    <row r="26" spans="1:16" x14ac:dyDescent="0.25">
      <c r="A26" s="4"/>
      <c r="B26" s="2"/>
      <c r="C26" s="2"/>
      <c r="D26" s="2"/>
      <c r="E26" s="2"/>
      <c r="F26" s="2"/>
      <c r="G26" s="2"/>
      <c r="H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</sheetData>
  <protectedRanges>
    <protectedRange sqref="B3:B8" name="Range1_22_3_3_3_1_1_1_1_1_1_3_2_1_2_1_1_1_1_1_1_1_1_1_1_2_2_1_1_2_1"/>
  </protectedRanges>
  <mergeCells count="3">
    <mergeCell ref="A1:H1"/>
    <mergeCell ref="J1:P1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MUC LUC</vt:lpstr>
      <vt:lpstr>1</vt:lpstr>
      <vt:lpstr>1 (2)</vt:lpstr>
      <vt:lpstr>1 (3)</vt:lpstr>
      <vt:lpstr>1 (4)</vt:lpstr>
      <vt:lpstr>1 (5)</vt:lpstr>
      <vt:lpstr>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Dao Chi</dc:creator>
  <cp:lastModifiedBy>Cuong Dao Chi</cp:lastModifiedBy>
  <dcterms:created xsi:type="dcterms:W3CDTF">2025-06-18T08:52:46Z</dcterms:created>
  <dcterms:modified xsi:type="dcterms:W3CDTF">2026-05-04T06:09:19Z</dcterms:modified>
</cp:coreProperties>
</file>